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pschellekens/Library/CloudStorage/OneDrive-UnitedNationsDevelopmentProgramme/OneDrive UNDP/14- Substack/"/>
    </mc:Choice>
  </mc:AlternateContent>
  <xr:revisionPtr revIDLastSave="0" documentId="8_{4BAF5594-0D83-0547-9207-23EE6DA0386B}" xr6:coauthVersionLast="47" xr6:coauthVersionMax="47" xr10:uidLastSave="{00000000-0000-0000-0000-000000000000}"/>
  <bookViews>
    <workbookView xWindow="19020" yWindow="3640" windowWidth="34560" windowHeight="24340" tabRatio="500" activeTab="7" xr2:uid="{00000000-000D-0000-FFFF-FFFF00000000}"/>
  </bookViews>
  <sheets>
    <sheet name="Read me" sheetId="1" r:id="rId1"/>
    <sheet name="Coverage" sheetId="2" r:id="rId2"/>
    <sheet name="Assumptions" sheetId="3" r:id="rId3"/>
    <sheet name="Thresholds" sheetId="4" r:id="rId4"/>
    <sheet name="GNI per capita" sheetId="5" r:id="rId5"/>
    <sheet name="Growth calculation" sheetId="6" r:id="rId6"/>
    <sheet name="Population" sheetId="7" r:id="rId7"/>
    <sheet name="Classifica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S219" i="8" l="1"/>
  <c r="BR219" i="8"/>
  <c r="BQ219" i="8"/>
  <c r="BP219" i="8"/>
  <c r="BO219" i="8"/>
  <c r="BN219" i="8"/>
  <c r="BM219" i="8"/>
  <c r="BL219" i="8"/>
  <c r="BK219" i="8"/>
  <c r="BJ219" i="8"/>
  <c r="BI219" i="8"/>
  <c r="BH219" i="8"/>
  <c r="BG219" i="8"/>
  <c r="BF219" i="8"/>
  <c r="BE219" i="8"/>
  <c r="BD219" i="8"/>
  <c r="BC219" i="8"/>
  <c r="BB219" i="8"/>
  <c r="BA219" i="8"/>
  <c r="AZ219" i="8"/>
  <c r="AY219" i="8"/>
  <c r="AX219" i="8"/>
  <c r="AW219" i="8"/>
  <c r="AV219" i="8"/>
  <c r="AU219" i="8"/>
  <c r="BS217" i="8"/>
  <c r="BR217" i="8"/>
  <c r="BQ217" i="8"/>
  <c r="BP217" i="8"/>
  <c r="BO217" i="8"/>
  <c r="BN217" i="8"/>
  <c r="BM217" i="8"/>
  <c r="BL217" i="8"/>
  <c r="BK217" i="8"/>
  <c r="BJ217" i="8"/>
  <c r="BI217" i="8"/>
  <c r="BH217" i="8"/>
  <c r="BG217" i="8"/>
  <c r="BF217" i="8"/>
  <c r="BE217" i="8"/>
  <c r="BD217" i="8"/>
  <c r="BC217" i="8"/>
  <c r="BB217" i="8"/>
  <c r="BA217" i="8"/>
  <c r="AZ217" i="8"/>
  <c r="AY217" i="8"/>
  <c r="AX217" i="8"/>
  <c r="AW217" i="8"/>
  <c r="AV217" i="8"/>
  <c r="AU217" i="8"/>
  <c r="BS194" i="8"/>
  <c r="BR194" i="8"/>
  <c r="BQ194" i="8"/>
  <c r="BP194" i="8"/>
  <c r="BO194" i="8"/>
  <c r="BN194" i="8"/>
  <c r="BM194" i="8"/>
  <c r="BL194" i="8"/>
  <c r="BK194" i="8"/>
  <c r="BJ194" i="8"/>
  <c r="BI194" i="8"/>
  <c r="BH194" i="8"/>
  <c r="BG194" i="8"/>
  <c r="BF194" i="8"/>
  <c r="BE194" i="8"/>
  <c r="BD194" i="8"/>
  <c r="BC194" i="8"/>
  <c r="BB194" i="8"/>
  <c r="BA194" i="8"/>
  <c r="AZ194" i="8"/>
  <c r="AY194" i="8"/>
  <c r="AX194" i="8"/>
  <c r="AW194" i="8"/>
  <c r="AV194" i="8"/>
  <c r="AU194" i="8"/>
  <c r="BS192" i="8"/>
  <c r="BR192" i="8"/>
  <c r="BQ192" i="8"/>
  <c r="BP192" i="8"/>
  <c r="BO192" i="8"/>
  <c r="BN192" i="8"/>
  <c r="BM192" i="8"/>
  <c r="BL192" i="8"/>
  <c r="BK192" i="8"/>
  <c r="BJ192" i="8"/>
  <c r="BI192" i="8"/>
  <c r="BH192" i="8"/>
  <c r="BG192" i="8"/>
  <c r="BF192" i="8"/>
  <c r="BE192" i="8"/>
  <c r="BD192" i="8"/>
  <c r="BC192" i="8"/>
  <c r="BB192" i="8"/>
  <c r="BA192" i="8"/>
  <c r="AZ192" i="8"/>
  <c r="AY192" i="8"/>
  <c r="AX192" i="8"/>
  <c r="AW192" i="8"/>
  <c r="AV192" i="8"/>
  <c r="AU192" i="8"/>
  <c r="BS186" i="8"/>
  <c r="BR186" i="8"/>
  <c r="BQ186" i="8"/>
  <c r="BP186" i="8"/>
  <c r="BO186" i="8"/>
  <c r="BN186" i="8"/>
  <c r="BM186" i="8"/>
  <c r="BL186" i="8"/>
  <c r="BK186" i="8"/>
  <c r="BJ186" i="8"/>
  <c r="BI186" i="8"/>
  <c r="BH186" i="8"/>
  <c r="BG186" i="8"/>
  <c r="BF186" i="8"/>
  <c r="BE186" i="8"/>
  <c r="BD186" i="8"/>
  <c r="BC186" i="8"/>
  <c r="BB186" i="8"/>
  <c r="BA186" i="8"/>
  <c r="AZ186" i="8"/>
  <c r="AY186" i="8"/>
  <c r="AX186" i="8"/>
  <c r="AW186" i="8"/>
  <c r="AV186" i="8"/>
  <c r="AU186" i="8"/>
  <c r="BS181" i="8"/>
  <c r="BR181" i="8"/>
  <c r="BQ181" i="8"/>
  <c r="BP181" i="8"/>
  <c r="BO181" i="8"/>
  <c r="BN181" i="8"/>
  <c r="BM181" i="8"/>
  <c r="BL181" i="8"/>
  <c r="BK181" i="8"/>
  <c r="BJ181" i="8"/>
  <c r="BI181" i="8"/>
  <c r="BH181" i="8"/>
  <c r="BG181" i="8"/>
  <c r="BF181" i="8"/>
  <c r="BE181" i="8"/>
  <c r="BD181" i="8"/>
  <c r="BC181" i="8"/>
  <c r="BB181" i="8"/>
  <c r="BA181" i="8"/>
  <c r="AZ181" i="8"/>
  <c r="AY181" i="8"/>
  <c r="AX181" i="8"/>
  <c r="AW181" i="8"/>
  <c r="AV181" i="8"/>
  <c r="AU181" i="8"/>
  <c r="BS168" i="8"/>
  <c r="BR168" i="8"/>
  <c r="BQ168" i="8"/>
  <c r="BP168" i="8"/>
  <c r="BO168" i="8"/>
  <c r="BN168" i="8"/>
  <c r="BM168" i="8"/>
  <c r="BL168" i="8"/>
  <c r="BK168" i="8"/>
  <c r="BJ168" i="8"/>
  <c r="BI168" i="8"/>
  <c r="BH168" i="8"/>
  <c r="BG168" i="8"/>
  <c r="BF168" i="8"/>
  <c r="BE168" i="8"/>
  <c r="BD168" i="8"/>
  <c r="BC168" i="8"/>
  <c r="BB168" i="8"/>
  <c r="BA168" i="8"/>
  <c r="AZ168" i="8"/>
  <c r="AY168" i="8"/>
  <c r="AX168" i="8"/>
  <c r="AW168" i="8"/>
  <c r="AV168" i="8"/>
  <c r="AU168" i="8"/>
  <c r="BS150" i="8"/>
  <c r="BR150" i="8"/>
  <c r="BQ150" i="8"/>
  <c r="BP150" i="8"/>
  <c r="BO150" i="8"/>
  <c r="BN150" i="8"/>
  <c r="BM150" i="8"/>
  <c r="BL150" i="8"/>
  <c r="BK150" i="8"/>
  <c r="BJ150" i="8"/>
  <c r="BI150" i="8"/>
  <c r="BH150" i="8"/>
  <c r="BG150" i="8"/>
  <c r="BF150" i="8"/>
  <c r="BE150" i="8"/>
  <c r="BD150" i="8"/>
  <c r="BC150" i="8"/>
  <c r="BB150" i="8"/>
  <c r="BA150" i="8"/>
  <c r="AZ150" i="8"/>
  <c r="AY150" i="8"/>
  <c r="AX150" i="8"/>
  <c r="AW150" i="8"/>
  <c r="AV150" i="8"/>
  <c r="AU150" i="8"/>
  <c r="BS144" i="8"/>
  <c r="BR144" i="8"/>
  <c r="BQ144" i="8"/>
  <c r="BP144" i="8"/>
  <c r="BO144" i="8"/>
  <c r="BN144" i="8"/>
  <c r="BM144" i="8"/>
  <c r="BL144" i="8"/>
  <c r="BK144" i="8"/>
  <c r="BJ144" i="8"/>
  <c r="BI144" i="8"/>
  <c r="BH144" i="8"/>
  <c r="BG144" i="8"/>
  <c r="BF144" i="8"/>
  <c r="BE144" i="8"/>
  <c r="BD144" i="8"/>
  <c r="BC144" i="8"/>
  <c r="BB144" i="8"/>
  <c r="BA144" i="8"/>
  <c r="AZ144" i="8"/>
  <c r="AY144" i="8"/>
  <c r="AX144" i="8"/>
  <c r="AW144" i="8"/>
  <c r="AV144" i="8"/>
  <c r="AU144" i="8"/>
  <c r="BS134" i="8"/>
  <c r="BR134" i="8"/>
  <c r="BQ134" i="8"/>
  <c r="BP134" i="8"/>
  <c r="BO134" i="8"/>
  <c r="BN134" i="8"/>
  <c r="BM134" i="8"/>
  <c r="BL134" i="8"/>
  <c r="BK134" i="8"/>
  <c r="BJ134" i="8"/>
  <c r="BI134" i="8"/>
  <c r="BH134" i="8"/>
  <c r="BG134" i="8"/>
  <c r="BF134" i="8"/>
  <c r="BE134" i="8"/>
  <c r="BD134" i="8"/>
  <c r="BC134" i="8"/>
  <c r="BB134" i="8"/>
  <c r="BA134" i="8"/>
  <c r="AZ134" i="8"/>
  <c r="AY134" i="8"/>
  <c r="AX134" i="8"/>
  <c r="AW134" i="8"/>
  <c r="AV134" i="8"/>
  <c r="AU134" i="8"/>
  <c r="BS118" i="8"/>
  <c r="BR118" i="8"/>
  <c r="BQ118" i="8"/>
  <c r="BP118" i="8"/>
  <c r="BO118" i="8"/>
  <c r="BN118" i="8"/>
  <c r="BM118" i="8"/>
  <c r="BL118" i="8"/>
  <c r="BK118" i="8"/>
  <c r="BJ118" i="8"/>
  <c r="BI118" i="8"/>
  <c r="BH118" i="8"/>
  <c r="BG118" i="8"/>
  <c r="BF118" i="8"/>
  <c r="BE118" i="8"/>
  <c r="BD118" i="8"/>
  <c r="BC118" i="8"/>
  <c r="BB118" i="8"/>
  <c r="BA118" i="8"/>
  <c r="AZ118" i="8"/>
  <c r="AY118" i="8"/>
  <c r="AX118" i="8"/>
  <c r="AW118" i="8"/>
  <c r="AV118" i="8"/>
  <c r="AU118" i="8"/>
  <c r="BS107" i="8"/>
  <c r="BR107" i="8"/>
  <c r="BQ107" i="8"/>
  <c r="BP107" i="8"/>
  <c r="BO107" i="8"/>
  <c r="BN107" i="8"/>
  <c r="BM107" i="8"/>
  <c r="BL107" i="8"/>
  <c r="BK107" i="8"/>
  <c r="BJ107" i="8"/>
  <c r="BI107" i="8"/>
  <c r="BH107" i="8"/>
  <c r="BG107" i="8"/>
  <c r="BF107" i="8"/>
  <c r="BE107" i="8"/>
  <c r="BD107" i="8"/>
  <c r="BC107" i="8"/>
  <c r="BB107" i="8"/>
  <c r="BA107" i="8"/>
  <c r="AZ107" i="8"/>
  <c r="AY107" i="8"/>
  <c r="AX107" i="8"/>
  <c r="AW107" i="8"/>
  <c r="AV107" i="8"/>
  <c r="AU107" i="8"/>
  <c r="BS83" i="8"/>
  <c r="BR83" i="8"/>
  <c r="BQ83" i="8"/>
  <c r="BP83" i="8"/>
  <c r="BO83" i="8"/>
  <c r="BN83" i="8"/>
  <c r="BM83" i="8"/>
  <c r="BL83" i="8"/>
  <c r="BK83" i="8"/>
  <c r="BJ83" i="8"/>
  <c r="BI83" i="8"/>
  <c r="BH83" i="8"/>
  <c r="BG83" i="8"/>
  <c r="BF83" i="8"/>
  <c r="BE83" i="8"/>
  <c r="BD83" i="8"/>
  <c r="BC83" i="8"/>
  <c r="BB83" i="8"/>
  <c r="BA83" i="8"/>
  <c r="AZ83" i="8"/>
  <c r="AY83" i="8"/>
  <c r="AX83" i="8"/>
  <c r="AW83" i="8"/>
  <c r="AV83" i="8"/>
  <c r="AU83" i="8"/>
  <c r="BS81" i="8"/>
  <c r="BR81" i="8"/>
  <c r="BQ81" i="8"/>
  <c r="BP81" i="8"/>
  <c r="BO81" i="8"/>
  <c r="BN81" i="8"/>
  <c r="BM81" i="8"/>
  <c r="BL81" i="8"/>
  <c r="BK81" i="8"/>
  <c r="BJ81" i="8"/>
  <c r="BI81" i="8"/>
  <c r="BH81" i="8"/>
  <c r="BG81" i="8"/>
  <c r="BF81" i="8"/>
  <c r="BE81" i="8"/>
  <c r="BD81" i="8"/>
  <c r="BC81" i="8"/>
  <c r="BB81" i="8"/>
  <c r="BA81" i="8"/>
  <c r="AZ81" i="8"/>
  <c r="AY81" i="8"/>
  <c r="AX81" i="8"/>
  <c r="AW81" i="8"/>
  <c r="AV81" i="8"/>
  <c r="AU81" i="8"/>
  <c r="BS79" i="8"/>
  <c r="BR79" i="8"/>
  <c r="BQ79" i="8"/>
  <c r="BP79" i="8"/>
  <c r="BO79" i="8"/>
  <c r="BN79" i="8"/>
  <c r="BM79" i="8"/>
  <c r="BL79" i="8"/>
  <c r="BK79" i="8"/>
  <c r="BJ79" i="8"/>
  <c r="BI79" i="8"/>
  <c r="BH79" i="8"/>
  <c r="BG79" i="8"/>
  <c r="BF79" i="8"/>
  <c r="BE79" i="8"/>
  <c r="BD79" i="8"/>
  <c r="BC79" i="8"/>
  <c r="BB79" i="8"/>
  <c r="BA79" i="8"/>
  <c r="AZ79" i="8"/>
  <c r="AY79" i="8"/>
  <c r="AX79" i="8"/>
  <c r="AW79" i="8"/>
  <c r="AV79" i="8"/>
  <c r="AU79" i="8"/>
  <c r="BS65" i="8"/>
  <c r="BR65" i="8"/>
  <c r="BQ65" i="8"/>
  <c r="BP65" i="8"/>
  <c r="BO65" i="8"/>
  <c r="BN65" i="8"/>
  <c r="BM65" i="8"/>
  <c r="BL65" i="8"/>
  <c r="BK65" i="8"/>
  <c r="BJ65" i="8"/>
  <c r="BI65" i="8"/>
  <c r="BH65" i="8"/>
  <c r="BG65" i="8"/>
  <c r="BF65" i="8"/>
  <c r="BE65" i="8"/>
  <c r="BD65" i="8"/>
  <c r="BC65" i="8"/>
  <c r="BB65" i="8"/>
  <c r="BA65" i="8"/>
  <c r="AZ65" i="8"/>
  <c r="AY65" i="8"/>
  <c r="AX65" i="8"/>
  <c r="AW65" i="8"/>
  <c r="AV65" i="8"/>
  <c r="AU65" i="8"/>
  <c r="BS52" i="8"/>
  <c r="BR52" i="8"/>
  <c r="BQ52" i="8"/>
  <c r="BP52" i="8"/>
  <c r="BO52" i="8"/>
  <c r="BN52" i="8"/>
  <c r="BM52" i="8"/>
  <c r="BL52" i="8"/>
  <c r="BK52" i="8"/>
  <c r="BJ52" i="8"/>
  <c r="BI52" i="8"/>
  <c r="BH52" i="8"/>
  <c r="BG52" i="8"/>
  <c r="BF52" i="8"/>
  <c r="BE52" i="8"/>
  <c r="BD52" i="8"/>
  <c r="BC52" i="8"/>
  <c r="BB52" i="8"/>
  <c r="BA52" i="8"/>
  <c r="AZ52" i="8"/>
  <c r="AY52" i="8"/>
  <c r="AX52" i="8"/>
  <c r="AW52" i="8"/>
  <c r="AV52" i="8"/>
  <c r="AU52" i="8"/>
  <c r="BS43" i="8"/>
  <c r="BR43" i="8"/>
  <c r="BQ43" i="8"/>
  <c r="BP43" i="8"/>
  <c r="BO43" i="8"/>
  <c r="BN43" i="8"/>
  <c r="BM43" i="8"/>
  <c r="BL43" i="8"/>
  <c r="BK43" i="8"/>
  <c r="BJ43" i="8"/>
  <c r="BI43" i="8"/>
  <c r="BH43" i="8"/>
  <c r="BG43" i="8"/>
  <c r="BF43" i="8"/>
  <c r="BE43" i="8"/>
  <c r="BD43" i="8"/>
  <c r="BC43" i="8"/>
  <c r="BB43" i="8"/>
  <c r="BA43" i="8"/>
  <c r="AZ43" i="8"/>
  <c r="AY43" i="8"/>
  <c r="AX43" i="8"/>
  <c r="AW43" i="8"/>
  <c r="AV43" i="8"/>
  <c r="AU43" i="8"/>
  <c r="BS31" i="8"/>
  <c r="BR31" i="8"/>
  <c r="BQ31" i="8"/>
  <c r="BP31" i="8"/>
  <c r="BO31" i="8"/>
  <c r="BN31" i="8"/>
  <c r="BM31" i="8"/>
  <c r="BL31" i="8"/>
  <c r="BK31" i="8"/>
  <c r="BJ31" i="8"/>
  <c r="BI31" i="8"/>
  <c r="BH31" i="8"/>
  <c r="BG31" i="8"/>
  <c r="BF31" i="8"/>
  <c r="BE31" i="8"/>
  <c r="BD31" i="8"/>
  <c r="BC31" i="8"/>
  <c r="BB31" i="8"/>
  <c r="BA31" i="8"/>
  <c r="AZ31" i="8"/>
  <c r="AY31" i="8"/>
  <c r="AX31" i="8"/>
  <c r="AW31" i="8"/>
  <c r="AV31" i="8"/>
  <c r="AU31" i="8"/>
  <c r="BS8" i="8"/>
  <c r="BR8" i="8"/>
  <c r="BQ8" i="8"/>
  <c r="BP8" i="8"/>
  <c r="BO8" i="8"/>
  <c r="BN8" i="8"/>
  <c r="BM8" i="8"/>
  <c r="BL8" i="8"/>
  <c r="BK8" i="8"/>
  <c r="BJ8" i="8"/>
  <c r="BI8" i="8"/>
  <c r="BH8" i="8"/>
  <c r="BG8" i="8"/>
  <c r="BF8" i="8"/>
  <c r="BE8" i="8"/>
  <c r="BD8" i="8"/>
  <c r="BC8" i="8"/>
  <c r="BB8" i="8"/>
  <c r="BA8" i="8"/>
  <c r="AZ8" i="8"/>
  <c r="AY8" i="8"/>
  <c r="AX8" i="8"/>
  <c r="AW8" i="8"/>
  <c r="AV8" i="8"/>
  <c r="AU8" i="8"/>
  <c r="BS7" i="8"/>
  <c r="BR7" i="8"/>
  <c r="BQ7" i="8"/>
  <c r="BP7" i="8"/>
  <c r="BO7" i="8"/>
  <c r="BN7" i="8"/>
  <c r="BM7" i="8"/>
  <c r="BL7" i="8"/>
  <c r="BK7" i="8"/>
  <c r="BJ7" i="8"/>
  <c r="BI7" i="8"/>
  <c r="BH7" i="8"/>
  <c r="BG7" i="8"/>
  <c r="BF7" i="8"/>
  <c r="BE7" i="8"/>
  <c r="BD7" i="8"/>
  <c r="BC7" i="8"/>
  <c r="BB7" i="8"/>
  <c r="BA7" i="8"/>
  <c r="AZ7" i="8"/>
  <c r="AY7" i="8"/>
  <c r="AX7" i="8"/>
  <c r="AW7" i="8"/>
  <c r="AV7" i="8"/>
  <c r="AU7" i="8"/>
  <c r="BN224" i="7"/>
  <c r="BM224" i="7"/>
  <c r="BL224" i="7"/>
  <c r="BK224" i="7"/>
  <c r="BJ224" i="7"/>
  <c r="BI224" i="7"/>
  <c r="BH224" i="7"/>
  <c r="BG224" i="7"/>
  <c r="BF224" i="7"/>
  <c r="BE224" i="7"/>
  <c r="BD224" i="7"/>
  <c r="BC224" i="7"/>
  <c r="BB224" i="7"/>
  <c r="BA224" i="7"/>
  <c r="AZ224" i="7"/>
  <c r="AY224" i="7"/>
  <c r="AX224" i="7"/>
  <c r="AW224" i="7"/>
  <c r="AV224" i="7"/>
  <c r="AU224" i="7"/>
  <c r="AT224" i="7"/>
  <c r="AS224" i="7"/>
  <c r="AR224" i="7"/>
  <c r="AQ224" i="7"/>
  <c r="AP224" i="7"/>
  <c r="AO224" i="7"/>
  <c r="AN224" i="7"/>
  <c r="AM224" i="7"/>
  <c r="AL224" i="7"/>
  <c r="AK224" i="7"/>
  <c r="AJ224" i="7"/>
  <c r="AI224" i="7"/>
  <c r="AH224" i="7"/>
  <c r="AG224" i="7"/>
  <c r="AF224" i="7"/>
  <c r="AE224" i="7"/>
  <c r="AD224" i="7"/>
  <c r="AC224" i="7"/>
  <c r="AB224" i="7"/>
  <c r="AA224" i="7"/>
  <c r="Z224" i="7"/>
  <c r="Y224" i="7"/>
  <c r="X224" i="7"/>
  <c r="W224" i="7"/>
  <c r="V224" i="7"/>
  <c r="U224" i="7"/>
  <c r="T224" i="7"/>
  <c r="S224" i="7"/>
  <c r="R224" i="7"/>
  <c r="Q224" i="7"/>
  <c r="P224" i="7"/>
  <c r="O224" i="7"/>
  <c r="N224" i="7"/>
  <c r="M224" i="7"/>
  <c r="L224" i="7"/>
  <c r="K224" i="7"/>
  <c r="J224" i="7"/>
  <c r="I224" i="7"/>
  <c r="H224" i="7"/>
  <c r="G224" i="7"/>
  <c r="F224" i="7"/>
  <c r="T222" i="6"/>
  <c r="S222" i="6"/>
  <c r="R222" i="6"/>
  <c r="Q222" i="6"/>
  <c r="P222" i="6"/>
  <c r="O222" i="6"/>
  <c r="N222" i="6"/>
  <c r="M222" i="6"/>
  <c r="L222" i="6"/>
  <c r="K222" i="6"/>
  <c r="D222" i="6" s="1"/>
  <c r="F222" i="6"/>
  <c r="T221" i="6"/>
  <c r="S221" i="6"/>
  <c r="R221" i="6"/>
  <c r="Q221" i="6"/>
  <c r="P221" i="6"/>
  <c r="O221" i="6"/>
  <c r="N221" i="6"/>
  <c r="D221" i="6" s="1"/>
  <c r="M221" i="6"/>
  <c r="L221" i="6"/>
  <c r="K221" i="6"/>
  <c r="J221" i="6"/>
  <c r="F221" i="6"/>
  <c r="T220" i="6"/>
  <c r="S220" i="6"/>
  <c r="R220" i="6"/>
  <c r="Q220" i="6"/>
  <c r="P220" i="6"/>
  <c r="O220" i="6"/>
  <c r="N220" i="6"/>
  <c r="M220" i="6"/>
  <c r="L220" i="6"/>
  <c r="K220" i="6"/>
  <c r="J220" i="6" s="1"/>
  <c r="G220" i="6" s="1"/>
  <c r="F220" i="6"/>
  <c r="T219" i="6"/>
  <c r="S219" i="6"/>
  <c r="R219" i="6"/>
  <c r="Q219" i="6"/>
  <c r="P219" i="6"/>
  <c r="O219" i="6"/>
  <c r="N219" i="6"/>
  <c r="M219" i="6"/>
  <c r="L219" i="6"/>
  <c r="J219" i="6" s="1"/>
  <c r="K219" i="6"/>
  <c r="F219" i="6"/>
  <c r="D219" i="6"/>
  <c r="T218" i="6"/>
  <c r="S218" i="6"/>
  <c r="R218" i="6"/>
  <c r="Q218" i="6"/>
  <c r="P218" i="6"/>
  <c r="O218" i="6"/>
  <c r="N218" i="6"/>
  <c r="M218" i="6"/>
  <c r="L218" i="6"/>
  <c r="K218" i="6"/>
  <c r="D218" i="6" s="1"/>
  <c r="F218" i="6"/>
  <c r="T217" i="6"/>
  <c r="S217" i="6"/>
  <c r="R217" i="6"/>
  <c r="Q217" i="6"/>
  <c r="P217" i="6"/>
  <c r="O217" i="6"/>
  <c r="N217" i="6"/>
  <c r="D217" i="6" s="1"/>
  <c r="M217" i="6"/>
  <c r="L217" i="6"/>
  <c r="K217" i="6"/>
  <c r="J217" i="6"/>
  <c r="F217" i="6"/>
  <c r="T216" i="6"/>
  <c r="S216" i="6"/>
  <c r="R216" i="6"/>
  <c r="Q216" i="6"/>
  <c r="P216" i="6"/>
  <c r="O216" i="6"/>
  <c r="N216" i="6"/>
  <c r="M216" i="6"/>
  <c r="L216" i="6"/>
  <c r="K216" i="6"/>
  <c r="J216" i="6" s="1"/>
  <c r="F216" i="6"/>
  <c r="T215" i="6"/>
  <c r="S215" i="6"/>
  <c r="R215" i="6"/>
  <c r="Q215" i="6"/>
  <c r="P215" i="6"/>
  <c r="O215" i="6"/>
  <c r="N215" i="6"/>
  <c r="M215" i="6"/>
  <c r="L215" i="6"/>
  <c r="J215" i="6" s="1"/>
  <c r="K215" i="6"/>
  <c r="F215" i="6"/>
  <c r="D215" i="6"/>
  <c r="T214" i="6"/>
  <c r="S214" i="6"/>
  <c r="R214" i="6"/>
  <c r="Q214" i="6"/>
  <c r="P214" i="6"/>
  <c r="O214" i="6"/>
  <c r="N214" i="6"/>
  <c r="M214" i="6"/>
  <c r="L214" i="6"/>
  <c r="K214" i="6"/>
  <c r="D214" i="6" s="1"/>
  <c r="F214" i="6"/>
  <c r="T213" i="6"/>
  <c r="S213" i="6"/>
  <c r="R213" i="6"/>
  <c r="Q213" i="6"/>
  <c r="P213" i="6"/>
  <c r="O213" i="6"/>
  <c r="N213" i="6"/>
  <c r="D213" i="6" s="1"/>
  <c r="M213" i="6"/>
  <c r="L213" i="6"/>
  <c r="K213" i="6"/>
  <c r="J213" i="6"/>
  <c r="F213" i="6"/>
  <c r="T212" i="6"/>
  <c r="S212" i="6"/>
  <c r="R212" i="6"/>
  <c r="Q212" i="6"/>
  <c r="P212" i="6"/>
  <c r="O212" i="6"/>
  <c r="N212" i="6"/>
  <c r="M212" i="6"/>
  <c r="L212" i="6"/>
  <c r="K212" i="6"/>
  <c r="J212" i="6" s="1"/>
  <c r="F212" i="6"/>
  <c r="T211" i="6"/>
  <c r="S211" i="6"/>
  <c r="R211" i="6"/>
  <c r="Q211" i="6"/>
  <c r="P211" i="6"/>
  <c r="O211" i="6"/>
  <c r="N211" i="6"/>
  <c r="M211" i="6"/>
  <c r="L211" i="6"/>
  <c r="J211" i="6" s="1"/>
  <c r="K211" i="6"/>
  <c r="F211" i="6"/>
  <c r="D211" i="6"/>
  <c r="T210" i="6"/>
  <c r="S210" i="6"/>
  <c r="R210" i="6"/>
  <c r="Q210" i="6"/>
  <c r="P210" i="6"/>
  <c r="O210" i="6"/>
  <c r="N210" i="6"/>
  <c r="M210" i="6"/>
  <c r="L210" i="6"/>
  <c r="K210" i="6"/>
  <c r="D210" i="6" s="1"/>
  <c r="F210" i="6"/>
  <c r="T209" i="6"/>
  <c r="S209" i="6"/>
  <c r="R209" i="6"/>
  <c r="Q209" i="6"/>
  <c r="P209" i="6"/>
  <c r="O209" i="6"/>
  <c r="N209" i="6"/>
  <c r="D209" i="6" s="1"/>
  <c r="M209" i="6"/>
  <c r="L209" i="6"/>
  <c r="K209" i="6"/>
  <c r="J209" i="6"/>
  <c r="F209" i="6"/>
  <c r="T208" i="6"/>
  <c r="S208" i="6"/>
  <c r="R208" i="6"/>
  <c r="Q208" i="6"/>
  <c r="P208" i="6"/>
  <c r="O208" i="6"/>
  <c r="N208" i="6"/>
  <c r="M208" i="6"/>
  <c r="L208" i="6"/>
  <c r="K208" i="6"/>
  <c r="J208" i="6" s="1"/>
  <c r="F208" i="6"/>
  <c r="T207" i="6"/>
  <c r="S207" i="6"/>
  <c r="R207" i="6"/>
  <c r="Q207" i="6"/>
  <c r="P207" i="6"/>
  <c r="O207" i="6"/>
  <c r="N207" i="6"/>
  <c r="M207" i="6"/>
  <c r="L207" i="6"/>
  <c r="J207" i="6" s="1"/>
  <c r="K207" i="6"/>
  <c r="F207" i="6"/>
  <c r="D207" i="6"/>
  <c r="T206" i="6"/>
  <c r="S206" i="6"/>
  <c r="R206" i="6"/>
  <c r="Q206" i="6"/>
  <c r="P206" i="6"/>
  <c r="O206" i="6"/>
  <c r="N206" i="6"/>
  <c r="M206" i="6"/>
  <c r="L206" i="6"/>
  <c r="K206" i="6"/>
  <c r="D206" i="6" s="1"/>
  <c r="F206" i="6"/>
  <c r="T205" i="6"/>
  <c r="S205" i="6"/>
  <c r="R205" i="6"/>
  <c r="Q205" i="6"/>
  <c r="P205" i="6"/>
  <c r="O205" i="6"/>
  <c r="N205" i="6"/>
  <c r="D205" i="6" s="1"/>
  <c r="M205" i="6"/>
  <c r="L205" i="6"/>
  <c r="K205" i="6"/>
  <c r="J205" i="6"/>
  <c r="F205" i="6"/>
  <c r="T204" i="6"/>
  <c r="S204" i="6"/>
  <c r="R204" i="6"/>
  <c r="Q204" i="6"/>
  <c r="P204" i="6"/>
  <c r="O204" i="6"/>
  <c r="N204" i="6"/>
  <c r="M204" i="6"/>
  <c r="L204" i="6"/>
  <c r="K204" i="6"/>
  <c r="J204" i="6" s="1"/>
  <c r="F204" i="6"/>
  <c r="T203" i="6"/>
  <c r="S203" i="6"/>
  <c r="R203" i="6"/>
  <c r="Q203" i="6"/>
  <c r="P203" i="6"/>
  <c r="O203" i="6"/>
  <c r="N203" i="6"/>
  <c r="M203" i="6"/>
  <c r="L203" i="6"/>
  <c r="J203" i="6" s="1"/>
  <c r="K203" i="6"/>
  <c r="F203" i="6"/>
  <c r="D203" i="6"/>
  <c r="T202" i="6"/>
  <c r="S202" i="6"/>
  <c r="R202" i="6"/>
  <c r="Q202" i="6"/>
  <c r="P202" i="6"/>
  <c r="O202" i="6"/>
  <c r="N202" i="6"/>
  <c r="M202" i="6"/>
  <c r="L202" i="6"/>
  <c r="K202" i="6"/>
  <c r="D202" i="6" s="1"/>
  <c r="F202" i="6"/>
  <c r="T201" i="6"/>
  <c r="S201" i="6"/>
  <c r="R201" i="6"/>
  <c r="Q201" i="6"/>
  <c r="P201" i="6"/>
  <c r="O201" i="6"/>
  <c r="N201" i="6"/>
  <c r="D201" i="6" s="1"/>
  <c r="M201" i="6"/>
  <c r="L201" i="6"/>
  <c r="K201" i="6"/>
  <c r="J201" i="6"/>
  <c r="F201" i="6"/>
  <c r="T200" i="6"/>
  <c r="S200" i="6"/>
  <c r="R200" i="6"/>
  <c r="Q200" i="6"/>
  <c r="P200" i="6"/>
  <c r="O200" i="6"/>
  <c r="N200" i="6"/>
  <c r="M200" i="6"/>
  <c r="L200" i="6"/>
  <c r="K200" i="6"/>
  <c r="J200" i="6" s="1"/>
  <c r="F200" i="6"/>
  <c r="T199" i="6"/>
  <c r="S199" i="6"/>
  <c r="R199" i="6"/>
  <c r="Q199" i="6"/>
  <c r="P199" i="6"/>
  <c r="O199" i="6"/>
  <c r="N199" i="6"/>
  <c r="M199" i="6"/>
  <c r="L199" i="6"/>
  <c r="J199" i="6" s="1"/>
  <c r="K199" i="6"/>
  <c r="F199" i="6"/>
  <c r="D199" i="6"/>
  <c r="T198" i="6"/>
  <c r="S198" i="6"/>
  <c r="R198" i="6"/>
  <c r="Q198" i="6"/>
  <c r="P198" i="6"/>
  <c r="O198" i="6"/>
  <c r="N198" i="6"/>
  <c r="M198" i="6"/>
  <c r="L198" i="6"/>
  <c r="K198" i="6"/>
  <c r="D198" i="6" s="1"/>
  <c r="F198" i="6"/>
  <c r="T197" i="6"/>
  <c r="S197" i="6"/>
  <c r="R197" i="6"/>
  <c r="Q197" i="6"/>
  <c r="P197" i="6"/>
  <c r="O197" i="6"/>
  <c r="N197" i="6"/>
  <c r="D197" i="6" s="1"/>
  <c r="M197" i="6"/>
  <c r="L197" i="6"/>
  <c r="K197" i="6"/>
  <c r="J197" i="6"/>
  <c r="F197" i="6"/>
  <c r="T196" i="6"/>
  <c r="S196" i="6"/>
  <c r="R196" i="6"/>
  <c r="Q196" i="6"/>
  <c r="P196" i="6"/>
  <c r="O196" i="6"/>
  <c r="N196" i="6"/>
  <c r="M196" i="6"/>
  <c r="L196" i="6"/>
  <c r="K196" i="6"/>
  <c r="J196" i="6" s="1"/>
  <c r="F196" i="6"/>
  <c r="T195" i="6"/>
  <c r="S195" i="6"/>
  <c r="R195" i="6"/>
  <c r="Q195" i="6"/>
  <c r="P195" i="6"/>
  <c r="O195" i="6"/>
  <c r="N195" i="6"/>
  <c r="M195" i="6"/>
  <c r="L195" i="6"/>
  <c r="J195" i="6" s="1"/>
  <c r="G195" i="6" s="1"/>
  <c r="K195" i="6"/>
  <c r="F195" i="6"/>
  <c r="D195" i="6"/>
  <c r="T194" i="6"/>
  <c r="S194" i="6"/>
  <c r="R194" i="6"/>
  <c r="Q194" i="6"/>
  <c r="P194" i="6"/>
  <c r="O194" i="6"/>
  <c r="N194" i="6"/>
  <c r="M194" i="6"/>
  <c r="L194" i="6"/>
  <c r="K194" i="6"/>
  <c r="D194" i="6" s="1"/>
  <c r="F194" i="6"/>
  <c r="T193" i="6"/>
  <c r="S193" i="6"/>
  <c r="R193" i="6"/>
  <c r="Q193" i="6"/>
  <c r="P193" i="6"/>
  <c r="O193" i="6"/>
  <c r="N193" i="6"/>
  <c r="D193" i="6" s="1"/>
  <c r="M193" i="6"/>
  <c r="L193" i="6"/>
  <c r="K193" i="6"/>
  <c r="J193" i="6"/>
  <c r="G193" i="6" s="1"/>
  <c r="F193" i="6"/>
  <c r="T192" i="6"/>
  <c r="S192" i="6"/>
  <c r="R192" i="6"/>
  <c r="Q192" i="6"/>
  <c r="P192" i="6"/>
  <c r="O192" i="6"/>
  <c r="N192" i="6"/>
  <c r="M192" i="6"/>
  <c r="L192" i="6"/>
  <c r="K192" i="6"/>
  <c r="J192" i="6" s="1"/>
  <c r="F192" i="6"/>
  <c r="T191" i="6"/>
  <c r="S191" i="6"/>
  <c r="R191" i="6"/>
  <c r="Q191" i="6"/>
  <c r="P191" i="6"/>
  <c r="O191" i="6"/>
  <c r="N191" i="6"/>
  <c r="M191" i="6"/>
  <c r="L191" i="6"/>
  <c r="J191" i="6" s="1"/>
  <c r="K191" i="6"/>
  <c r="F191" i="6"/>
  <c r="D191" i="6"/>
  <c r="T190" i="6"/>
  <c r="S190" i="6"/>
  <c r="R190" i="6"/>
  <c r="Q190" i="6"/>
  <c r="P190" i="6"/>
  <c r="O190" i="6"/>
  <c r="N190" i="6"/>
  <c r="M190" i="6"/>
  <c r="L190" i="6"/>
  <c r="K190" i="6"/>
  <c r="D190" i="6" s="1"/>
  <c r="F190" i="6"/>
  <c r="T189" i="6"/>
  <c r="S189" i="6"/>
  <c r="R189" i="6"/>
  <c r="Q189" i="6"/>
  <c r="P189" i="6"/>
  <c r="O189" i="6"/>
  <c r="N189" i="6"/>
  <c r="D189" i="6" s="1"/>
  <c r="M189" i="6"/>
  <c r="L189" i="6"/>
  <c r="K189" i="6"/>
  <c r="J189" i="6"/>
  <c r="F189" i="6"/>
  <c r="T188" i="6"/>
  <c r="S188" i="6"/>
  <c r="R188" i="6"/>
  <c r="Q188" i="6"/>
  <c r="P188" i="6"/>
  <c r="O188" i="6"/>
  <c r="N188" i="6"/>
  <c r="M188" i="6"/>
  <c r="L188" i="6"/>
  <c r="K188" i="6"/>
  <c r="J188" i="6" s="1"/>
  <c r="F188" i="6"/>
  <c r="T187" i="6"/>
  <c r="S187" i="6"/>
  <c r="R187" i="6"/>
  <c r="Q187" i="6"/>
  <c r="P187" i="6"/>
  <c r="O187" i="6"/>
  <c r="N187" i="6"/>
  <c r="M187" i="6"/>
  <c r="L187" i="6"/>
  <c r="J187" i="6" s="1"/>
  <c r="G187" i="6" s="1"/>
  <c r="K187" i="6"/>
  <c r="F187" i="6"/>
  <c r="D187" i="6"/>
  <c r="T186" i="6"/>
  <c r="S186" i="6"/>
  <c r="R186" i="6"/>
  <c r="Q186" i="6"/>
  <c r="P186" i="6"/>
  <c r="O186" i="6"/>
  <c r="N186" i="6"/>
  <c r="M186" i="6"/>
  <c r="L186" i="6"/>
  <c r="K186" i="6"/>
  <c r="D186" i="6" s="1"/>
  <c r="F186" i="6"/>
  <c r="T185" i="6"/>
  <c r="S185" i="6"/>
  <c r="R185" i="6"/>
  <c r="Q185" i="6"/>
  <c r="P185" i="6"/>
  <c r="O185" i="6"/>
  <c r="N185" i="6"/>
  <c r="D185" i="6" s="1"/>
  <c r="M185" i="6"/>
  <c r="L185" i="6"/>
  <c r="K185" i="6"/>
  <c r="J185" i="6"/>
  <c r="F185" i="6"/>
  <c r="T184" i="6"/>
  <c r="S184" i="6"/>
  <c r="R184" i="6"/>
  <c r="Q184" i="6"/>
  <c r="P184" i="6"/>
  <c r="O184" i="6"/>
  <c r="N184" i="6"/>
  <c r="M184" i="6"/>
  <c r="L184" i="6"/>
  <c r="K184" i="6"/>
  <c r="J184" i="6" s="1"/>
  <c r="F184" i="6"/>
  <c r="T183" i="6"/>
  <c r="S183" i="6"/>
  <c r="R183" i="6"/>
  <c r="Q183" i="6"/>
  <c r="P183" i="6"/>
  <c r="O183" i="6"/>
  <c r="N183" i="6"/>
  <c r="M183" i="6"/>
  <c r="L183" i="6"/>
  <c r="J183" i="6" s="1"/>
  <c r="K183" i="6"/>
  <c r="F183" i="6"/>
  <c r="D183" i="6"/>
  <c r="T182" i="6"/>
  <c r="S182" i="6"/>
  <c r="R182" i="6"/>
  <c r="Q182" i="6"/>
  <c r="P182" i="6"/>
  <c r="O182" i="6"/>
  <c r="N182" i="6"/>
  <c r="M182" i="6"/>
  <c r="L182" i="6"/>
  <c r="K182" i="6"/>
  <c r="D182" i="6" s="1"/>
  <c r="F182" i="6"/>
  <c r="T181" i="6"/>
  <c r="S181" i="6"/>
  <c r="R181" i="6"/>
  <c r="Q181" i="6"/>
  <c r="P181" i="6"/>
  <c r="O181" i="6"/>
  <c r="N181" i="6"/>
  <c r="D181" i="6" s="1"/>
  <c r="M181" i="6"/>
  <c r="L181" i="6"/>
  <c r="K181" i="6"/>
  <c r="J181" i="6"/>
  <c r="F181" i="6"/>
  <c r="T180" i="6"/>
  <c r="S180" i="6"/>
  <c r="R180" i="6"/>
  <c r="Q180" i="6"/>
  <c r="P180" i="6"/>
  <c r="O180" i="6"/>
  <c r="N180" i="6"/>
  <c r="M180" i="6"/>
  <c r="L180" i="6"/>
  <c r="K180" i="6"/>
  <c r="J180" i="6" s="1"/>
  <c r="F180" i="6"/>
  <c r="T179" i="6"/>
  <c r="S179" i="6"/>
  <c r="R179" i="6"/>
  <c r="Q179" i="6"/>
  <c r="P179" i="6"/>
  <c r="O179" i="6"/>
  <c r="N179" i="6"/>
  <c r="M179" i="6"/>
  <c r="L179" i="6"/>
  <c r="J179" i="6" s="1"/>
  <c r="K179" i="6"/>
  <c r="F179" i="6"/>
  <c r="D179" i="6"/>
  <c r="T178" i="6"/>
  <c r="S178" i="6"/>
  <c r="R178" i="6"/>
  <c r="Q178" i="6"/>
  <c r="P178" i="6"/>
  <c r="O178" i="6"/>
  <c r="N178" i="6"/>
  <c r="M178" i="6"/>
  <c r="L178" i="6"/>
  <c r="K178" i="6"/>
  <c r="D178" i="6" s="1"/>
  <c r="F178" i="6"/>
  <c r="T177" i="6"/>
  <c r="S177" i="6"/>
  <c r="R177" i="6"/>
  <c r="Q177" i="6"/>
  <c r="P177" i="6"/>
  <c r="O177" i="6"/>
  <c r="N177" i="6"/>
  <c r="D177" i="6" s="1"/>
  <c r="M177" i="6"/>
  <c r="L177" i="6"/>
  <c r="K177" i="6"/>
  <c r="J177" i="6"/>
  <c r="F177" i="6"/>
  <c r="T176" i="6"/>
  <c r="S176" i="6"/>
  <c r="R176" i="6"/>
  <c r="Q176" i="6"/>
  <c r="P176" i="6"/>
  <c r="O176" i="6"/>
  <c r="N176" i="6"/>
  <c r="M176" i="6"/>
  <c r="L176" i="6"/>
  <c r="K176" i="6"/>
  <c r="J176" i="6" s="1"/>
  <c r="F176" i="6"/>
  <c r="T175" i="6"/>
  <c r="S175" i="6"/>
  <c r="R175" i="6"/>
  <c r="Q175" i="6"/>
  <c r="P175" i="6"/>
  <c r="O175" i="6"/>
  <c r="N175" i="6"/>
  <c r="M175" i="6"/>
  <c r="L175" i="6"/>
  <c r="J175" i="6" s="1"/>
  <c r="K175" i="6"/>
  <c r="F175" i="6"/>
  <c r="D175" i="6"/>
  <c r="T174" i="6"/>
  <c r="S174" i="6"/>
  <c r="R174" i="6"/>
  <c r="Q174" i="6"/>
  <c r="P174" i="6"/>
  <c r="O174" i="6"/>
  <c r="N174" i="6"/>
  <c r="M174" i="6"/>
  <c r="D174" i="6" s="1"/>
  <c r="L174" i="6"/>
  <c r="K174" i="6"/>
  <c r="J174" i="6" s="1"/>
  <c r="F174" i="6"/>
  <c r="T173" i="6"/>
  <c r="S173" i="6"/>
  <c r="R173" i="6"/>
  <c r="Q173" i="6"/>
  <c r="P173" i="6"/>
  <c r="O173" i="6"/>
  <c r="N173" i="6"/>
  <c r="D173" i="6" s="1"/>
  <c r="M173" i="6"/>
  <c r="L173" i="6"/>
  <c r="K173" i="6"/>
  <c r="J173" i="6"/>
  <c r="F173" i="6"/>
  <c r="T172" i="6"/>
  <c r="S172" i="6"/>
  <c r="R172" i="6"/>
  <c r="Q172" i="6"/>
  <c r="P172" i="6"/>
  <c r="O172" i="6"/>
  <c r="N172" i="6"/>
  <c r="M172" i="6"/>
  <c r="L172" i="6"/>
  <c r="K172" i="6"/>
  <c r="J172" i="6" s="1"/>
  <c r="F172" i="6"/>
  <c r="T171" i="6"/>
  <c r="S171" i="6"/>
  <c r="R171" i="6"/>
  <c r="Q171" i="6"/>
  <c r="P171" i="6"/>
  <c r="O171" i="6"/>
  <c r="N171" i="6"/>
  <c r="M171" i="6"/>
  <c r="L171" i="6"/>
  <c r="K171" i="6"/>
  <c r="J171" i="6" s="1"/>
  <c r="F171" i="6"/>
  <c r="D171" i="6"/>
  <c r="T170" i="6"/>
  <c r="S170" i="6"/>
  <c r="R170" i="6"/>
  <c r="Q170" i="6"/>
  <c r="P170" i="6"/>
  <c r="O170" i="6"/>
  <c r="N170" i="6"/>
  <c r="M170" i="6"/>
  <c r="D170" i="6" s="1"/>
  <c r="L170" i="6"/>
  <c r="K170" i="6"/>
  <c r="J170" i="6" s="1"/>
  <c r="F170" i="6"/>
  <c r="T169" i="6"/>
  <c r="S169" i="6"/>
  <c r="R169" i="6"/>
  <c r="Q169" i="6"/>
  <c r="P169" i="6"/>
  <c r="O169" i="6"/>
  <c r="N169" i="6"/>
  <c r="D169" i="6" s="1"/>
  <c r="M169" i="6"/>
  <c r="L169" i="6"/>
  <c r="K169" i="6"/>
  <c r="J169" i="6"/>
  <c r="G169" i="6" s="1"/>
  <c r="F169" i="6"/>
  <c r="T168" i="6"/>
  <c r="S168" i="6"/>
  <c r="R168" i="6"/>
  <c r="Q168" i="6"/>
  <c r="P168" i="6"/>
  <c r="O168" i="6"/>
  <c r="N168" i="6"/>
  <c r="M168" i="6"/>
  <c r="L168" i="6"/>
  <c r="K168" i="6"/>
  <c r="J168" i="6" s="1"/>
  <c r="F168" i="6"/>
  <c r="T167" i="6"/>
  <c r="S167" i="6"/>
  <c r="R167" i="6"/>
  <c r="Q167" i="6"/>
  <c r="P167" i="6"/>
  <c r="O167" i="6"/>
  <c r="N167" i="6"/>
  <c r="M167" i="6"/>
  <c r="L167" i="6"/>
  <c r="K167" i="6"/>
  <c r="J167" i="6" s="1"/>
  <c r="F167" i="6"/>
  <c r="D167" i="6"/>
  <c r="T166" i="6"/>
  <c r="S166" i="6"/>
  <c r="R166" i="6"/>
  <c r="Q166" i="6"/>
  <c r="P166" i="6"/>
  <c r="O166" i="6"/>
  <c r="N166" i="6"/>
  <c r="M166" i="6"/>
  <c r="D166" i="6" s="1"/>
  <c r="L166" i="6"/>
  <c r="K166" i="6"/>
  <c r="J166" i="6" s="1"/>
  <c r="F166" i="6"/>
  <c r="T165" i="6"/>
  <c r="S165" i="6"/>
  <c r="R165" i="6"/>
  <c r="Q165" i="6"/>
  <c r="P165" i="6"/>
  <c r="O165" i="6"/>
  <c r="N165" i="6"/>
  <c r="D165" i="6" s="1"/>
  <c r="M165" i="6"/>
  <c r="L165" i="6"/>
  <c r="K165" i="6"/>
  <c r="J165" i="6"/>
  <c r="F165" i="6"/>
  <c r="T164" i="6"/>
  <c r="S164" i="6"/>
  <c r="R164" i="6"/>
  <c r="Q164" i="6"/>
  <c r="P164" i="6"/>
  <c r="O164" i="6"/>
  <c r="N164" i="6"/>
  <c r="M164" i="6"/>
  <c r="L164" i="6"/>
  <c r="K164" i="6"/>
  <c r="J164" i="6" s="1"/>
  <c r="F164" i="6"/>
  <c r="T163" i="6"/>
  <c r="S163" i="6"/>
  <c r="R163" i="6"/>
  <c r="Q163" i="6"/>
  <c r="P163" i="6"/>
  <c r="O163" i="6"/>
  <c r="N163" i="6"/>
  <c r="M163" i="6"/>
  <c r="L163" i="6"/>
  <c r="K163" i="6"/>
  <c r="J163" i="6" s="1"/>
  <c r="F163" i="6"/>
  <c r="D163" i="6"/>
  <c r="T162" i="6"/>
  <c r="S162" i="6"/>
  <c r="R162" i="6"/>
  <c r="Q162" i="6"/>
  <c r="P162" i="6"/>
  <c r="O162" i="6"/>
  <c r="N162" i="6"/>
  <c r="M162" i="6"/>
  <c r="L162" i="6"/>
  <c r="K162" i="6"/>
  <c r="D162" i="6" s="1"/>
  <c r="F162" i="6"/>
  <c r="T161" i="6"/>
  <c r="S161" i="6"/>
  <c r="R161" i="6"/>
  <c r="Q161" i="6"/>
  <c r="P161" i="6"/>
  <c r="O161" i="6"/>
  <c r="N161" i="6"/>
  <c r="D161" i="6" s="1"/>
  <c r="M161" i="6"/>
  <c r="L161" i="6"/>
  <c r="K161" i="6"/>
  <c r="J161" i="6"/>
  <c r="F161" i="6"/>
  <c r="T160" i="6"/>
  <c r="S160" i="6"/>
  <c r="R160" i="6"/>
  <c r="Q160" i="6"/>
  <c r="P160" i="6"/>
  <c r="O160" i="6"/>
  <c r="N160" i="6"/>
  <c r="M160" i="6"/>
  <c r="L160" i="6"/>
  <c r="K160" i="6"/>
  <c r="J160" i="6" s="1"/>
  <c r="F160" i="6"/>
  <c r="T159" i="6"/>
  <c r="S159" i="6"/>
  <c r="R159" i="6"/>
  <c r="Q159" i="6"/>
  <c r="P159" i="6"/>
  <c r="O159" i="6"/>
  <c r="N159" i="6"/>
  <c r="M159" i="6"/>
  <c r="L159" i="6"/>
  <c r="K159" i="6"/>
  <c r="J159" i="6" s="1"/>
  <c r="F159" i="6"/>
  <c r="D159" i="6"/>
  <c r="T158" i="6"/>
  <c r="S158" i="6"/>
  <c r="R158" i="6"/>
  <c r="Q158" i="6"/>
  <c r="P158" i="6"/>
  <c r="O158" i="6"/>
  <c r="N158" i="6"/>
  <c r="M158" i="6"/>
  <c r="D158" i="6" s="1"/>
  <c r="L158" i="6"/>
  <c r="K158" i="6"/>
  <c r="J158" i="6" s="1"/>
  <c r="F158" i="6"/>
  <c r="T157" i="6"/>
  <c r="S157" i="6"/>
  <c r="R157" i="6"/>
  <c r="Q157" i="6"/>
  <c r="P157" i="6"/>
  <c r="O157" i="6"/>
  <c r="N157" i="6"/>
  <c r="D157" i="6" s="1"/>
  <c r="M157" i="6"/>
  <c r="L157" i="6"/>
  <c r="K157" i="6"/>
  <c r="J157" i="6"/>
  <c r="F157" i="6"/>
  <c r="T156" i="6"/>
  <c r="S156" i="6"/>
  <c r="R156" i="6"/>
  <c r="Q156" i="6"/>
  <c r="P156" i="6"/>
  <c r="O156" i="6"/>
  <c r="N156" i="6"/>
  <c r="M156" i="6"/>
  <c r="L156" i="6"/>
  <c r="K156" i="6"/>
  <c r="J156" i="6" s="1"/>
  <c r="F156" i="6"/>
  <c r="T155" i="6"/>
  <c r="S155" i="6"/>
  <c r="R155" i="6"/>
  <c r="Q155" i="6"/>
  <c r="P155" i="6"/>
  <c r="O155" i="6"/>
  <c r="N155" i="6"/>
  <c r="M155" i="6"/>
  <c r="L155" i="6"/>
  <c r="J155" i="6" s="1"/>
  <c r="K155" i="6"/>
  <c r="F155" i="6"/>
  <c r="D155" i="6"/>
  <c r="T154" i="6"/>
  <c r="S154" i="6"/>
  <c r="R154" i="6"/>
  <c r="Q154" i="6"/>
  <c r="P154" i="6"/>
  <c r="O154" i="6"/>
  <c r="N154" i="6"/>
  <c r="M154" i="6"/>
  <c r="L154" i="6"/>
  <c r="K154" i="6"/>
  <c r="D154" i="6" s="1"/>
  <c r="F154" i="6"/>
  <c r="T153" i="6"/>
  <c r="S153" i="6"/>
  <c r="R153" i="6"/>
  <c r="Q153" i="6"/>
  <c r="P153" i="6"/>
  <c r="O153" i="6"/>
  <c r="N153" i="6"/>
  <c r="D153" i="6" s="1"/>
  <c r="M153" i="6"/>
  <c r="L153" i="6"/>
  <c r="K153" i="6"/>
  <c r="J153" i="6"/>
  <c r="F153" i="6"/>
  <c r="T152" i="6"/>
  <c r="S152" i="6"/>
  <c r="R152" i="6"/>
  <c r="Q152" i="6"/>
  <c r="P152" i="6"/>
  <c r="O152" i="6"/>
  <c r="N152" i="6"/>
  <c r="M152" i="6"/>
  <c r="L152" i="6"/>
  <c r="K152" i="6"/>
  <c r="J152" i="6" s="1"/>
  <c r="F152" i="6"/>
  <c r="T151" i="6"/>
  <c r="S151" i="6"/>
  <c r="R151" i="6"/>
  <c r="Q151" i="6"/>
  <c r="P151" i="6"/>
  <c r="O151" i="6"/>
  <c r="N151" i="6"/>
  <c r="M151" i="6"/>
  <c r="L151" i="6"/>
  <c r="K151" i="6"/>
  <c r="J151" i="6" s="1"/>
  <c r="G151" i="6" s="1"/>
  <c r="F151" i="6"/>
  <c r="D151" i="6"/>
  <c r="T150" i="6"/>
  <c r="S150" i="6"/>
  <c r="R150" i="6"/>
  <c r="Q150" i="6"/>
  <c r="P150" i="6"/>
  <c r="O150" i="6"/>
  <c r="N150" i="6"/>
  <c r="M150" i="6"/>
  <c r="D150" i="6" s="1"/>
  <c r="L150" i="6"/>
  <c r="K150" i="6"/>
  <c r="J150" i="6" s="1"/>
  <c r="F150" i="6"/>
  <c r="T149" i="6"/>
  <c r="S149" i="6"/>
  <c r="R149" i="6"/>
  <c r="Q149" i="6"/>
  <c r="P149" i="6"/>
  <c r="O149" i="6"/>
  <c r="N149" i="6"/>
  <c r="D149" i="6" s="1"/>
  <c r="M149" i="6"/>
  <c r="L149" i="6"/>
  <c r="K149" i="6"/>
  <c r="J149" i="6"/>
  <c r="F149" i="6"/>
  <c r="T148" i="6"/>
  <c r="S148" i="6"/>
  <c r="R148" i="6"/>
  <c r="Q148" i="6"/>
  <c r="P148" i="6"/>
  <c r="O148" i="6"/>
  <c r="N148" i="6"/>
  <c r="M148" i="6"/>
  <c r="L148" i="6"/>
  <c r="K148" i="6"/>
  <c r="J148" i="6" s="1"/>
  <c r="F148" i="6"/>
  <c r="T147" i="6"/>
  <c r="S147" i="6"/>
  <c r="R147" i="6"/>
  <c r="Q147" i="6"/>
  <c r="P147" i="6"/>
  <c r="O147" i="6"/>
  <c r="N147" i="6"/>
  <c r="M147" i="6"/>
  <c r="L147" i="6"/>
  <c r="K147" i="6"/>
  <c r="J147" i="6" s="1"/>
  <c r="F147" i="6"/>
  <c r="D147" i="6"/>
  <c r="T146" i="6"/>
  <c r="S146" i="6"/>
  <c r="R146" i="6"/>
  <c r="Q146" i="6"/>
  <c r="P146" i="6"/>
  <c r="O146" i="6"/>
  <c r="N146" i="6"/>
  <c r="M146" i="6"/>
  <c r="D146" i="6" s="1"/>
  <c r="L146" i="6"/>
  <c r="K146" i="6"/>
  <c r="J146" i="6" s="1"/>
  <c r="F146" i="6"/>
  <c r="T145" i="6"/>
  <c r="S145" i="6"/>
  <c r="R145" i="6"/>
  <c r="Q145" i="6"/>
  <c r="P145" i="6"/>
  <c r="O145" i="6"/>
  <c r="N145" i="6"/>
  <c r="D145" i="6" s="1"/>
  <c r="M145" i="6"/>
  <c r="L145" i="6"/>
  <c r="K145" i="6"/>
  <c r="J145" i="6"/>
  <c r="G145" i="6" s="1"/>
  <c r="F145" i="6"/>
  <c r="T144" i="6"/>
  <c r="S144" i="6"/>
  <c r="R144" i="6"/>
  <c r="Q144" i="6"/>
  <c r="P144" i="6"/>
  <c r="O144" i="6"/>
  <c r="N144" i="6"/>
  <c r="M144" i="6"/>
  <c r="L144" i="6"/>
  <c r="K144" i="6"/>
  <c r="J144" i="6" s="1"/>
  <c r="F144" i="6"/>
  <c r="T143" i="6"/>
  <c r="S143" i="6"/>
  <c r="R143" i="6"/>
  <c r="Q143" i="6"/>
  <c r="P143" i="6"/>
  <c r="O143" i="6"/>
  <c r="N143" i="6"/>
  <c r="M143" i="6"/>
  <c r="L143" i="6"/>
  <c r="K143" i="6"/>
  <c r="J143" i="6" s="1"/>
  <c r="F143" i="6"/>
  <c r="D143" i="6"/>
  <c r="T142" i="6"/>
  <c r="S142" i="6"/>
  <c r="R142" i="6"/>
  <c r="Q142" i="6"/>
  <c r="P142" i="6"/>
  <c r="O142" i="6"/>
  <c r="N142" i="6"/>
  <c r="M142" i="6"/>
  <c r="D142" i="6" s="1"/>
  <c r="L142" i="6"/>
  <c r="K142" i="6"/>
  <c r="J142" i="6" s="1"/>
  <c r="F142" i="6"/>
  <c r="T141" i="6"/>
  <c r="S141" i="6"/>
  <c r="R141" i="6"/>
  <c r="Q141" i="6"/>
  <c r="P141" i="6"/>
  <c r="O141" i="6"/>
  <c r="N141" i="6"/>
  <c r="D141" i="6" s="1"/>
  <c r="M141" i="6"/>
  <c r="L141" i="6"/>
  <c r="K141" i="6"/>
  <c r="J141" i="6"/>
  <c r="F141" i="6"/>
  <c r="T140" i="6"/>
  <c r="S140" i="6"/>
  <c r="R140" i="6"/>
  <c r="Q140" i="6"/>
  <c r="P140" i="6"/>
  <c r="O140" i="6"/>
  <c r="N140" i="6"/>
  <c r="M140" i="6"/>
  <c r="L140" i="6"/>
  <c r="K140" i="6"/>
  <c r="J140" i="6" s="1"/>
  <c r="F140" i="6"/>
  <c r="T139" i="6"/>
  <c r="S139" i="6"/>
  <c r="R139" i="6"/>
  <c r="Q139" i="6"/>
  <c r="P139" i="6"/>
  <c r="O139" i="6"/>
  <c r="N139" i="6"/>
  <c r="M139" i="6"/>
  <c r="L139" i="6"/>
  <c r="K139" i="6"/>
  <c r="J139" i="6" s="1"/>
  <c r="F139" i="6"/>
  <c r="D139" i="6"/>
  <c r="T138" i="6"/>
  <c r="S138" i="6"/>
  <c r="R138" i="6"/>
  <c r="Q138" i="6"/>
  <c r="P138" i="6"/>
  <c r="O138" i="6"/>
  <c r="N138" i="6"/>
  <c r="M138" i="6"/>
  <c r="D138" i="6" s="1"/>
  <c r="L138" i="6"/>
  <c r="K138" i="6"/>
  <c r="J138" i="6" s="1"/>
  <c r="F138" i="6"/>
  <c r="T137" i="6"/>
  <c r="S137" i="6"/>
  <c r="R137" i="6"/>
  <c r="Q137" i="6"/>
  <c r="P137" i="6"/>
  <c r="O137" i="6"/>
  <c r="N137" i="6"/>
  <c r="D137" i="6" s="1"/>
  <c r="M137" i="6"/>
  <c r="L137" i="6"/>
  <c r="K137" i="6"/>
  <c r="J137" i="6"/>
  <c r="F137" i="6"/>
  <c r="T136" i="6"/>
  <c r="S136" i="6"/>
  <c r="R136" i="6"/>
  <c r="Q136" i="6"/>
  <c r="P136" i="6"/>
  <c r="O136" i="6"/>
  <c r="N136" i="6"/>
  <c r="M136" i="6"/>
  <c r="L136" i="6"/>
  <c r="K136" i="6"/>
  <c r="J136" i="6" s="1"/>
  <c r="F136" i="6"/>
  <c r="T135" i="6"/>
  <c r="S135" i="6"/>
  <c r="R135" i="6"/>
  <c r="Q135" i="6"/>
  <c r="P135" i="6"/>
  <c r="O135" i="6"/>
  <c r="N135" i="6"/>
  <c r="M135" i="6"/>
  <c r="L135" i="6"/>
  <c r="K135" i="6"/>
  <c r="J135" i="6" s="1"/>
  <c r="G135" i="6" s="1"/>
  <c r="F135" i="6"/>
  <c r="D135" i="6"/>
  <c r="T134" i="6"/>
  <c r="S134" i="6"/>
  <c r="R134" i="6"/>
  <c r="Q134" i="6"/>
  <c r="P134" i="6"/>
  <c r="O134" i="6"/>
  <c r="N134" i="6"/>
  <c r="M134" i="6"/>
  <c r="D134" i="6" s="1"/>
  <c r="L134" i="6"/>
  <c r="J134" i="6" s="1"/>
  <c r="K134" i="6"/>
  <c r="F134" i="6"/>
  <c r="T133" i="6"/>
  <c r="S133" i="6"/>
  <c r="R133" i="6"/>
  <c r="Q133" i="6"/>
  <c r="P133" i="6"/>
  <c r="O133" i="6"/>
  <c r="N133" i="6"/>
  <c r="M133" i="6"/>
  <c r="L133" i="6"/>
  <c r="K133" i="6"/>
  <c r="D133" i="6" s="1"/>
  <c r="J133" i="6"/>
  <c r="F133" i="6"/>
  <c r="T132" i="6"/>
  <c r="S132" i="6"/>
  <c r="R132" i="6"/>
  <c r="Q132" i="6"/>
  <c r="P132" i="6"/>
  <c r="O132" i="6"/>
  <c r="N132" i="6"/>
  <c r="M132" i="6"/>
  <c r="L132" i="6"/>
  <c r="K132" i="6"/>
  <c r="J132" i="6" s="1"/>
  <c r="F132" i="6"/>
  <c r="T131" i="6"/>
  <c r="S131" i="6"/>
  <c r="R131" i="6"/>
  <c r="Q131" i="6"/>
  <c r="P131" i="6"/>
  <c r="O131" i="6"/>
  <c r="N131" i="6"/>
  <c r="M131" i="6"/>
  <c r="L131" i="6"/>
  <c r="K131" i="6"/>
  <c r="J131" i="6" s="1"/>
  <c r="F131" i="6"/>
  <c r="D131" i="6"/>
  <c r="T130" i="6"/>
  <c r="S130" i="6"/>
  <c r="R130" i="6"/>
  <c r="Q130" i="6"/>
  <c r="P130" i="6"/>
  <c r="O130" i="6"/>
  <c r="N130" i="6"/>
  <c r="M130" i="6"/>
  <c r="D130" i="6" s="1"/>
  <c r="L130" i="6"/>
  <c r="K130" i="6"/>
  <c r="J130" i="6" s="1"/>
  <c r="F130" i="6"/>
  <c r="T129" i="6"/>
  <c r="S129" i="6"/>
  <c r="R129" i="6"/>
  <c r="Q129" i="6"/>
  <c r="P129" i="6"/>
  <c r="O129" i="6"/>
  <c r="N129" i="6"/>
  <c r="D129" i="6" s="1"/>
  <c r="M129" i="6"/>
  <c r="L129" i="6"/>
  <c r="K129" i="6"/>
  <c r="J129" i="6"/>
  <c r="F129" i="6"/>
  <c r="T128" i="6"/>
  <c r="S128" i="6"/>
  <c r="R128" i="6"/>
  <c r="Q128" i="6"/>
  <c r="P128" i="6"/>
  <c r="O128" i="6"/>
  <c r="N128" i="6"/>
  <c r="M128" i="6"/>
  <c r="L128" i="6"/>
  <c r="K128" i="6"/>
  <c r="J128" i="6" s="1"/>
  <c r="F128" i="6"/>
  <c r="T127" i="6"/>
  <c r="S127" i="6"/>
  <c r="R127" i="6"/>
  <c r="Q127" i="6"/>
  <c r="P127" i="6"/>
  <c r="O127" i="6"/>
  <c r="N127" i="6"/>
  <c r="M127" i="6"/>
  <c r="L127" i="6"/>
  <c r="K127" i="6"/>
  <c r="J127" i="6" s="1"/>
  <c r="F127" i="6"/>
  <c r="D127" i="6"/>
  <c r="T126" i="6"/>
  <c r="S126" i="6"/>
  <c r="R126" i="6"/>
  <c r="Q126" i="6"/>
  <c r="P126" i="6"/>
  <c r="O126" i="6"/>
  <c r="N126" i="6"/>
  <c r="M126" i="6"/>
  <c r="D126" i="6" s="1"/>
  <c r="L126" i="6"/>
  <c r="K126" i="6"/>
  <c r="J126" i="6" s="1"/>
  <c r="F126" i="6"/>
  <c r="T125" i="6"/>
  <c r="S125" i="6"/>
  <c r="R125" i="6"/>
  <c r="Q125" i="6"/>
  <c r="P125" i="6"/>
  <c r="O125" i="6"/>
  <c r="N125" i="6"/>
  <c r="D125" i="6" s="1"/>
  <c r="M125" i="6"/>
  <c r="L125" i="6"/>
  <c r="K125" i="6"/>
  <c r="J125" i="6"/>
  <c r="F125" i="6"/>
  <c r="T124" i="6"/>
  <c r="S124" i="6"/>
  <c r="R124" i="6"/>
  <c r="Q124" i="6"/>
  <c r="P124" i="6"/>
  <c r="O124" i="6"/>
  <c r="N124" i="6"/>
  <c r="M124" i="6"/>
  <c r="L124" i="6"/>
  <c r="K124" i="6"/>
  <c r="J124" i="6" s="1"/>
  <c r="F124" i="6"/>
  <c r="T123" i="6"/>
  <c r="S123" i="6"/>
  <c r="R123" i="6"/>
  <c r="Q123" i="6"/>
  <c r="P123" i="6"/>
  <c r="O123" i="6"/>
  <c r="N123" i="6"/>
  <c r="M123" i="6"/>
  <c r="L123" i="6"/>
  <c r="K123" i="6"/>
  <c r="J123" i="6" s="1"/>
  <c r="F123" i="6"/>
  <c r="D123" i="6"/>
  <c r="T122" i="6"/>
  <c r="S122" i="6"/>
  <c r="R122" i="6"/>
  <c r="Q122" i="6"/>
  <c r="P122" i="6"/>
  <c r="O122" i="6"/>
  <c r="N122" i="6"/>
  <c r="M122" i="6"/>
  <c r="D122" i="6" s="1"/>
  <c r="L122" i="6"/>
  <c r="K122" i="6"/>
  <c r="J122" i="6" s="1"/>
  <c r="F122" i="6"/>
  <c r="T121" i="6"/>
  <c r="S121" i="6"/>
  <c r="R121" i="6"/>
  <c r="Q121" i="6"/>
  <c r="P121" i="6"/>
  <c r="O121" i="6"/>
  <c r="N121" i="6"/>
  <c r="D121" i="6" s="1"/>
  <c r="M121" i="6"/>
  <c r="L121" i="6"/>
  <c r="K121" i="6"/>
  <c r="J121" i="6"/>
  <c r="F121" i="6"/>
  <c r="T120" i="6"/>
  <c r="S120" i="6"/>
  <c r="R120" i="6"/>
  <c r="Q120" i="6"/>
  <c r="P120" i="6"/>
  <c r="O120" i="6"/>
  <c r="N120" i="6"/>
  <c r="M120" i="6"/>
  <c r="L120" i="6"/>
  <c r="K120" i="6"/>
  <c r="J120" i="6" s="1"/>
  <c r="F120" i="6"/>
  <c r="T119" i="6"/>
  <c r="S119" i="6"/>
  <c r="R119" i="6"/>
  <c r="Q119" i="6"/>
  <c r="P119" i="6"/>
  <c r="O119" i="6"/>
  <c r="N119" i="6"/>
  <c r="M119" i="6"/>
  <c r="L119" i="6"/>
  <c r="K119" i="6"/>
  <c r="J119" i="6" s="1"/>
  <c r="G119" i="6" s="1"/>
  <c r="F119" i="6"/>
  <c r="D119" i="6"/>
  <c r="T118" i="6"/>
  <c r="S118" i="6"/>
  <c r="R118" i="6"/>
  <c r="Q118" i="6"/>
  <c r="P118" i="6"/>
  <c r="O118" i="6"/>
  <c r="N118" i="6"/>
  <c r="M118" i="6"/>
  <c r="D118" i="6" s="1"/>
  <c r="L118" i="6"/>
  <c r="K118" i="6"/>
  <c r="J118" i="6" s="1"/>
  <c r="F118" i="6"/>
  <c r="T117" i="6"/>
  <c r="S117" i="6"/>
  <c r="R117" i="6"/>
  <c r="Q117" i="6"/>
  <c r="P117" i="6"/>
  <c r="O117" i="6"/>
  <c r="N117" i="6"/>
  <c r="M117" i="6"/>
  <c r="L117" i="6"/>
  <c r="K117" i="6"/>
  <c r="J117" i="6"/>
  <c r="F117" i="6"/>
  <c r="T116" i="6"/>
  <c r="S116" i="6"/>
  <c r="R116" i="6"/>
  <c r="Q116" i="6"/>
  <c r="P116" i="6"/>
  <c r="O116" i="6"/>
  <c r="N116" i="6"/>
  <c r="M116" i="6"/>
  <c r="L116" i="6"/>
  <c r="K116" i="6"/>
  <c r="F116" i="6"/>
  <c r="T115" i="6"/>
  <c r="S115" i="6"/>
  <c r="R115" i="6"/>
  <c r="Q115" i="6"/>
  <c r="P115" i="6"/>
  <c r="O115" i="6"/>
  <c r="N115" i="6"/>
  <c r="M115" i="6"/>
  <c r="L115" i="6"/>
  <c r="K115" i="6"/>
  <c r="F115" i="6"/>
  <c r="D115" i="6"/>
  <c r="T114" i="6"/>
  <c r="S114" i="6"/>
  <c r="R114" i="6"/>
  <c r="Q114" i="6"/>
  <c r="P114" i="6"/>
  <c r="O114" i="6"/>
  <c r="N114" i="6"/>
  <c r="M114" i="6"/>
  <c r="D114" i="6" s="1"/>
  <c r="L114" i="6"/>
  <c r="K114" i="6"/>
  <c r="F114" i="6"/>
  <c r="T113" i="6"/>
  <c r="S113" i="6"/>
  <c r="R113" i="6"/>
  <c r="Q113" i="6"/>
  <c r="P113" i="6"/>
  <c r="O113" i="6"/>
  <c r="N113" i="6"/>
  <c r="D113" i="6" s="1"/>
  <c r="M113" i="6"/>
  <c r="L113" i="6"/>
  <c r="K113" i="6"/>
  <c r="J113" i="6"/>
  <c r="F113" i="6"/>
  <c r="T112" i="6"/>
  <c r="S112" i="6"/>
  <c r="R112" i="6"/>
  <c r="Q112" i="6"/>
  <c r="P112" i="6"/>
  <c r="O112" i="6"/>
  <c r="N112" i="6"/>
  <c r="M112" i="6"/>
  <c r="L112" i="6"/>
  <c r="K112" i="6"/>
  <c r="F112" i="6"/>
  <c r="T111" i="6"/>
  <c r="S111" i="6"/>
  <c r="R111" i="6"/>
  <c r="Q111" i="6"/>
  <c r="P111" i="6"/>
  <c r="O111" i="6"/>
  <c r="N111" i="6"/>
  <c r="M111" i="6"/>
  <c r="L111" i="6"/>
  <c r="K111" i="6"/>
  <c r="F111" i="6"/>
  <c r="D111" i="6"/>
  <c r="T110" i="6"/>
  <c r="S110" i="6"/>
  <c r="R110" i="6"/>
  <c r="Q110" i="6"/>
  <c r="P110" i="6"/>
  <c r="O110" i="6"/>
  <c r="N110" i="6"/>
  <c r="M110" i="6"/>
  <c r="D110" i="6" s="1"/>
  <c r="L110" i="6"/>
  <c r="K110" i="6"/>
  <c r="J110" i="6" s="1"/>
  <c r="F110" i="6"/>
  <c r="T109" i="6"/>
  <c r="S109" i="6"/>
  <c r="R109" i="6"/>
  <c r="Q109" i="6"/>
  <c r="P109" i="6"/>
  <c r="O109" i="6"/>
  <c r="N109" i="6"/>
  <c r="D109" i="6" s="1"/>
  <c r="M109" i="6"/>
  <c r="L109" i="6"/>
  <c r="K109" i="6"/>
  <c r="J109" i="6"/>
  <c r="F109" i="6"/>
  <c r="T108" i="6"/>
  <c r="S108" i="6"/>
  <c r="R108" i="6"/>
  <c r="Q108" i="6"/>
  <c r="P108" i="6"/>
  <c r="O108" i="6"/>
  <c r="N108" i="6"/>
  <c r="M108" i="6"/>
  <c r="L108" i="6"/>
  <c r="K108" i="6"/>
  <c r="F108" i="6"/>
  <c r="T107" i="6"/>
  <c r="S107" i="6"/>
  <c r="R107" i="6"/>
  <c r="Q107" i="6"/>
  <c r="P107" i="6"/>
  <c r="O107" i="6"/>
  <c r="N107" i="6"/>
  <c r="M107" i="6"/>
  <c r="L107" i="6"/>
  <c r="K107" i="6"/>
  <c r="F107" i="6"/>
  <c r="D107" i="6"/>
  <c r="T106" i="6"/>
  <c r="S106" i="6"/>
  <c r="R106" i="6"/>
  <c r="Q106" i="6"/>
  <c r="P106" i="6"/>
  <c r="O106" i="6"/>
  <c r="N106" i="6"/>
  <c r="M106" i="6"/>
  <c r="D106" i="6" s="1"/>
  <c r="L106" i="6"/>
  <c r="K106" i="6"/>
  <c r="F106" i="6"/>
  <c r="T105" i="6"/>
  <c r="S105" i="6"/>
  <c r="R105" i="6"/>
  <c r="Q105" i="6"/>
  <c r="P105" i="6"/>
  <c r="O105" i="6"/>
  <c r="N105" i="6"/>
  <c r="D105" i="6" s="1"/>
  <c r="M105" i="6"/>
  <c r="L105" i="6"/>
  <c r="K105" i="6"/>
  <c r="J105" i="6"/>
  <c r="F105" i="6"/>
  <c r="T104" i="6"/>
  <c r="S104" i="6"/>
  <c r="R104" i="6"/>
  <c r="Q104" i="6"/>
  <c r="P104" i="6"/>
  <c r="O104" i="6"/>
  <c r="N104" i="6"/>
  <c r="M104" i="6"/>
  <c r="L104" i="6"/>
  <c r="K104" i="6"/>
  <c r="F104" i="6"/>
  <c r="T103" i="6"/>
  <c r="S103" i="6"/>
  <c r="R103" i="6"/>
  <c r="Q103" i="6"/>
  <c r="P103" i="6"/>
  <c r="O103" i="6"/>
  <c r="N103" i="6"/>
  <c r="M103" i="6"/>
  <c r="L103" i="6"/>
  <c r="K103" i="6"/>
  <c r="F103" i="6"/>
  <c r="D103" i="6"/>
  <c r="T102" i="6"/>
  <c r="S102" i="6"/>
  <c r="R102" i="6"/>
  <c r="Q102" i="6"/>
  <c r="P102" i="6"/>
  <c r="O102" i="6"/>
  <c r="N102" i="6"/>
  <c r="M102" i="6"/>
  <c r="D102" i="6" s="1"/>
  <c r="L102" i="6"/>
  <c r="K102" i="6"/>
  <c r="J102" i="6" s="1"/>
  <c r="F102" i="6"/>
  <c r="T101" i="6"/>
  <c r="S101" i="6"/>
  <c r="R101" i="6"/>
  <c r="Q101" i="6"/>
  <c r="P101" i="6"/>
  <c r="O101" i="6"/>
  <c r="N101" i="6"/>
  <c r="M101" i="6"/>
  <c r="L101" i="6"/>
  <c r="K101" i="6"/>
  <c r="J101" i="6"/>
  <c r="F101" i="6"/>
  <c r="T100" i="6"/>
  <c r="S100" i="6"/>
  <c r="R100" i="6"/>
  <c r="Q100" i="6"/>
  <c r="P100" i="6"/>
  <c r="O100" i="6"/>
  <c r="N100" i="6"/>
  <c r="M100" i="6"/>
  <c r="L100" i="6"/>
  <c r="K100" i="6"/>
  <c r="F100" i="6"/>
  <c r="T99" i="6"/>
  <c r="S99" i="6"/>
  <c r="R99" i="6"/>
  <c r="Q99" i="6"/>
  <c r="P99" i="6"/>
  <c r="O99" i="6"/>
  <c r="N99" i="6"/>
  <c r="M99" i="6"/>
  <c r="L99" i="6"/>
  <c r="K99" i="6"/>
  <c r="F99" i="6"/>
  <c r="D99" i="6"/>
  <c r="T98" i="6"/>
  <c r="S98" i="6"/>
  <c r="R98" i="6"/>
  <c r="Q98" i="6"/>
  <c r="P98" i="6"/>
  <c r="O98" i="6"/>
  <c r="N98" i="6"/>
  <c r="M98" i="6"/>
  <c r="D98" i="6" s="1"/>
  <c r="L98" i="6"/>
  <c r="K98" i="6"/>
  <c r="F98" i="6"/>
  <c r="T97" i="6"/>
  <c r="S97" i="6"/>
  <c r="R97" i="6"/>
  <c r="Q97" i="6"/>
  <c r="P97" i="6"/>
  <c r="O97" i="6"/>
  <c r="N97" i="6"/>
  <c r="D97" i="6" s="1"/>
  <c r="M97" i="6"/>
  <c r="L97" i="6"/>
  <c r="K97" i="6"/>
  <c r="J97" i="6"/>
  <c r="F97" i="6"/>
  <c r="T96" i="6"/>
  <c r="S96" i="6"/>
  <c r="R96" i="6"/>
  <c r="Q96" i="6"/>
  <c r="P96" i="6"/>
  <c r="O96" i="6"/>
  <c r="N96" i="6"/>
  <c r="M96" i="6"/>
  <c r="L96" i="6"/>
  <c r="K96" i="6"/>
  <c r="F96" i="6"/>
  <c r="T95" i="6"/>
  <c r="S95" i="6"/>
  <c r="R95" i="6"/>
  <c r="Q95" i="6"/>
  <c r="P95" i="6"/>
  <c r="O95" i="6"/>
  <c r="N95" i="6"/>
  <c r="M95" i="6"/>
  <c r="L95" i="6"/>
  <c r="K95" i="6"/>
  <c r="F95" i="6"/>
  <c r="D95" i="6"/>
  <c r="T94" i="6"/>
  <c r="S94" i="6"/>
  <c r="R94" i="6"/>
  <c r="Q94" i="6"/>
  <c r="P94" i="6"/>
  <c r="O94" i="6"/>
  <c r="N94" i="6"/>
  <c r="M94" i="6"/>
  <c r="D94" i="6" s="1"/>
  <c r="L94" i="6"/>
  <c r="K94" i="6"/>
  <c r="J94" i="6" s="1"/>
  <c r="F94" i="6"/>
  <c r="T93" i="6"/>
  <c r="S93" i="6"/>
  <c r="R93" i="6"/>
  <c r="Q93" i="6"/>
  <c r="P93" i="6"/>
  <c r="O93" i="6"/>
  <c r="N93" i="6"/>
  <c r="D93" i="6" s="1"/>
  <c r="M93" i="6"/>
  <c r="L93" i="6"/>
  <c r="K93" i="6"/>
  <c r="J93" i="6"/>
  <c r="F93" i="6"/>
  <c r="T92" i="6"/>
  <c r="S92" i="6"/>
  <c r="R92" i="6"/>
  <c r="Q92" i="6"/>
  <c r="P92" i="6"/>
  <c r="O92" i="6"/>
  <c r="N92" i="6"/>
  <c r="M92" i="6"/>
  <c r="L92" i="6"/>
  <c r="K92" i="6"/>
  <c r="F92" i="6"/>
  <c r="T91" i="6"/>
  <c r="S91" i="6"/>
  <c r="R91" i="6"/>
  <c r="Q91" i="6"/>
  <c r="P91" i="6"/>
  <c r="O91" i="6"/>
  <c r="N91" i="6"/>
  <c r="M91" i="6"/>
  <c r="L91" i="6"/>
  <c r="K91" i="6"/>
  <c r="F91" i="6"/>
  <c r="D91" i="6"/>
  <c r="T90" i="6"/>
  <c r="S90" i="6"/>
  <c r="R90" i="6"/>
  <c r="Q90" i="6"/>
  <c r="P90" i="6"/>
  <c r="O90" i="6"/>
  <c r="N90" i="6"/>
  <c r="M90" i="6"/>
  <c r="D90" i="6" s="1"/>
  <c r="L90" i="6"/>
  <c r="K90" i="6"/>
  <c r="F90" i="6"/>
  <c r="T89" i="6"/>
  <c r="S89" i="6"/>
  <c r="R89" i="6"/>
  <c r="Q89" i="6"/>
  <c r="P89" i="6"/>
  <c r="O89" i="6"/>
  <c r="N89" i="6"/>
  <c r="D89" i="6" s="1"/>
  <c r="M89" i="6"/>
  <c r="L89" i="6"/>
  <c r="K89" i="6"/>
  <c r="J89" i="6"/>
  <c r="F89" i="6"/>
  <c r="T88" i="6"/>
  <c r="S88" i="6"/>
  <c r="R88" i="6"/>
  <c r="Q88" i="6"/>
  <c r="P88" i="6"/>
  <c r="O88" i="6"/>
  <c r="N88" i="6"/>
  <c r="M88" i="6"/>
  <c r="L88" i="6"/>
  <c r="K88" i="6"/>
  <c r="F88" i="6"/>
  <c r="T87" i="6"/>
  <c r="S87" i="6"/>
  <c r="R87" i="6"/>
  <c r="Q87" i="6"/>
  <c r="P87" i="6"/>
  <c r="O87" i="6"/>
  <c r="N87" i="6"/>
  <c r="M87" i="6"/>
  <c r="L87" i="6"/>
  <c r="K87" i="6"/>
  <c r="F87" i="6"/>
  <c r="D87" i="6"/>
  <c r="T86" i="6"/>
  <c r="S86" i="6"/>
  <c r="R86" i="6"/>
  <c r="Q86" i="6"/>
  <c r="P86" i="6"/>
  <c r="O86" i="6"/>
  <c r="N86" i="6"/>
  <c r="M86" i="6"/>
  <c r="D86" i="6" s="1"/>
  <c r="L86" i="6"/>
  <c r="K86" i="6"/>
  <c r="J86" i="6" s="1"/>
  <c r="F86" i="6"/>
  <c r="T85" i="6"/>
  <c r="S85" i="6"/>
  <c r="R85" i="6"/>
  <c r="Q85" i="6"/>
  <c r="P85" i="6"/>
  <c r="O85" i="6"/>
  <c r="N85" i="6"/>
  <c r="D85" i="6" s="1"/>
  <c r="M85" i="6"/>
  <c r="L85" i="6"/>
  <c r="K85" i="6"/>
  <c r="J85" i="6"/>
  <c r="F85" i="6"/>
  <c r="T84" i="6"/>
  <c r="S84" i="6"/>
  <c r="R84" i="6"/>
  <c r="Q84" i="6"/>
  <c r="P84" i="6"/>
  <c r="O84" i="6"/>
  <c r="N84" i="6"/>
  <c r="M84" i="6"/>
  <c r="L84" i="6"/>
  <c r="K84" i="6"/>
  <c r="F84" i="6"/>
  <c r="T83" i="6"/>
  <c r="S83" i="6"/>
  <c r="R83" i="6"/>
  <c r="Q83" i="6"/>
  <c r="P83" i="6"/>
  <c r="O83" i="6"/>
  <c r="N83" i="6"/>
  <c r="M83" i="6"/>
  <c r="L83" i="6"/>
  <c r="K83" i="6"/>
  <c r="F83" i="6"/>
  <c r="D83" i="6"/>
  <c r="T82" i="6"/>
  <c r="S82" i="6"/>
  <c r="R82" i="6"/>
  <c r="Q82" i="6"/>
  <c r="P82" i="6"/>
  <c r="O82" i="6"/>
  <c r="N82" i="6"/>
  <c r="M82" i="6"/>
  <c r="D82" i="6" s="1"/>
  <c r="L82" i="6"/>
  <c r="K82" i="6"/>
  <c r="F82" i="6"/>
  <c r="T81" i="6"/>
  <c r="S81" i="6"/>
  <c r="R81" i="6"/>
  <c r="Q81" i="6"/>
  <c r="P81" i="6"/>
  <c r="O81" i="6"/>
  <c r="N81" i="6"/>
  <c r="D81" i="6" s="1"/>
  <c r="M81" i="6"/>
  <c r="L81" i="6"/>
  <c r="K81" i="6"/>
  <c r="J81" i="6"/>
  <c r="F81" i="6"/>
  <c r="T80" i="6"/>
  <c r="S80" i="6"/>
  <c r="R80" i="6"/>
  <c r="Q80" i="6"/>
  <c r="P80" i="6"/>
  <c r="O80" i="6"/>
  <c r="N80" i="6"/>
  <c r="M80" i="6"/>
  <c r="L80" i="6"/>
  <c r="K80" i="6"/>
  <c r="F80" i="6"/>
  <c r="T79" i="6"/>
  <c r="S79" i="6"/>
  <c r="R79" i="6"/>
  <c r="Q79" i="6"/>
  <c r="P79" i="6"/>
  <c r="O79" i="6"/>
  <c r="N79" i="6"/>
  <c r="M79" i="6"/>
  <c r="L79" i="6"/>
  <c r="K79" i="6"/>
  <c r="F79" i="6"/>
  <c r="D79" i="6"/>
  <c r="T78" i="6"/>
  <c r="S78" i="6"/>
  <c r="R78" i="6"/>
  <c r="Q78" i="6"/>
  <c r="P78" i="6"/>
  <c r="O78" i="6"/>
  <c r="N78" i="6"/>
  <c r="M78" i="6"/>
  <c r="D78" i="6" s="1"/>
  <c r="L78" i="6"/>
  <c r="K78" i="6"/>
  <c r="J78" i="6" s="1"/>
  <c r="F78" i="6"/>
  <c r="T77" i="6"/>
  <c r="S77" i="6"/>
  <c r="R77" i="6"/>
  <c r="Q77" i="6"/>
  <c r="P77" i="6"/>
  <c r="O77" i="6"/>
  <c r="N77" i="6"/>
  <c r="D77" i="6" s="1"/>
  <c r="M77" i="6"/>
  <c r="L77" i="6"/>
  <c r="K77" i="6"/>
  <c r="J77" i="6"/>
  <c r="F77" i="6"/>
  <c r="T76" i="6"/>
  <c r="S76" i="6"/>
  <c r="R76" i="6"/>
  <c r="Q76" i="6"/>
  <c r="P76" i="6"/>
  <c r="O76" i="6"/>
  <c r="N76" i="6"/>
  <c r="M76" i="6"/>
  <c r="L76" i="6"/>
  <c r="K76" i="6"/>
  <c r="F76" i="6"/>
  <c r="T75" i="6"/>
  <c r="S75" i="6"/>
  <c r="R75" i="6"/>
  <c r="Q75" i="6"/>
  <c r="P75" i="6"/>
  <c r="O75" i="6"/>
  <c r="N75" i="6"/>
  <c r="M75" i="6"/>
  <c r="L75" i="6"/>
  <c r="K75" i="6"/>
  <c r="F75" i="6"/>
  <c r="D75" i="6"/>
  <c r="T74" i="6"/>
  <c r="S74" i="6"/>
  <c r="R74" i="6"/>
  <c r="Q74" i="6"/>
  <c r="P74" i="6"/>
  <c r="O74" i="6"/>
  <c r="N74" i="6"/>
  <c r="M74" i="6"/>
  <c r="D74" i="6" s="1"/>
  <c r="L74" i="6"/>
  <c r="K74" i="6"/>
  <c r="F74" i="6"/>
  <c r="T73" i="6"/>
  <c r="S73" i="6"/>
  <c r="R73" i="6"/>
  <c r="Q73" i="6"/>
  <c r="P73" i="6"/>
  <c r="O73" i="6"/>
  <c r="N73" i="6"/>
  <c r="D73" i="6" s="1"/>
  <c r="M73" i="6"/>
  <c r="L73" i="6"/>
  <c r="K73" i="6"/>
  <c r="J73" i="6"/>
  <c r="F73" i="6"/>
  <c r="T72" i="6"/>
  <c r="S72" i="6"/>
  <c r="R72" i="6"/>
  <c r="Q72" i="6"/>
  <c r="P72" i="6"/>
  <c r="O72" i="6"/>
  <c r="N72" i="6"/>
  <c r="M72" i="6"/>
  <c r="L72" i="6"/>
  <c r="K72" i="6"/>
  <c r="F72" i="6"/>
  <c r="T71" i="6"/>
  <c r="S71" i="6"/>
  <c r="R71" i="6"/>
  <c r="Q71" i="6"/>
  <c r="P71" i="6"/>
  <c r="O71" i="6"/>
  <c r="N71" i="6"/>
  <c r="M71" i="6"/>
  <c r="L71" i="6"/>
  <c r="K71" i="6"/>
  <c r="F71" i="6"/>
  <c r="D71" i="6"/>
  <c r="T70" i="6"/>
  <c r="S70" i="6"/>
  <c r="R70" i="6"/>
  <c r="Q70" i="6"/>
  <c r="P70" i="6"/>
  <c r="O70" i="6"/>
  <c r="N70" i="6"/>
  <c r="M70" i="6"/>
  <c r="D70" i="6" s="1"/>
  <c r="L70" i="6"/>
  <c r="K70" i="6"/>
  <c r="J70" i="6" s="1"/>
  <c r="F70" i="6"/>
  <c r="T69" i="6"/>
  <c r="S69" i="6"/>
  <c r="R69" i="6"/>
  <c r="Q69" i="6"/>
  <c r="P69" i="6"/>
  <c r="O69" i="6"/>
  <c r="N69" i="6"/>
  <c r="D69" i="6" s="1"/>
  <c r="M69" i="6"/>
  <c r="L69" i="6"/>
  <c r="K69" i="6"/>
  <c r="J69" i="6"/>
  <c r="F69" i="6"/>
  <c r="T68" i="6"/>
  <c r="S68" i="6"/>
  <c r="R68" i="6"/>
  <c r="Q68" i="6"/>
  <c r="P68" i="6"/>
  <c r="O68" i="6"/>
  <c r="N68" i="6"/>
  <c r="M68" i="6"/>
  <c r="L68" i="6"/>
  <c r="K68" i="6"/>
  <c r="F68" i="6"/>
  <c r="T67" i="6"/>
  <c r="S67" i="6"/>
  <c r="R67" i="6"/>
  <c r="Q67" i="6"/>
  <c r="P67" i="6"/>
  <c r="O67" i="6"/>
  <c r="N67" i="6"/>
  <c r="M67" i="6"/>
  <c r="L67" i="6"/>
  <c r="K67" i="6"/>
  <c r="F67" i="6"/>
  <c r="D67" i="6"/>
  <c r="T66" i="6"/>
  <c r="S66" i="6"/>
  <c r="R66" i="6"/>
  <c r="Q66" i="6"/>
  <c r="P66" i="6"/>
  <c r="O66" i="6"/>
  <c r="N66" i="6"/>
  <c r="M66" i="6"/>
  <c r="D66" i="6" s="1"/>
  <c r="L66" i="6"/>
  <c r="K66" i="6"/>
  <c r="F66" i="6"/>
  <c r="T65" i="6"/>
  <c r="S65" i="6"/>
  <c r="R65" i="6"/>
  <c r="Q65" i="6"/>
  <c r="P65" i="6"/>
  <c r="O65" i="6"/>
  <c r="N65" i="6"/>
  <c r="D65" i="6" s="1"/>
  <c r="M65" i="6"/>
  <c r="L65" i="6"/>
  <c r="K65" i="6"/>
  <c r="J65" i="6"/>
  <c r="F65" i="6"/>
  <c r="T64" i="6"/>
  <c r="S64" i="6"/>
  <c r="R64" i="6"/>
  <c r="Q64" i="6"/>
  <c r="P64" i="6"/>
  <c r="O64" i="6"/>
  <c r="N64" i="6"/>
  <c r="M64" i="6"/>
  <c r="L64" i="6"/>
  <c r="K64" i="6"/>
  <c r="F64" i="6"/>
  <c r="T63" i="6"/>
  <c r="S63" i="6"/>
  <c r="R63" i="6"/>
  <c r="Q63" i="6"/>
  <c r="P63" i="6"/>
  <c r="O63" i="6"/>
  <c r="N63" i="6"/>
  <c r="M63" i="6"/>
  <c r="L63" i="6"/>
  <c r="K63" i="6"/>
  <c r="F63" i="6"/>
  <c r="D63" i="6"/>
  <c r="T62" i="6"/>
  <c r="S62" i="6"/>
  <c r="R62" i="6"/>
  <c r="Q62" i="6"/>
  <c r="P62" i="6"/>
  <c r="O62" i="6"/>
  <c r="N62" i="6"/>
  <c r="M62" i="6"/>
  <c r="D62" i="6" s="1"/>
  <c r="L62" i="6"/>
  <c r="K62" i="6"/>
  <c r="J62" i="6" s="1"/>
  <c r="F62" i="6"/>
  <c r="T61" i="6"/>
  <c r="S61" i="6"/>
  <c r="R61" i="6"/>
  <c r="Q61" i="6"/>
  <c r="P61" i="6"/>
  <c r="O61" i="6"/>
  <c r="N61" i="6"/>
  <c r="D61" i="6" s="1"/>
  <c r="M61" i="6"/>
  <c r="L61" i="6"/>
  <c r="K61" i="6"/>
  <c r="J61" i="6"/>
  <c r="F61" i="6"/>
  <c r="T60" i="6"/>
  <c r="S60" i="6"/>
  <c r="R60" i="6"/>
  <c r="Q60" i="6"/>
  <c r="P60" i="6"/>
  <c r="O60" i="6"/>
  <c r="N60" i="6"/>
  <c r="M60" i="6"/>
  <c r="L60" i="6"/>
  <c r="K60" i="6"/>
  <c r="F60" i="6"/>
  <c r="T59" i="6"/>
  <c r="S59" i="6"/>
  <c r="R59" i="6"/>
  <c r="Q59" i="6"/>
  <c r="P59" i="6"/>
  <c r="O59" i="6"/>
  <c r="N59" i="6"/>
  <c r="M59" i="6"/>
  <c r="L59" i="6"/>
  <c r="K59" i="6"/>
  <c r="F59" i="6"/>
  <c r="D59" i="6"/>
  <c r="T58" i="6"/>
  <c r="S58" i="6"/>
  <c r="R58" i="6"/>
  <c r="Q58" i="6"/>
  <c r="P58" i="6"/>
  <c r="O58" i="6"/>
  <c r="N58" i="6"/>
  <c r="M58" i="6"/>
  <c r="D58" i="6" s="1"/>
  <c r="L58" i="6"/>
  <c r="K58" i="6"/>
  <c r="F58" i="6"/>
  <c r="T57" i="6"/>
  <c r="S57" i="6"/>
  <c r="R57" i="6"/>
  <c r="Q57" i="6"/>
  <c r="P57" i="6"/>
  <c r="O57" i="6"/>
  <c r="N57" i="6"/>
  <c r="D57" i="6" s="1"/>
  <c r="M57" i="6"/>
  <c r="L57" i="6"/>
  <c r="K57" i="6"/>
  <c r="J57" i="6"/>
  <c r="F57" i="6"/>
  <c r="T56" i="6"/>
  <c r="S56" i="6"/>
  <c r="R56" i="6"/>
  <c r="Q56" i="6"/>
  <c r="P56" i="6"/>
  <c r="O56" i="6"/>
  <c r="N56" i="6"/>
  <c r="M56" i="6"/>
  <c r="L56" i="6"/>
  <c r="K56" i="6"/>
  <c r="F56" i="6"/>
  <c r="T55" i="6"/>
  <c r="S55" i="6"/>
  <c r="R55" i="6"/>
  <c r="Q55" i="6"/>
  <c r="P55" i="6"/>
  <c r="O55" i="6"/>
  <c r="N55" i="6"/>
  <c r="M55" i="6"/>
  <c r="L55" i="6"/>
  <c r="K55" i="6"/>
  <c r="F55" i="6"/>
  <c r="D55" i="6"/>
  <c r="T54" i="6"/>
  <c r="S54" i="6"/>
  <c r="R54" i="6"/>
  <c r="Q54" i="6"/>
  <c r="P54" i="6"/>
  <c r="O54" i="6"/>
  <c r="N54" i="6"/>
  <c r="M54" i="6"/>
  <c r="D54" i="6" s="1"/>
  <c r="L54" i="6"/>
  <c r="K54" i="6"/>
  <c r="J54" i="6" s="1"/>
  <c r="F54" i="6"/>
  <c r="T53" i="6"/>
  <c r="S53" i="6"/>
  <c r="R53" i="6"/>
  <c r="Q53" i="6"/>
  <c r="P53" i="6"/>
  <c r="O53" i="6"/>
  <c r="N53" i="6"/>
  <c r="D53" i="6" s="1"/>
  <c r="M53" i="6"/>
  <c r="L53" i="6"/>
  <c r="K53" i="6"/>
  <c r="J53" i="6"/>
  <c r="G53" i="6" s="1"/>
  <c r="F53" i="6"/>
  <c r="T52" i="6"/>
  <c r="S52" i="6"/>
  <c r="R52" i="6"/>
  <c r="Q52" i="6"/>
  <c r="P52" i="6"/>
  <c r="O52" i="6"/>
  <c r="N52" i="6"/>
  <c r="M52" i="6"/>
  <c r="L52" i="6"/>
  <c r="K52" i="6"/>
  <c r="F52" i="6"/>
  <c r="T51" i="6"/>
  <c r="S51" i="6"/>
  <c r="R51" i="6"/>
  <c r="Q51" i="6"/>
  <c r="P51" i="6"/>
  <c r="O51" i="6"/>
  <c r="N51" i="6"/>
  <c r="M51" i="6"/>
  <c r="L51" i="6"/>
  <c r="J51" i="6" s="1"/>
  <c r="K51" i="6"/>
  <c r="F51" i="6"/>
  <c r="D51" i="6"/>
  <c r="T50" i="6"/>
  <c r="S50" i="6"/>
  <c r="R50" i="6"/>
  <c r="Q50" i="6"/>
  <c r="P50" i="6"/>
  <c r="O50" i="6"/>
  <c r="N50" i="6"/>
  <c r="M50" i="6"/>
  <c r="L50" i="6"/>
  <c r="K50" i="6"/>
  <c r="F50" i="6"/>
  <c r="T49" i="6"/>
  <c r="S49" i="6"/>
  <c r="R49" i="6"/>
  <c r="Q49" i="6"/>
  <c r="P49" i="6"/>
  <c r="O49" i="6"/>
  <c r="N49" i="6"/>
  <c r="D49" i="6" s="1"/>
  <c r="M49" i="6"/>
  <c r="L49" i="6"/>
  <c r="K49" i="6"/>
  <c r="J49" i="6"/>
  <c r="F49" i="6"/>
  <c r="T48" i="6"/>
  <c r="S48" i="6"/>
  <c r="R48" i="6"/>
  <c r="Q48" i="6"/>
  <c r="P48" i="6"/>
  <c r="O48" i="6"/>
  <c r="N48" i="6"/>
  <c r="M48" i="6"/>
  <c r="L48" i="6"/>
  <c r="K48" i="6"/>
  <c r="F48" i="6"/>
  <c r="T47" i="6"/>
  <c r="S47" i="6"/>
  <c r="R47" i="6"/>
  <c r="Q47" i="6"/>
  <c r="P47" i="6"/>
  <c r="O47" i="6"/>
  <c r="N47" i="6"/>
  <c r="M47" i="6"/>
  <c r="L47" i="6"/>
  <c r="K47" i="6"/>
  <c r="F47" i="6"/>
  <c r="D47" i="6"/>
  <c r="T46" i="6"/>
  <c r="S46" i="6"/>
  <c r="R46" i="6"/>
  <c r="Q46" i="6"/>
  <c r="P46" i="6"/>
  <c r="O46" i="6"/>
  <c r="N46" i="6"/>
  <c r="M46" i="6"/>
  <c r="D46" i="6" s="1"/>
  <c r="L46" i="6"/>
  <c r="K46" i="6"/>
  <c r="J46" i="6" s="1"/>
  <c r="F46" i="6"/>
  <c r="T45" i="6"/>
  <c r="S45" i="6"/>
  <c r="R45" i="6"/>
  <c r="Q45" i="6"/>
  <c r="P45" i="6"/>
  <c r="O45" i="6"/>
  <c r="N45" i="6"/>
  <c r="D45" i="6" s="1"/>
  <c r="M45" i="6"/>
  <c r="L45" i="6"/>
  <c r="K45" i="6"/>
  <c r="J45" i="6"/>
  <c r="F45" i="6"/>
  <c r="T44" i="6"/>
  <c r="S44" i="6"/>
  <c r="R44" i="6"/>
  <c r="Q44" i="6"/>
  <c r="P44" i="6"/>
  <c r="O44" i="6"/>
  <c r="N44" i="6"/>
  <c r="M44" i="6"/>
  <c r="L44" i="6"/>
  <c r="K44" i="6"/>
  <c r="F44" i="6"/>
  <c r="T43" i="6"/>
  <c r="S43" i="6"/>
  <c r="R43" i="6"/>
  <c r="Q43" i="6"/>
  <c r="P43" i="6"/>
  <c r="O43" i="6"/>
  <c r="N43" i="6"/>
  <c r="M43" i="6"/>
  <c r="L43" i="6"/>
  <c r="K43" i="6"/>
  <c r="F43" i="6"/>
  <c r="D43" i="6"/>
  <c r="T42" i="6"/>
  <c r="S42" i="6"/>
  <c r="R42" i="6"/>
  <c r="Q42" i="6"/>
  <c r="P42" i="6"/>
  <c r="O42" i="6"/>
  <c r="N42" i="6"/>
  <c r="M42" i="6"/>
  <c r="D42" i="6" s="1"/>
  <c r="L42" i="6"/>
  <c r="K42" i="6"/>
  <c r="F42" i="6"/>
  <c r="T41" i="6"/>
  <c r="S41" i="6"/>
  <c r="R41" i="6"/>
  <c r="Q41" i="6"/>
  <c r="P41" i="6"/>
  <c r="O41" i="6"/>
  <c r="N41" i="6"/>
  <c r="D41" i="6" s="1"/>
  <c r="M41" i="6"/>
  <c r="L41" i="6"/>
  <c r="K41" i="6"/>
  <c r="J41" i="6"/>
  <c r="F41" i="6"/>
  <c r="T40" i="6"/>
  <c r="S40" i="6"/>
  <c r="R40" i="6"/>
  <c r="Q40" i="6"/>
  <c r="P40" i="6"/>
  <c r="O40" i="6"/>
  <c r="N40" i="6"/>
  <c r="M40" i="6"/>
  <c r="L40" i="6"/>
  <c r="J40" i="6" s="1"/>
  <c r="K40" i="6"/>
  <c r="F40" i="6"/>
  <c r="D40" i="6"/>
  <c r="T39" i="6"/>
  <c r="S39" i="6"/>
  <c r="R39" i="6"/>
  <c r="Q39" i="6"/>
  <c r="P39" i="6"/>
  <c r="O39" i="6"/>
  <c r="N39" i="6"/>
  <c r="M39" i="6"/>
  <c r="L39" i="6"/>
  <c r="K39" i="6"/>
  <c r="D39" i="6" s="1"/>
  <c r="F39" i="6"/>
  <c r="T38" i="6"/>
  <c r="S38" i="6"/>
  <c r="R38" i="6"/>
  <c r="Q38" i="6"/>
  <c r="P38" i="6"/>
  <c r="O38" i="6"/>
  <c r="N38" i="6"/>
  <c r="D38" i="6" s="1"/>
  <c r="M38" i="6"/>
  <c r="L38" i="6"/>
  <c r="K38" i="6"/>
  <c r="J38" i="6"/>
  <c r="F38" i="6"/>
  <c r="T37" i="6"/>
  <c r="S37" i="6"/>
  <c r="R37" i="6"/>
  <c r="Q37" i="6"/>
  <c r="P37" i="6"/>
  <c r="O37" i="6"/>
  <c r="N37" i="6"/>
  <c r="M37" i="6"/>
  <c r="L37" i="6"/>
  <c r="K37" i="6"/>
  <c r="F37" i="6"/>
  <c r="T36" i="6"/>
  <c r="S36" i="6"/>
  <c r="R36" i="6"/>
  <c r="Q36" i="6"/>
  <c r="P36" i="6"/>
  <c r="O36" i="6"/>
  <c r="N36" i="6"/>
  <c r="M36" i="6"/>
  <c r="L36" i="6"/>
  <c r="J36" i="6" s="1"/>
  <c r="K36" i="6"/>
  <c r="F36" i="6"/>
  <c r="D36" i="6"/>
  <c r="T35" i="6"/>
  <c r="S35" i="6"/>
  <c r="R35" i="6"/>
  <c r="Q35" i="6"/>
  <c r="P35" i="6"/>
  <c r="O35" i="6"/>
  <c r="N35" i="6"/>
  <c r="M35" i="6"/>
  <c r="L35" i="6"/>
  <c r="K35" i="6"/>
  <c r="F35" i="6"/>
  <c r="T34" i="6"/>
  <c r="S34" i="6"/>
  <c r="R34" i="6"/>
  <c r="Q34" i="6"/>
  <c r="P34" i="6"/>
  <c r="O34" i="6"/>
  <c r="N34" i="6"/>
  <c r="D34" i="6" s="1"/>
  <c r="M34" i="6"/>
  <c r="L34" i="6"/>
  <c r="K34" i="6"/>
  <c r="J34" i="6"/>
  <c r="F34" i="6"/>
  <c r="T33" i="6"/>
  <c r="S33" i="6"/>
  <c r="R33" i="6"/>
  <c r="Q33" i="6"/>
  <c r="P33" i="6"/>
  <c r="O33" i="6"/>
  <c r="N33" i="6"/>
  <c r="M33" i="6"/>
  <c r="L33" i="6"/>
  <c r="K33" i="6"/>
  <c r="F33" i="6"/>
  <c r="T32" i="6"/>
  <c r="S32" i="6"/>
  <c r="R32" i="6"/>
  <c r="Q32" i="6"/>
  <c r="P32" i="6"/>
  <c r="O32" i="6"/>
  <c r="N32" i="6"/>
  <c r="M32" i="6"/>
  <c r="L32" i="6"/>
  <c r="J32" i="6" s="1"/>
  <c r="G32" i="6" s="1"/>
  <c r="K32" i="6"/>
  <c r="H32" i="6"/>
  <c r="F32" i="6"/>
  <c r="D32" i="6"/>
  <c r="T31" i="6"/>
  <c r="S31" i="6"/>
  <c r="R31" i="6"/>
  <c r="Q31" i="6"/>
  <c r="P31" i="6"/>
  <c r="O31" i="6"/>
  <c r="N31" i="6"/>
  <c r="M31" i="6"/>
  <c r="L31" i="6"/>
  <c r="K31" i="6"/>
  <c r="D31" i="6" s="1"/>
  <c r="F31" i="6"/>
  <c r="T30" i="6"/>
  <c r="S30" i="6"/>
  <c r="R30" i="6"/>
  <c r="Q30" i="6"/>
  <c r="P30" i="6"/>
  <c r="O30" i="6"/>
  <c r="N30" i="6"/>
  <c r="D30" i="6" s="1"/>
  <c r="M30" i="6"/>
  <c r="L30" i="6"/>
  <c r="K30" i="6"/>
  <c r="J30" i="6"/>
  <c r="F30" i="6"/>
  <c r="T29" i="6"/>
  <c r="S29" i="6"/>
  <c r="R29" i="6"/>
  <c r="Q29" i="6"/>
  <c r="P29" i="6"/>
  <c r="O29" i="6"/>
  <c r="N29" i="6"/>
  <c r="M29" i="6"/>
  <c r="L29" i="6"/>
  <c r="K29" i="6"/>
  <c r="F29" i="6"/>
  <c r="T28" i="6"/>
  <c r="S28" i="6"/>
  <c r="R28" i="6"/>
  <c r="Q28" i="6"/>
  <c r="P28" i="6"/>
  <c r="O28" i="6"/>
  <c r="N28" i="6"/>
  <c r="M28" i="6"/>
  <c r="L28" i="6"/>
  <c r="J28" i="6" s="1"/>
  <c r="K28" i="6"/>
  <c r="F28" i="6"/>
  <c r="D28" i="6"/>
  <c r="T27" i="6"/>
  <c r="S27" i="6"/>
  <c r="R27" i="6"/>
  <c r="Q27" i="6"/>
  <c r="P27" i="6"/>
  <c r="O27" i="6"/>
  <c r="N27" i="6"/>
  <c r="M27" i="6"/>
  <c r="L27" i="6"/>
  <c r="K27" i="6"/>
  <c r="F27" i="6"/>
  <c r="T26" i="6"/>
  <c r="S26" i="6"/>
  <c r="R26" i="6"/>
  <c r="Q26" i="6"/>
  <c r="P26" i="6"/>
  <c r="O26" i="6"/>
  <c r="N26" i="6"/>
  <c r="D26" i="6" s="1"/>
  <c r="M26" i="6"/>
  <c r="L26" i="6"/>
  <c r="K26" i="6"/>
  <c r="J26" i="6"/>
  <c r="F26" i="6"/>
  <c r="T25" i="6"/>
  <c r="S25" i="6"/>
  <c r="R25" i="6"/>
  <c r="Q25" i="6"/>
  <c r="P25" i="6"/>
  <c r="O25" i="6"/>
  <c r="N25" i="6"/>
  <c r="M25" i="6"/>
  <c r="L25" i="6"/>
  <c r="K25" i="6"/>
  <c r="F25" i="6"/>
  <c r="T24" i="6"/>
  <c r="S24" i="6"/>
  <c r="R24" i="6"/>
  <c r="Q24" i="6"/>
  <c r="P24" i="6"/>
  <c r="O24" i="6"/>
  <c r="N24" i="6"/>
  <c r="M24" i="6"/>
  <c r="L24" i="6"/>
  <c r="J24" i="6" s="1"/>
  <c r="K24" i="6"/>
  <c r="F24" i="6"/>
  <c r="D24" i="6"/>
  <c r="T23" i="6"/>
  <c r="S23" i="6"/>
  <c r="R23" i="6"/>
  <c r="Q23" i="6"/>
  <c r="P23" i="6"/>
  <c r="O23" i="6"/>
  <c r="N23" i="6"/>
  <c r="M23" i="6"/>
  <c r="L23" i="6"/>
  <c r="K23" i="6"/>
  <c r="D23" i="6" s="1"/>
  <c r="F23" i="6"/>
  <c r="T22" i="6"/>
  <c r="S22" i="6"/>
  <c r="R22" i="6"/>
  <c r="Q22" i="6"/>
  <c r="P22" i="6"/>
  <c r="O22" i="6"/>
  <c r="N22" i="6"/>
  <c r="D22" i="6" s="1"/>
  <c r="M22" i="6"/>
  <c r="L22" i="6"/>
  <c r="K22" i="6"/>
  <c r="J22" i="6"/>
  <c r="F22" i="6"/>
  <c r="T21" i="6"/>
  <c r="S21" i="6"/>
  <c r="R21" i="6"/>
  <c r="Q21" i="6"/>
  <c r="P21" i="6"/>
  <c r="O21" i="6"/>
  <c r="N21" i="6"/>
  <c r="M21" i="6"/>
  <c r="L21" i="6"/>
  <c r="K21" i="6"/>
  <c r="F21" i="6"/>
  <c r="T20" i="6"/>
  <c r="S20" i="6"/>
  <c r="R20" i="6"/>
  <c r="Q20" i="6"/>
  <c r="P20" i="6"/>
  <c r="O20" i="6"/>
  <c r="N20" i="6"/>
  <c r="M20" i="6"/>
  <c r="L20" i="6"/>
  <c r="J20" i="6" s="1"/>
  <c r="K20" i="6"/>
  <c r="F20" i="6"/>
  <c r="D20" i="6"/>
  <c r="T19" i="6"/>
  <c r="S19" i="6"/>
  <c r="R19" i="6"/>
  <c r="Q19" i="6"/>
  <c r="P19" i="6"/>
  <c r="O19" i="6"/>
  <c r="N19" i="6"/>
  <c r="M19" i="6"/>
  <c r="L19" i="6"/>
  <c r="K19" i="6"/>
  <c r="F19" i="6"/>
  <c r="T18" i="6"/>
  <c r="S18" i="6"/>
  <c r="R18" i="6"/>
  <c r="Q18" i="6"/>
  <c r="P18" i="6"/>
  <c r="O18" i="6"/>
  <c r="N18" i="6"/>
  <c r="D18" i="6" s="1"/>
  <c r="M18" i="6"/>
  <c r="L18" i="6"/>
  <c r="K18" i="6"/>
  <c r="J18" i="6"/>
  <c r="F18" i="6"/>
  <c r="T17" i="6"/>
  <c r="S17" i="6"/>
  <c r="R17" i="6"/>
  <c r="Q17" i="6"/>
  <c r="P17" i="6"/>
  <c r="O17" i="6"/>
  <c r="N17" i="6"/>
  <c r="M17" i="6"/>
  <c r="L17" i="6"/>
  <c r="K17" i="6"/>
  <c r="F17" i="6"/>
  <c r="T16" i="6"/>
  <c r="S16" i="6"/>
  <c r="R16" i="6"/>
  <c r="Q16" i="6"/>
  <c r="P16" i="6"/>
  <c r="O16" i="6"/>
  <c r="N16" i="6"/>
  <c r="M16" i="6"/>
  <c r="L16" i="6"/>
  <c r="J16" i="6" s="1"/>
  <c r="K16" i="6"/>
  <c r="F16" i="6"/>
  <c r="D16" i="6"/>
  <c r="T15" i="6"/>
  <c r="S15" i="6"/>
  <c r="R15" i="6"/>
  <c r="Q15" i="6"/>
  <c r="P15" i="6"/>
  <c r="O15" i="6"/>
  <c r="N15" i="6"/>
  <c r="M15" i="6"/>
  <c r="L15" i="6"/>
  <c r="K15" i="6"/>
  <c r="D15" i="6" s="1"/>
  <c r="F15" i="6"/>
  <c r="T14" i="6"/>
  <c r="S14" i="6"/>
  <c r="R14" i="6"/>
  <c r="Q14" i="6"/>
  <c r="P14" i="6"/>
  <c r="O14" i="6"/>
  <c r="N14" i="6"/>
  <c r="D14" i="6" s="1"/>
  <c r="M14" i="6"/>
  <c r="L14" i="6"/>
  <c r="K14" i="6"/>
  <c r="J14" i="6"/>
  <c r="F14" i="6"/>
  <c r="T13" i="6"/>
  <c r="S13" i="6"/>
  <c r="R13" i="6"/>
  <c r="Q13" i="6"/>
  <c r="P13" i="6"/>
  <c r="O13" i="6"/>
  <c r="N13" i="6"/>
  <c r="M13" i="6"/>
  <c r="L13" i="6"/>
  <c r="K13" i="6"/>
  <c r="F13" i="6"/>
  <c r="T12" i="6"/>
  <c r="S12" i="6"/>
  <c r="R12" i="6"/>
  <c r="Q12" i="6"/>
  <c r="P12" i="6"/>
  <c r="O12" i="6"/>
  <c r="N12" i="6"/>
  <c r="M12" i="6"/>
  <c r="L12" i="6"/>
  <c r="J12" i="6" s="1"/>
  <c r="K12" i="6"/>
  <c r="F12" i="6"/>
  <c r="D12" i="6"/>
  <c r="T11" i="6"/>
  <c r="S11" i="6"/>
  <c r="R11" i="6"/>
  <c r="Q11" i="6"/>
  <c r="P11" i="6"/>
  <c r="O11" i="6"/>
  <c r="N11" i="6"/>
  <c r="M11" i="6"/>
  <c r="L11" i="6"/>
  <c r="K11" i="6"/>
  <c r="F11" i="6"/>
  <c r="T10" i="6"/>
  <c r="S10" i="6"/>
  <c r="R10" i="6"/>
  <c r="Q10" i="6"/>
  <c r="P10" i="6"/>
  <c r="O10" i="6"/>
  <c r="N10" i="6"/>
  <c r="D10" i="6" s="1"/>
  <c r="M10" i="6"/>
  <c r="L10" i="6"/>
  <c r="K10" i="6"/>
  <c r="J10" i="6"/>
  <c r="F10" i="6"/>
  <c r="T9" i="6"/>
  <c r="S9" i="6"/>
  <c r="R9" i="6"/>
  <c r="Q9" i="6"/>
  <c r="P9" i="6"/>
  <c r="O9" i="6"/>
  <c r="N9" i="6"/>
  <c r="M9" i="6"/>
  <c r="L9" i="6"/>
  <c r="K9" i="6"/>
  <c r="F9" i="6"/>
  <c r="T8" i="6"/>
  <c r="S8" i="6"/>
  <c r="R8" i="6"/>
  <c r="Q8" i="6"/>
  <c r="P8" i="6"/>
  <c r="O8" i="6"/>
  <c r="N8" i="6"/>
  <c r="M8" i="6"/>
  <c r="L8" i="6"/>
  <c r="K8" i="6"/>
  <c r="F8" i="6"/>
  <c r="T7" i="6"/>
  <c r="S7" i="6"/>
  <c r="R7" i="6"/>
  <c r="Q7" i="6"/>
  <c r="P7" i="6"/>
  <c r="O7" i="6"/>
  <c r="N7" i="6"/>
  <c r="M7" i="6"/>
  <c r="L7" i="6"/>
  <c r="K7" i="6"/>
  <c r="F7" i="6"/>
  <c r="T6" i="6"/>
  <c r="S6" i="6"/>
  <c r="R6" i="6"/>
  <c r="Q6" i="6"/>
  <c r="P6" i="6"/>
  <c r="O6" i="6"/>
  <c r="N6" i="6"/>
  <c r="M6" i="6"/>
  <c r="L6" i="6"/>
  <c r="K6" i="6"/>
  <c r="F6" i="6"/>
  <c r="T5" i="6"/>
  <c r="S5" i="6"/>
  <c r="R5" i="6"/>
  <c r="Q5" i="6"/>
  <c r="P5" i="6"/>
  <c r="O5" i="6"/>
  <c r="N5" i="6"/>
  <c r="M5" i="6"/>
  <c r="L5" i="6"/>
  <c r="K5" i="6"/>
  <c r="F5" i="6"/>
  <c r="E45" i="4"/>
  <c r="E46" i="4" s="1"/>
  <c r="E47" i="4" s="1"/>
  <c r="E48" i="4" s="1"/>
  <c r="E49" i="4" s="1"/>
  <c r="E50" i="4" s="1"/>
  <c r="E51" i="4" s="1"/>
  <c r="E52" i="4" s="1"/>
  <c r="E53" i="4" s="1"/>
  <c r="E54" i="4" s="1"/>
  <c r="E55" i="4" s="1"/>
  <c r="E56" i="4" s="1"/>
  <c r="E57" i="4" s="1"/>
  <c r="E58" i="4" s="1"/>
  <c r="E59" i="4" s="1"/>
  <c r="E60" i="4" s="1"/>
  <c r="E61" i="4" s="1"/>
  <c r="E62" i="4" s="1"/>
  <c r="E63" i="4" s="1"/>
  <c r="E64" i="4" s="1"/>
  <c r="E65" i="4" s="1"/>
  <c r="E66" i="4" s="1"/>
  <c r="E67" i="4" s="1"/>
  <c r="E68" i="4" s="1"/>
  <c r="E44" i="4"/>
  <c r="D44" i="4"/>
  <c r="D45" i="4" s="1"/>
  <c r="D46" i="4" s="1"/>
  <c r="D47" i="4" s="1"/>
  <c r="D48" i="4" s="1"/>
  <c r="D49" i="4" s="1"/>
  <c r="D50" i="4" s="1"/>
  <c r="D51" i="4" s="1"/>
  <c r="D52" i="4" s="1"/>
  <c r="D53" i="4" s="1"/>
  <c r="D54" i="4" s="1"/>
  <c r="D55" i="4" s="1"/>
  <c r="D56" i="4" s="1"/>
  <c r="D57" i="4" s="1"/>
  <c r="D58" i="4" s="1"/>
  <c r="D59" i="4" s="1"/>
  <c r="D60" i="4" s="1"/>
  <c r="D61" i="4" s="1"/>
  <c r="D62" i="4" s="1"/>
  <c r="D63" i="4" s="1"/>
  <c r="D64" i="4" s="1"/>
  <c r="D65" i="4" s="1"/>
  <c r="D66" i="4" s="1"/>
  <c r="D67" i="4" s="1"/>
  <c r="D68" i="4" s="1"/>
  <c r="C44" i="4"/>
  <c r="C45" i="4" s="1"/>
  <c r="C46" i="4" s="1"/>
  <c r="C47" i="4" s="1"/>
  <c r="C48" i="4" s="1"/>
  <c r="C49" i="4" s="1"/>
  <c r="C50" i="4" s="1"/>
  <c r="C51" i="4" s="1"/>
  <c r="C52" i="4" s="1"/>
  <c r="C53" i="4" s="1"/>
  <c r="C54" i="4" s="1"/>
  <c r="C55" i="4" s="1"/>
  <c r="C56" i="4" s="1"/>
  <c r="C57" i="4" s="1"/>
  <c r="C58" i="4" s="1"/>
  <c r="C59" i="4" s="1"/>
  <c r="C60" i="4" s="1"/>
  <c r="C61" i="4" s="1"/>
  <c r="C62" i="4" s="1"/>
  <c r="C63" i="4" s="1"/>
  <c r="C64" i="4" s="1"/>
  <c r="C65" i="4" s="1"/>
  <c r="C66" i="4" s="1"/>
  <c r="C67" i="4" s="1"/>
  <c r="C68" i="4" s="1"/>
  <c r="D27" i="3"/>
  <c r="C27" i="3"/>
  <c r="B27" i="3"/>
  <c r="B28" i="3" s="1"/>
  <c r="C5" i="3"/>
  <c r="E221" i="6" l="1"/>
  <c r="E217" i="6"/>
  <c r="E213" i="6"/>
  <c r="E209" i="6"/>
  <c r="G209" i="6" s="1"/>
  <c r="E205" i="6"/>
  <c r="E201" i="6"/>
  <c r="E197" i="6"/>
  <c r="E193" i="6"/>
  <c r="E189" i="6"/>
  <c r="E185" i="6"/>
  <c r="E181" i="6"/>
  <c r="E177" i="6"/>
  <c r="E173" i="6"/>
  <c r="E169" i="6"/>
  <c r="E165" i="6"/>
  <c r="E161" i="6"/>
  <c r="G161" i="6" s="1"/>
  <c r="E157" i="6"/>
  <c r="E153" i="6"/>
  <c r="E149" i="6"/>
  <c r="E145" i="6"/>
  <c r="E141" i="6"/>
  <c r="E137" i="6"/>
  <c r="E133" i="6"/>
  <c r="E129" i="6"/>
  <c r="G129" i="6" s="1"/>
  <c r="E125" i="6"/>
  <c r="E121" i="6"/>
  <c r="E117" i="6"/>
  <c r="E113" i="6"/>
  <c r="G113" i="6" s="1"/>
  <c r="E109" i="6"/>
  <c r="E105" i="6"/>
  <c r="E101" i="6"/>
  <c r="E97" i="6"/>
  <c r="G97" i="6" s="1"/>
  <c r="E93" i="6"/>
  <c r="E89" i="6"/>
  <c r="E85" i="6"/>
  <c r="E81" i="6"/>
  <c r="G81" i="6" s="1"/>
  <c r="E77" i="6"/>
  <c r="E73" i="6"/>
  <c r="E69" i="6"/>
  <c r="E65" i="6"/>
  <c r="G65" i="6" s="1"/>
  <c r="E61" i="6"/>
  <c r="E57" i="6"/>
  <c r="E53" i="6"/>
  <c r="E49" i="6"/>
  <c r="G49" i="6" s="1"/>
  <c r="E45" i="6"/>
  <c r="E220" i="6"/>
  <c r="E216" i="6"/>
  <c r="E212" i="6"/>
  <c r="E208" i="6"/>
  <c r="E204" i="6"/>
  <c r="E200" i="6"/>
  <c r="E196" i="6"/>
  <c r="E192" i="6"/>
  <c r="E188" i="6"/>
  <c r="E184" i="6"/>
  <c r="E180" i="6"/>
  <c r="E176" i="6"/>
  <c r="E172" i="6"/>
  <c r="E168" i="6"/>
  <c r="E164" i="6"/>
  <c r="E160" i="6"/>
  <c r="E156" i="6"/>
  <c r="E152" i="6"/>
  <c r="E148" i="6"/>
  <c r="E144" i="6"/>
  <c r="E140" i="6"/>
  <c r="E136" i="6"/>
  <c r="E132" i="6"/>
  <c r="E128" i="6"/>
  <c r="E124" i="6"/>
  <c r="E120" i="6"/>
  <c r="E116" i="6"/>
  <c r="E112" i="6"/>
  <c r="E108" i="6"/>
  <c r="E104" i="6"/>
  <c r="E100" i="6"/>
  <c r="E96" i="6"/>
  <c r="E92" i="6"/>
  <c r="E88" i="6"/>
  <c r="E84" i="6"/>
  <c r="E80" i="6"/>
  <c r="E76" i="6"/>
  <c r="E72" i="6"/>
  <c r="E68" i="6"/>
  <c r="E64" i="6"/>
  <c r="E60" i="6"/>
  <c r="E56" i="6"/>
  <c r="E52" i="6"/>
  <c r="E48" i="6"/>
  <c r="E44" i="6"/>
  <c r="E219" i="6"/>
  <c r="E215" i="6"/>
  <c r="E211" i="6"/>
  <c r="E207" i="6"/>
  <c r="E203" i="6"/>
  <c r="E199" i="6"/>
  <c r="E195" i="6"/>
  <c r="E191" i="6"/>
  <c r="E187" i="6"/>
  <c r="E183" i="6"/>
  <c r="E179" i="6"/>
  <c r="E175" i="6"/>
  <c r="E171" i="6"/>
  <c r="E167" i="6"/>
  <c r="G167" i="6" s="1"/>
  <c r="E163" i="6"/>
  <c r="E159" i="6"/>
  <c r="E155" i="6"/>
  <c r="E151" i="6"/>
  <c r="E147" i="6"/>
  <c r="E143" i="6"/>
  <c r="E139" i="6"/>
  <c r="E135" i="6"/>
  <c r="E131" i="6"/>
  <c r="E127" i="6"/>
  <c r="E123" i="6"/>
  <c r="E119" i="6"/>
  <c r="E115" i="6"/>
  <c r="E111" i="6"/>
  <c r="E107" i="6"/>
  <c r="E103" i="6"/>
  <c r="E99" i="6"/>
  <c r="E95" i="6"/>
  <c r="E91" i="6"/>
  <c r="E87" i="6"/>
  <c r="E83" i="6"/>
  <c r="E79" i="6"/>
  <c r="E75" i="6"/>
  <c r="E71" i="6"/>
  <c r="E67" i="6"/>
  <c r="E63" i="6"/>
  <c r="E59" i="6"/>
  <c r="E55" i="6"/>
  <c r="E51" i="6"/>
  <c r="E47" i="6"/>
  <c r="E43" i="6"/>
  <c r="E222" i="6"/>
  <c r="E218" i="6"/>
  <c r="E214" i="6"/>
  <c r="E210" i="6"/>
  <c r="E206" i="6"/>
  <c r="E202" i="6"/>
  <c r="E198" i="6"/>
  <c r="E194" i="6"/>
  <c r="E190" i="6"/>
  <c r="E186" i="6"/>
  <c r="E182" i="6"/>
  <c r="E178" i="6"/>
  <c r="E174" i="6"/>
  <c r="G174" i="6" s="1"/>
  <c r="E170" i="6"/>
  <c r="E166" i="6"/>
  <c r="E162" i="6"/>
  <c r="E158" i="6"/>
  <c r="G158" i="6" s="1"/>
  <c r="E154" i="6"/>
  <c r="E150" i="6"/>
  <c r="E146" i="6"/>
  <c r="E142" i="6"/>
  <c r="G142" i="6" s="1"/>
  <c r="E138" i="6"/>
  <c r="E134" i="6"/>
  <c r="E130" i="6"/>
  <c r="E126" i="6"/>
  <c r="E122" i="6"/>
  <c r="E114" i="6"/>
  <c r="E106" i="6"/>
  <c r="E98" i="6"/>
  <c r="E90" i="6"/>
  <c r="E82" i="6"/>
  <c r="E74" i="6"/>
  <c r="E66" i="6"/>
  <c r="E58" i="6"/>
  <c r="E50" i="6"/>
  <c r="E42" i="6"/>
  <c r="E38" i="6"/>
  <c r="E34" i="6"/>
  <c r="E30" i="6"/>
  <c r="E26" i="6"/>
  <c r="E22" i="6"/>
  <c r="G22" i="6" s="1"/>
  <c r="E18" i="6"/>
  <c r="E14" i="6"/>
  <c r="E10" i="6"/>
  <c r="E6" i="6"/>
  <c r="E41" i="6"/>
  <c r="E37" i="6"/>
  <c r="E33" i="6"/>
  <c r="E29" i="6"/>
  <c r="E25" i="6"/>
  <c r="E21" i="6"/>
  <c r="E17" i="6"/>
  <c r="E13" i="6"/>
  <c r="E118" i="6"/>
  <c r="E110" i="6"/>
  <c r="E102" i="6"/>
  <c r="G102" i="6" s="1"/>
  <c r="E94" i="6"/>
  <c r="E86" i="6"/>
  <c r="E78" i="6"/>
  <c r="E70" i="6"/>
  <c r="G70" i="6" s="1"/>
  <c r="E62" i="6"/>
  <c r="E54" i="6"/>
  <c r="E46" i="6"/>
  <c r="E40" i="6"/>
  <c r="E36" i="6"/>
  <c r="G36" i="6" s="1"/>
  <c r="E32" i="6"/>
  <c r="E28" i="6"/>
  <c r="E24" i="6"/>
  <c r="E20" i="6"/>
  <c r="G20" i="6" s="1"/>
  <c r="E16" i="6"/>
  <c r="E12" i="6"/>
  <c r="E8" i="6"/>
  <c r="E35" i="6"/>
  <c r="E27" i="6"/>
  <c r="E19" i="6"/>
  <c r="E11" i="6"/>
  <c r="E39" i="6"/>
  <c r="E31" i="6"/>
  <c r="E23" i="6"/>
  <c r="E15" i="6"/>
  <c r="E9" i="6"/>
  <c r="E7" i="6"/>
  <c r="E5" i="6"/>
  <c r="G12" i="6"/>
  <c r="G28" i="6"/>
  <c r="D8" i="6"/>
  <c r="J8" i="6"/>
  <c r="G8" i="6" s="1"/>
  <c r="G18" i="6"/>
  <c r="G34" i="6"/>
  <c r="D6" i="6"/>
  <c r="J6" i="6"/>
  <c r="G10" i="6"/>
  <c r="G26" i="6"/>
  <c r="G41" i="6"/>
  <c r="G54" i="6"/>
  <c r="G57" i="6"/>
  <c r="G73" i="6"/>
  <c r="G86" i="6"/>
  <c r="G89" i="6"/>
  <c r="G105" i="6"/>
  <c r="G118" i="6"/>
  <c r="I119" i="6"/>
  <c r="H119" i="6"/>
  <c r="G125" i="6"/>
  <c r="G126" i="6"/>
  <c r="G127" i="6"/>
  <c r="G133" i="6"/>
  <c r="I135" i="6"/>
  <c r="H135" i="6"/>
  <c r="G141" i="6"/>
  <c r="G143" i="6"/>
  <c r="G149" i="6"/>
  <c r="G150" i="6"/>
  <c r="I151" i="6"/>
  <c r="H151" i="6"/>
  <c r="G157" i="6"/>
  <c r="G159" i="6"/>
  <c r="G165" i="6"/>
  <c r="G166" i="6"/>
  <c r="G173" i="6"/>
  <c r="G181" i="6"/>
  <c r="G189" i="6"/>
  <c r="G197" i="6"/>
  <c r="G205" i="6"/>
  <c r="G213" i="6"/>
  <c r="G221" i="6"/>
  <c r="J5" i="6"/>
  <c r="D5" i="6"/>
  <c r="D7" i="6"/>
  <c r="J7" i="6"/>
  <c r="J9" i="6"/>
  <c r="G9" i="6" s="1"/>
  <c r="D9" i="6"/>
  <c r="J17" i="6"/>
  <c r="G17" i="6" s="1"/>
  <c r="D17" i="6"/>
  <c r="J25" i="6"/>
  <c r="D25" i="6"/>
  <c r="J33" i="6"/>
  <c r="G33" i="6" s="1"/>
  <c r="D33" i="6"/>
  <c r="D11" i="6"/>
  <c r="G14" i="6"/>
  <c r="G16" i="6"/>
  <c r="D19" i="6"/>
  <c r="G24" i="6"/>
  <c r="D27" i="6"/>
  <c r="G30" i="6"/>
  <c r="I32" i="6"/>
  <c r="D35" i="6"/>
  <c r="G38" i="6"/>
  <c r="G40" i="6"/>
  <c r="G46" i="6"/>
  <c r="G62" i="6"/>
  <c r="G78" i="6"/>
  <c r="G94" i="6"/>
  <c r="G110" i="6"/>
  <c r="J13" i="6"/>
  <c r="G13" i="6" s="1"/>
  <c r="D13" i="6"/>
  <c r="J21" i="6"/>
  <c r="D21" i="6"/>
  <c r="J29" i="6"/>
  <c r="G29" i="6" s="1"/>
  <c r="D29" i="6"/>
  <c r="J37" i="6"/>
  <c r="D37" i="6"/>
  <c r="G51" i="6"/>
  <c r="J11" i="6"/>
  <c r="G11" i="6" s="1"/>
  <c r="J15" i="6"/>
  <c r="G15" i="6" s="1"/>
  <c r="J19" i="6"/>
  <c r="G19" i="6" s="1"/>
  <c r="J23" i="6"/>
  <c r="G23" i="6" s="1"/>
  <c r="J27" i="6"/>
  <c r="J31" i="6"/>
  <c r="G31" i="6" s="1"/>
  <c r="J35" i="6"/>
  <c r="J39" i="6"/>
  <c r="G39" i="6" s="1"/>
  <c r="J47" i="6"/>
  <c r="G47" i="6" s="1"/>
  <c r="J48" i="6"/>
  <c r="D48" i="6"/>
  <c r="J55" i="6"/>
  <c r="G55" i="6" s="1"/>
  <c r="J56" i="6"/>
  <c r="G56" i="6" s="1"/>
  <c r="D56" i="6"/>
  <c r="J63" i="6"/>
  <c r="G63" i="6" s="1"/>
  <c r="J64" i="6"/>
  <c r="G64" i="6" s="1"/>
  <c r="D64" i="6"/>
  <c r="J71" i="6"/>
  <c r="J72" i="6"/>
  <c r="D72" i="6"/>
  <c r="J79" i="6"/>
  <c r="G79" i="6" s="1"/>
  <c r="J80" i="6"/>
  <c r="G80" i="6" s="1"/>
  <c r="D80" i="6"/>
  <c r="J87" i="6"/>
  <c r="G87" i="6" s="1"/>
  <c r="J88" i="6"/>
  <c r="G88" i="6" s="1"/>
  <c r="D88" i="6"/>
  <c r="J95" i="6"/>
  <c r="G95" i="6" s="1"/>
  <c r="J96" i="6"/>
  <c r="G96" i="6" s="1"/>
  <c r="D96" i="6"/>
  <c r="D101" i="6"/>
  <c r="J103" i="6"/>
  <c r="J104" i="6"/>
  <c r="G104" i="6" s="1"/>
  <c r="D104" i="6"/>
  <c r="J111" i="6"/>
  <c r="G111" i="6" s="1"/>
  <c r="J112" i="6"/>
  <c r="D112" i="6"/>
  <c r="D117" i="6"/>
  <c r="G134" i="6"/>
  <c r="G175" i="6"/>
  <c r="G183" i="6"/>
  <c r="G191" i="6"/>
  <c r="G199" i="6"/>
  <c r="G207" i="6"/>
  <c r="G215" i="6"/>
  <c r="H220" i="6"/>
  <c r="J42" i="6"/>
  <c r="G42" i="6" s="1"/>
  <c r="G45" i="6"/>
  <c r="D50" i="6"/>
  <c r="I53" i="6"/>
  <c r="H53" i="6"/>
  <c r="J58" i="6"/>
  <c r="G58" i="6" s="1"/>
  <c r="G61" i="6"/>
  <c r="J66" i="6"/>
  <c r="G66" i="6" s="1"/>
  <c r="G69" i="6"/>
  <c r="J74" i="6"/>
  <c r="G74" i="6" s="1"/>
  <c r="G77" i="6"/>
  <c r="J82" i="6"/>
  <c r="G82" i="6" s="1"/>
  <c r="G85" i="6"/>
  <c r="J90" i="6"/>
  <c r="G90" i="6" s="1"/>
  <c r="G93" i="6"/>
  <c r="J98" i="6"/>
  <c r="G101" i="6"/>
  <c r="J106" i="6"/>
  <c r="G106" i="6" s="1"/>
  <c r="G109" i="6"/>
  <c r="J114" i="6"/>
  <c r="G114" i="6" s="1"/>
  <c r="G117" i="6"/>
  <c r="G121" i="6"/>
  <c r="G122" i="6"/>
  <c r="G123" i="6"/>
  <c r="G130" i="6"/>
  <c r="G131" i="6"/>
  <c r="G137" i="6"/>
  <c r="G138" i="6"/>
  <c r="G139" i="6"/>
  <c r="I145" i="6"/>
  <c r="H145" i="6"/>
  <c r="G146" i="6"/>
  <c r="G147" i="6"/>
  <c r="G153" i="6"/>
  <c r="G163" i="6"/>
  <c r="I169" i="6"/>
  <c r="H169" i="6"/>
  <c r="G170" i="6"/>
  <c r="G171" i="6"/>
  <c r="G177" i="6"/>
  <c r="G185" i="6"/>
  <c r="I193" i="6"/>
  <c r="H193" i="6"/>
  <c r="G201" i="6"/>
  <c r="G217" i="6"/>
  <c r="J43" i="6"/>
  <c r="G43" i="6" s="1"/>
  <c r="J44" i="6"/>
  <c r="G44" i="6" s="1"/>
  <c r="D44" i="6"/>
  <c r="J52" i="6"/>
  <c r="D52" i="6"/>
  <c r="J59" i="6"/>
  <c r="G59" i="6" s="1"/>
  <c r="J60" i="6"/>
  <c r="G60" i="6" s="1"/>
  <c r="D60" i="6"/>
  <c r="J67" i="6"/>
  <c r="G67" i="6" s="1"/>
  <c r="J68" i="6"/>
  <c r="G68" i="6" s="1"/>
  <c r="D68" i="6"/>
  <c r="J75" i="6"/>
  <c r="G75" i="6" s="1"/>
  <c r="J76" i="6"/>
  <c r="D76" i="6"/>
  <c r="J83" i="6"/>
  <c r="G83" i="6" s="1"/>
  <c r="J84" i="6"/>
  <c r="G84" i="6" s="1"/>
  <c r="D84" i="6"/>
  <c r="J91" i="6"/>
  <c r="G91" i="6" s="1"/>
  <c r="J92" i="6"/>
  <c r="G92" i="6" s="1"/>
  <c r="D92" i="6"/>
  <c r="J99" i="6"/>
  <c r="G99" i="6" s="1"/>
  <c r="J100" i="6"/>
  <c r="G100" i="6" s="1"/>
  <c r="D100" i="6"/>
  <c r="J107" i="6"/>
  <c r="G107" i="6" s="1"/>
  <c r="J108" i="6"/>
  <c r="G108" i="6" s="1"/>
  <c r="D108" i="6"/>
  <c r="J115" i="6"/>
  <c r="G115" i="6" s="1"/>
  <c r="J116" i="6"/>
  <c r="D116" i="6"/>
  <c r="G120" i="6"/>
  <c r="G152" i="6"/>
  <c r="G155" i="6"/>
  <c r="G176" i="6"/>
  <c r="G179" i="6"/>
  <c r="I187" i="6"/>
  <c r="H187" i="6"/>
  <c r="I195" i="6"/>
  <c r="H195" i="6"/>
  <c r="G200" i="6"/>
  <c r="G203" i="6"/>
  <c r="G211" i="6"/>
  <c r="G216" i="6"/>
  <c r="G219" i="6"/>
  <c r="J50" i="6"/>
  <c r="G50" i="6" s="1"/>
  <c r="D120" i="6"/>
  <c r="D124" i="6"/>
  <c r="G124" i="6" s="1"/>
  <c r="D128" i="6"/>
  <c r="G128" i="6" s="1"/>
  <c r="D132" i="6"/>
  <c r="G132" i="6" s="1"/>
  <c r="D136" i="6"/>
  <c r="G136" i="6" s="1"/>
  <c r="D140" i="6"/>
  <c r="G140" i="6" s="1"/>
  <c r="D144" i="6"/>
  <c r="G144" i="6" s="1"/>
  <c r="D148" i="6"/>
  <c r="G148" i="6" s="1"/>
  <c r="D152" i="6"/>
  <c r="J154" i="6"/>
  <c r="G154" i="6" s="1"/>
  <c r="D156" i="6"/>
  <c r="G156" i="6" s="1"/>
  <c r="D160" i="6"/>
  <c r="G160" i="6" s="1"/>
  <c r="J162" i="6"/>
  <c r="G162" i="6" s="1"/>
  <c r="D164" i="6"/>
  <c r="G164" i="6" s="1"/>
  <c r="D168" i="6"/>
  <c r="G168" i="6" s="1"/>
  <c r="D172" i="6"/>
  <c r="G172" i="6" s="1"/>
  <c r="D176" i="6"/>
  <c r="J178" i="6"/>
  <c r="G178" i="6" s="1"/>
  <c r="D180" i="6"/>
  <c r="G180" i="6" s="1"/>
  <c r="J182" i="6"/>
  <c r="G182" i="6" s="1"/>
  <c r="D184" i="6"/>
  <c r="G184" i="6" s="1"/>
  <c r="J186" i="6"/>
  <c r="G186" i="6" s="1"/>
  <c r="D188" i="6"/>
  <c r="G188" i="6" s="1"/>
  <c r="J190" i="6"/>
  <c r="D192" i="6"/>
  <c r="G192" i="6" s="1"/>
  <c r="J194" i="6"/>
  <c r="G194" i="6" s="1"/>
  <c r="D196" i="6"/>
  <c r="G196" i="6" s="1"/>
  <c r="J198" i="6"/>
  <c r="G198" i="6" s="1"/>
  <c r="D200" i="6"/>
  <c r="J202" i="6"/>
  <c r="G202" i="6" s="1"/>
  <c r="D204" i="6"/>
  <c r="G204" i="6" s="1"/>
  <c r="J206" i="6"/>
  <c r="D208" i="6"/>
  <c r="G208" i="6" s="1"/>
  <c r="J210" i="6"/>
  <c r="G210" i="6" s="1"/>
  <c r="D212" i="6"/>
  <c r="G212" i="6" s="1"/>
  <c r="J214" i="6"/>
  <c r="G214" i="6" s="1"/>
  <c r="D216" i="6"/>
  <c r="J218" i="6"/>
  <c r="G218" i="6" s="1"/>
  <c r="D220" i="6"/>
  <c r="I220" i="6" s="1"/>
  <c r="J222" i="6"/>
  <c r="I172" i="6" l="1"/>
  <c r="H172" i="6"/>
  <c r="D171" i="5"/>
  <c r="AU171" i="5" s="1"/>
  <c r="H142" i="6"/>
  <c r="I142" i="6"/>
  <c r="D141" i="5"/>
  <c r="AU141" i="5" s="1"/>
  <c r="H158" i="6"/>
  <c r="I158" i="6"/>
  <c r="D157" i="5"/>
  <c r="AU157" i="5" s="1"/>
  <c r="H174" i="6"/>
  <c r="I174" i="6"/>
  <c r="D173" i="5"/>
  <c r="AU173" i="5" s="1"/>
  <c r="I167" i="6"/>
  <c r="H167" i="6"/>
  <c r="D166" i="5"/>
  <c r="AU166" i="5" s="1"/>
  <c r="I49" i="6"/>
  <c r="H49" i="6"/>
  <c r="D48" i="5"/>
  <c r="AU48" i="5" s="1"/>
  <c r="I65" i="6"/>
  <c r="H65" i="6"/>
  <c r="D64" i="5"/>
  <c r="AU64" i="5" s="1"/>
  <c r="I81" i="6"/>
  <c r="H81" i="6"/>
  <c r="D80" i="5"/>
  <c r="AU80" i="5" s="1"/>
  <c r="I97" i="6"/>
  <c r="H97" i="6"/>
  <c r="D96" i="5"/>
  <c r="AU96" i="5" s="1"/>
  <c r="I113" i="6"/>
  <c r="H113" i="6"/>
  <c r="D112" i="5"/>
  <c r="AU112" i="5" s="1"/>
  <c r="I129" i="6"/>
  <c r="H129" i="6"/>
  <c r="D128" i="5"/>
  <c r="AU128" i="5" s="1"/>
  <c r="I161" i="6"/>
  <c r="H161" i="6"/>
  <c r="D160" i="5"/>
  <c r="AU160" i="5" s="1"/>
  <c r="I209" i="6"/>
  <c r="H209" i="6"/>
  <c r="D208" i="5"/>
  <c r="AU208" i="5" s="1"/>
  <c r="I148" i="6"/>
  <c r="H148" i="6"/>
  <c r="D147" i="5"/>
  <c r="AU147" i="5" s="1"/>
  <c r="I20" i="6"/>
  <c r="H20" i="6"/>
  <c r="D19" i="5"/>
  <c r="AU19" i="5" s="1"/>
  <c r="I212" i="6"/>
  <c r="H212" i="6"/>
  <c r="D211" i="5"/>
  <c r="AU211" i="5" s="1"/>
  <c r="I204" i="6"/>
  <c r="H204" i="6"/>
  <c r="D203" i="5"/>
  <c r="AU203" i="5" s="1"/>
  <c r="I196" i="6"/>
  <c r="H196" i="6"/>
  <c r="D195" i="5"/>
  <c r="AU195" i="5" s="1"/>
  <c r="I188" i="6"/>
  <c r="H188" i="6"/>
  <c r="D187" i="5"/>
  <c r="AU187" i="5" s="1"/>
  <c r="I180" i="6"/>
  <c r="H180" i="6"/>
  <c r="D179" i="5"/>
  <c r="AU179" i="5" s="1"/>
  <c r="I168" i="6"/>
  <c r="H168" i="6"/>
  <c r="D167" i="5"/>
  <c r="AU167" i="5" s="1"/>
  <c r="I156" i="6"/>
  <c r="H156" i="6"/>
  <c r="D155" i="5"/>
  <c r="AU155" i="5" s="1"/>
  <c r="I144" i="6"/>
  <c r="H144" i="6"/>
  <c r="D143" i="5"/>
  <c r="AU143" i="5" s="1"/>
  <c r="I128" i="6"/>
  <c r="H128" i="6"/>
  <c r="D127" i="5"/>
  <c r="AU127" i="5" s="1"/>
  <c r="H70" i="6"/>
  <c r="I70" i="6"/>
  <c r="D69" i="5"/>
  <c r="AU69" i="5" s="1"/>
  <c r="H102" i="6"/>
  <c r="I102" i="6"/>
  <c r="D101" i="5"/>
  <c r="AU101" i="5" s="1"/>
  <c r="I160" i="6"/>
  <c r="H160" i="6"/>
  <c r="D159" i="5"/>
  <c r="AU159" i="5" s="1"/>
  <c r="I36" i="6"/>
  <c r="H36" i="6"/>
  <c r="D35" i="5"/>
  <c r="AU35" i="5" s="1"/>
  <c r="I164" i="6"/>
  <c r="H164" i="6"/>
  <c r="D163" i="5"/>
  <c r="AU163" i="5" s="1"/>
  <c r="I140" i="6"/>
  <c r="H140" i="6"/>
  <c r="D139" i="5"/>
  <c r="AU139" i="5" s="1"/>
  <c r="I124" i="6"/>
  <c r="H124" i="6"/>
  <c r="D123" i="5"/>
  <c r="AU123" i="5" s="1"/>
  <c r="I132" i="6"/>
  <c r="H132" i="6"/>
  <c r="D131" i="5"/>
  <c r="AU131" i="5" s="1"/>
  <c r="I22" i="6"/>
  <c r="H22" i="6"/>
  <c r="D21" i="5"/>
  <c r="AU21" i="5" s="1"/>
  <c r="I208" i="6"/>
  <c r="H208" i="6"/>
  <c r="D207" i="5"/>
  <c r="AU207" i="5" s="1"/>
  <c r="I192" i="6"/>
  <c r="H192" i="6"/>
  <c r="D191" i="5"/>
  <c r="AU191" i="5" s="1"/>
  <c r="I184" i="6"/>
  <c r="H184" i="6"/>
  <c r="D183" i="5"/>
  <c r="AU183" i="5" s="1"/>
  <c r="I136" i="6"/>
  <c r="H136" i="6"/>
  <c r="D135" i="5"/>
  <c r="AU135" i="5" s="1"/>
  <c r="H210" i="6"/>
  <c r="I210" i="6"/>
  <c r="D209" i="5"/>
  <c r="AU209" i="5" s="1"/>
  <c r="H194" i="6"/>
  <c r="I194" i="6"/>
  <c r="D193" i="5"/>
  <c r="AU193" i="5" s="1"/>
  <c r="I152" i="6"/>
  <c r="H152" i="6"/>
  <c r="D151" i="5"/>
  <c r="AU151" i="5" s="1"/>
  <c r="I100" i="6"/>
  <c r="H100" i="6"/>
  <c r="D99" i="5"/>
  <c r="AU99" i="5" s="1"/>
  <c r="I59" i="6"/>
  <c r="H59" i="6"/>
  <c r="D58" i="5"/>
  <c r="AU58" i="5" s="1"/>
  <c r="H130" i="6"/>
  <c r="I130" i="6"/>
  <c r="D129" i="5"/>
  <c r="AU129" i="5" s="1"/>
  <c r="H90" i="6"/>
  <c r="I90" i="6"/>
  <c r="D89" i="5"/>
  <c r="AU89" i="5" s="1"/>
  <c r="I45" i="6"/>
  <c r="H45" i="6"/>
  <c r="D44" i="5"/>
  <c r="AU44" i="5" s="1"/>
  <c r="I183" i="6"/>
  <c r="H183" i="6"/>
  <c r="D182" i="5"/>
  <c r="AU182" i="5" s="1"/>
  <c r="H39" i="6"/>
  <c r="I39" i="6"/>
  <c r="D38" i="5"/>
  <c r="AU38" i="5" s="1"/>
  <c r="I13" i="6"/>
  <c r="H13" i="6"/>
  <c r="D12" i="5"/>
  <c r="AU12" i="5" s="1"/>
  <c r="H166" i="6"/>
  <c r="I166" i="6"/>
  <c r="D165" i="5"/>
  <c r="AU165" i="5" s="1"/>
  <c r="H118" i="6"/>
  <c r="I118" i="6"/>
  <c r="D117" i="5"/>
  <c r="AU117" i="5" s="1"/>
  <c r="I10" i="6"/>
  <c r="H10" i="6"/>
  <c r="D9" i="5"/>
  <c r="AU9" i="5" s="1"/>
  <c r="I28" i="6"/>
  <c r="H28" i="6"/>
  <c r="D27" i="5"/>
  <c r="AU27" i="5" s="1"/>
  <c r="H162" i="6"/>
  <c r="I162" i="6"/>
  <c r="D161" i="5"/>
  <c r="AU161" i="5" s="1"/>
  <c r="I211" i="6"/>
  <c r="H211" i="6"/>
  <c r="D210" i="5"/>
  <c r="AU210" i="5" s="1"/>
  <c r="I108" i="6"/>
  <c r="H108" i="6"/>
  <c r="I99" i="6"/>
  <c r="H99" i="6"/>
  <c r="D98" i="5"/>
  <c r="AU98" i="5" s="1"/>
  <c r="G76" i="6"/>
  <c r="I67" i="6"/>
  <c r="H67" i="6"/>
  <c r="D66" i="5"/>
  <c r="AU66" i="5" s="1"/>
  <c r="I43" i="6"/>
  <c r="H43" i="6"/>
  <c r="D42" i="5"/>
  <c r="AU42" i="5" s="1"/>
  <c r="I171" i="6"/>
  <c r="H171" i="6"/>
  <c r="D170" i="5"/>
  <c r="AU170" i="5" s="1"/>
  <c r="I163" i="6"/>
  <c r="H163" i="6"/>
  <c r="D162" i="5"/>
  <c r="AU162" i="5" s="1"/>
  <c r="H146" i="6"/>
  <c r="I146" i="6"/>
  <c r="D145" i="5"/>
  <c r="AU145" i="5" s="1"/>
  <c r="H138" i="6"/>
  <c r="I138" i="6"/>
  <c r="D137" i="5"/>
  <c r="AU137" i="5" s="1"/>
  <c r="I117" i="6"/>
  <c r="H117" i="6"/>
  <c r="D116" i="5"/>
  <c r="AU116" i="5" s="1"/>
  <c r="I101" i="6"/>
  <c r="H101" i="6"/>
  <c r="D100" i="5"/>
  <c r="AU100" i="5" s="1"/>
  <c r="I85" i="6"/>
  <c r="H85" i="6"/>
  <c r="D84" i="5"/>
  <c r="AU84" i="5" s="1"/>
  <c r="I69" i="6"/>
  <c r="H69" i="6"/>
  <c r="D68" i="5"/>
  <c r="AU68" i="5" s="1"/>
  <c r="H42" i="6"/>
  <c r="I42" i="6"/>
  <c r="D41" i="5"/>
  <c r="AU41" i="5" s="1"/>
  <c r="G112" i="6"/>
  <c r="G103" i="6"/>
  <c r="I95" i="6"/>
  <c r="D94" i="5"/>
  <c r="AU94" i="5" s="1"/>
  <c r="H95" i="6"/>
  <c r="G72" i="6"/>
  <c r="I63" i="6"/>
  <c r="H63" i="6"/>
  <c r="D62" i="5"/>
  <c r="AU62" i="5" s="1"/>
  <c r="G35" i="6"/>
  <c r="H19" i="6"/>
  <c r="I19" i="6"/>
  <c r="D18" i="5"/>
  <c r="AU18" i="5" s="1"/>
  <c r="I24" i="6"/>
  <c r="H24" i="6"/>
  <c r="D23" i="5"/>
  <c r="AU23" i="5" s="1"/>
  <c r="I14" i="6"/>
  <c r="H14" i="6"/>
  <c r="D13" i="5"/>
  <c r="AU13" i="5" s="1"/>
  <c r="I205" i="6"/>
  <c r="H205" i="6"/>
  <c r="D204" i="5"/>
  <c r="AU204" i="5" s="1"/>
  <c r="I165" i="6"/>
  <c r="H165" i="6"/>
  <c r="D164" i="5"/>
  <c r="AU164" i="5" s="1"/>
  <c r="I143" i="6"/>
  <c r="H143" i="6"/>
  <c r="D142" i="5"/>
  <c r="AU142" i="5" s="1"/>
  <c r="I125" i="6"/>
  <c r="H125" i="6"/>
  <c r="D124" i="5"/>
  <c r="AU124" i="5" s="1"/>
  <c r="I105" i="6"/>
  <c r="H105" i="6"/>
  <c r="D104" i="5"/>
  <c r="AU104" i="5" s="1"/>
  <c r="I73" i="6"/>
  <c r="H73" i="6"/>
  <c r="D72" i="5"/>
  <c r="AU72" i="5" s="1"/>
  <c r="I41" i="6"/>
  <c r="H41" i="6"/>
  <c r="D40" i="5"/>
  <c r="AU40" i="5" s="1"/>
  <c r="I18" i="6"/>
  <c r="H18" i="6"/>
  <c r="D17" i="5"/>
  <c r="AU17" i="5" s="1"/>
  <c r="I12" i="6"/>
  <c r="H12" i="6"/>
  <c r="D11" i="5"/>
  <c r="AU11" i="5" s="1"/>
  <c r="H218" i="6"/>
  <c r="I218" i="6"/>
  <c r="H186" i="6"/>
  <c r="I186" i="6"/>
  <c r="D185" i="5"/>
  <c r="AU185" i="5" s="1"/>
  <c r="I200" i="6"/>
  <c r="H200" i="6"/>
  <c r="D199" i="5"/>
  <c r="AU199" i="5" s="1"/>
  <c r="I68" i="6"/>
  <c r="H68" i="6"/>
  <c r="D67" i="5"/>
  <c r="AU67" i="5" s="1"/>
  <c r="I201" i="6"/>
  <c r="H201" i="6"/>
  <c r="D200" i="5"/>
  <c r="AU200" i="5" s="1"/>
  <c r="I139" i="6"/>
  <c r="H139" i="6"/>
  <c r="D138" i="5"/>
  <c r="AU138" i="5" s="1"/>
  <c r="H106" i="6"/>
  <c r="I106" i="6"/>
  <c r="D105" i="5"/>
  <c r="AU105" i="5" s="1"/>
  <c r="H58" i="6"/>
  <c r="I58" i="6"/>
  <c r="D57" i="5"/>
  <c r="AU57" i="5" s="1"/>
  <c r="I215" i="6"/>
  <c r="H215" i="6"/>
  <c r="D214" i="5"/>
  <c r="AU214" i="5" s="1"/>
  <c r="I104" i="6"/>
  <c r="H104" i="6"/>
  <c r="D103" i="5"/>
  <c r="AU103" i="5" s="1"/>
  <c r="I87" i="6"/>
  <c r="H87" i="6"/>
  <c r="D86" i="5"/>
  <c r="AU86" i="5" s="1"/>
  <c r="I55" i="6"/>
  <c r="H55" i="6"/>
  <c r="D54" i="5"/>
  <c r="AU54" i="5" s="1"/>
  <c r="I51" i="6"/>
  <c r="H51" i="6"/>
  <c r="D50" i="5"/>
  <c r="AU50" i="5" s="1"/>
  <c r="H94" i="6"/>
  <c r="I94" i="6"/>
  <c r="D93" i="5"/>
  <c r="AU93" i="5" s="1"/>
  <c r="I38" i="6"/>
  <c r="H38" i="6"/>
  <c r="D37" i="5"/>
  <c r="AU37" i="5" s="1"/>
  <c r="I33" i="6"/>
  <c r="H33" i="6"/>
  <c r="D32" i="5"/>
  <c r="AU32" i="5" s="1"/>
  <c r="I213" i="6"/>
  <c r="H213" i="6"/>
  <c r="D212" i="5"/>
  <c r="AU212" i="5" s="1"/>
  <c r="I181" i="6"/>
  <c r="H181" i="6"/>
  <c r="D180" i="5"/>
  <c r="AU180" i="5" s="1"/>
  <c r="I149" i="6"/>
  <c r="H149" i="6"/>
  <c r="D148" i="5"/>
  <c r="AU148" i="5" s="1"/>
  <c r="H126" i="6"/>
  <c r="I126" i="6"/>
  <c r="D125" i="5"/>
  <c r="AU125" i="5" s="1"/>
  <c r="H86" i="6"/>
  <c r="I86" i="6"/>
  <c r="D85" i="5"/>
  <c r="AU85" i="5" s="1"/>
  <c r="I34" i="6"/>
  <c r="H34" i="6"/>
  <c r="D33" i="5"/>
  <c r="AU33" i="5" s="1"/>
  <c r="G222" i="6"/>
  <c r="H214" i="6"/>
  <c r="I214" i="6"/>
  <c r="D213" i="5"/>
  <c r="AU213" i="5" s="1"/>
  <c r="G206" i="6"/>
  <c r="H198" i="6"/>
  <c r="I198" i="6"/>
  <c r="D197" i="5"/>
  <c r="AU197" i="5" s="1"/>
  <c r="G190" i="6"/>
  <c r="H182" i="6"/>
  <c r="I182" i="6"/>
  <c r="H50" i="6"/>
  <c r="I50" i="6"/>
  <c r="D49" i="5"/>
  <c r="AU49" i="5" s="1"/>
  <c r="G116" i="6"/>
  <c r="I107" i="6"/>
  <c r="H107" i="6"/>
  <c r="D106" i="5"/>
  <c r="AU106" i="5" s="1"/>
  <c r="I84" i="6"/>
  <c r="H84" i="6"/>
  <c r="I75" i="6"/>
  <c r="H75" i="6"/>
  <c r="D74" i="5"/>
  <c r="AU74" i="5" s="1"/>
  <c r="G52" i="6"/>
  <c r="I217" i="6"/>
  <c r="H217" i="6"/>
  <c r="D216" i="5"/>
  <c r="AU216" i="5" s="1"/>
  <c r="H170" i="6"/>
  <c r="I170" i="6"/>
  <c r="D169" i="5"/>
  <c r="AU169" i="5" s="1"/>
  <c r="I137" i="6"/>
  <c r="H137" i="6"/>
  <c r="D136" i="5"/>
  <c r="AU136" i="5" s="1"/>
  <c r="I123" i="6"/>
  <c r="H123" i="6"/>
  <c r="D122" i="5"/>
  <c r="AU122" i="5" s="1"/>
  <c r="H114" i="6"/>
  <c r="I114" i="6"/>
  <c r="D113" i="5"/>
  <c r="AU113" i="5" s="1"/>
  <c r="G98" i="6"/>
  <c r="H82" i="6"/>
  <c r="I82" i="6"/>
  <c r="H66" i="6"/>
  <c r="I66" i="6"/>
  <c r="I207" i="6"/>
  <c r="H207" i="6"/>
  <c r="D206" i="5"/>
  <c r="AU206" i="5" s="1"/>
  <c r="I191" i="6"/>
  <c r="H191" i="6"/>
  <c r="D190" i="5"/>
  <c r="AU190" i="5" s="1"/>
  <c r="I175" i="6"/>
  <c r="H175" i="6"/>
  <c r="D174" i="5"/>
  <c r="AU174" i="5" s="1"/>
  <c r="I111" i="6"/>
  <c r="H111" i="6"/>
  <c r="D110" i="5"/>
  <c r="AU110" i="5" s="1"/>
  <c r="I80" i="6"/>
  <c r="H80" i="6"/>
  <c r="G71" i="6"/>
  <c r="G48" i="6"/>
  <c r="H31" i="6"/>
  <c r="I31" i="6"/>
  <c r="D30" i="5"/>
  <c r="AU30" i="5" s="1"/>
  <c r="H15" i="6"/>
  <c r="I15" i="6"/>
  <c r="D14" i="5"/>
  <c r="AU14" i="5" s="1"/>
  <c r="G37" i="6"/>
  <c r="G21" i="6"/>
  <c r="H110" i="6"/>
  <c r="I110" i="6"/>
  <c r="D109" i="5"/>
  <c r="AU109" i="5" s="1"/>
  <c r="H78" i="6"/>
  <c r="I78" i="6"/>
  <c r="D77" i="5"/>
  <c r="AU77" i="5" s="1"/>
  <c r="H46" i="6"/>
  <c r="I46" i="6"/>
  <c r="D45" i="5"/>
  <c r="AU45" i="5" s="1"/>
  <c r="G25" i="6"/>
  <c r="H9" i="6"/>
  <c r="I9" i="6"/>
  <c r="G5" i="6"/>
  <c r="I197" i="6"/>
  <c r="H197" i="6"/>
  <c r="D196" i="5"/>
  <c r="AU196" i="5" s="1"/>
  <c r="I173" i="6"/>
  <c r="H173" i="6"/>
  <c r="D172" i="5"/>
  <c r="AU172" i="5" s="1"/>
  <c r="I159" i="6"/>
  <c r="H159" i="6"/>
  <c r="D158" i="5"/>
  <c r="AU158" i="5" s="1"/>
  <c r="I133" i="6"/>
  <c r="H133" i="6"/>
  <c r="D132" i="5"/>
  <c r="AU132" i="5" s="1"/>
  <c r="G6" i="6"/>
  <c r="I8" i="6"/>
  <c r="H8" i="6"/>
  <c r="H202" i="6"/>
  <c r="I202" i="6"/>
  <c r="D201" i="5"/>
  <c r="AU201" i="5" s="1"/>
  <c r="H178" i="6"/>
  <c r="I178" i="6"/>
  <c r="D177" i="5"/>
  <c r="AU177" i="5" s="1"/>
  <c r="H154" i="6"/>
  <c r="I154" i="6"/>
  <c r="D153" i="5"/>
  <c r="AU153" i="5" s="1"/>
  <c r="I216" i="6"/>
  <c r="H216" i="6"/>
  <c r="D215" i="5"/>
  <c r="AU215" i="5" s="1"/>
  <c r="I176" i="6"/>
  <c r="H176" i="6"/>
  <c r="D175" i="5"/>
  <c r="AU175" i="5" s="1"/>
  <c r="I120" i="6"/>
  <c r="H120" i="6"/>
  <c r="D119" i="5"/>
  <c r="AU119" i="5" s="1"/>
  <c r="I91" i="6"/>
  <c r="H91" i="6"/>
  <c r="D90" i="5"/>
  <c r="AU90" i="5" s="1"/>
  <c r="I44" i="6"/>
  <c r="H44" i="6"/>
  <c r="I177" i="6"/>
  <c r="H177" i="6"/>
  <c r="D176" i="5"/>
  <c r="AU176" i="5" s="1"/>
  <c r="I147" i="6"/>
  <c r="H147" i="6"/>
  <c r="D146" i="5"/>
  <c r="AU146" i="5" s="1"/>
  <c r="I121" i="6"/>
  <c r="H121" i="6"/>
  <c r="D120" i="5"/>
  <c r="AU120" i="5" s="1"/>
  <c r="H74" i="6"/>
  <c r="I74" i="6"/>
  <c r="D73" i="5"/>
  <c r="AU73" i="5" s="1"/>
  <c r="I199" i="6"/>
  <c r="H199" i="6"/>
  <c r="D198" i="5"/>
  <c r="AU198" i="5" s="1"/>
  <c r="H134" i="6"/>
  <c r="I134" i="6"/>
  <c r="D133" i="5"/>
  <c r="AU133" i="5" s="1"/>
  <c r="I96" i="6"/>
  <c r="H96" i="6"/>
  <c r="D95" i="5"/>
  <c r="AU95" i="5" s="1"/>
  <c r="I64" i="6"/>
  <c r="H64" i="6"/>
  <c r="D63" i="5"/>
  <c r="AU63" i="5" s="1"/>
  <c r="H23" i="6"/>
  <c r="I23" i="6"/>
  <c r="D22" i="5"/>
  <c r="AU22" i="5" s="1"/>
  <c r="I29" i="6"/>
  <c r="H29" i="6"/>
  <c r="D28" i="5"/>
  <c r="AU28" i="5" s="1"/>
  <c r="H62" i="6"/>
  <c r="I62" i="6"/>
  <c r="D61" i="5"/>
  <c r="AU61" i="5" s="1"/>
  <c r="I16" i="6"/>
  <c r="H16" i="6"/>
  <c r="D15" i="5"/>
  <c r="AU15" i="5" s="1"/>
  <c r="I17" i="6"/>
  <c r="H17" i="6"/>
  <c r="D16" i="5"/>
  <c r="AU16" i="5" s="1"/>
  <c r="I157" i="6"/>
  <c r="H157" i="6"/>
  <c r="D156" i="5"/>
  <c r="AU156" i="5" s="1"/>
  <c r="H54" i="6"/>
  <c r="I54" i="6"/>
  <c r="D53" i="5"/>
  <c r="AU53" i="5" s="1"/>
  <c r="I219" i="6"/>
  <c r="H219" i="6"/>
  <c r="D218" i="5"/>
  <c r="AU218" i="5" s="1"/>
  <c r="I203" i="6"/>
  <c r="H203" i="6"/>
  <c r="D202" i="5"/>
  <c r="AU202" i="5" s="1"/>
  <c r="I179" i="6"/>
  <c r="H179" i="6"/>
  <c r="D178" i="5"/>
  <c r="AU178" i="5" s="1"/>
  <c r="I155" i="6"/>
  <c r="H155" i="6"/>
  <c r="D154" i="5"/>
  <c r="AU154" i="5" s="1"/>
  <c r="I115" i="6"/>
  <c r="H115" i="6"/>
  <c r="D114" i="5"/>
  <c r="AU114" i="5" s="1"/>
  <c r="I92" i="6"/>
  <c r="H92" i="6"/>
  <c r="D91" i="5"/>
  <c r="AU91" i="5" s="1"/>
  <c r="I83" i="6"/>
  <c r="H83" i="6"/>
  <c r="D82" i="5"/>
  <c r="AU82" i="5" s="1"/>
  <c r="I60" i="6"/>
  <c r="H60" i="6"/>
  <c r="D59" i="5"/>
  <c r="AU59" i="5" s="1"/>
  <c r="I185" i="6"/>
  <c r="H185" i="6"/>
  <c r="D184" i="5"/>
  <c r="AU184" i="5" s="1"/>
  <c r="I153" i="6"/>
  <c r="H153" i="6"/>
  <c r="D152" i="5"/>
  <c r="AU152" i="5" s="1"/>
  <c r="I131" i="6"/>
  <c r="H131" i="6"/>
  <c r="D130" i="5"/>
  <c r="AU130" i="5" s="1"/>
  <c r="H122" i="6"/>
  <c r="I122" i="6"/>
  <c r="D121" i="5"/>
  <c r="AU121" i="5" s="1"/>
  <c r="I109" i="6"/>
  <c r="H109" i="6"/>
  <c r="D108" i="5"/>
  <c r="AU108" i="5" s="1"/>
  <c r="I93" i="6"/>
  <c r="H93" i="6"/>
  <c r="D92" i="5"/>
  <c r="AU92" i="5" s="1"/>
  <c r="I77" i="6"/>
  <c r="H77" i="6"/>
  <c r="D76" i="5"/>
  <c r="AU76" i="5" s="1"/>
  <c r="I61" i="6"/>
  <c r="H61" i="6"/>
  <c r="D60" i="5"/>
  <c r="AU60" i="5" s="1"/>
  <c r="I88" i="6"/>
  <c r="H88" i="6"/>
  <c r="D87" i="5"/>
  <c r="AU87" i="5" s="1"/>
  <c r="I79" i="6"/>
  <c r="H79" i="6"/>
  <c r="D78" i="5"/>
  <c r="AU78" i="5" s="1"/>
  <c r="I56" i="6"/>
  <c r="H56" i="6"/>
  <c r="D55" i="5"/>
  <c r="AU55" i="5" s="1"/>
  <c r="I47" i="6"/>
  <c r="H47" i="6"/>
  <c r="D46" i="5"/>
  <c r="AU46" i="5" s="1"/>
  <c r="G27" i="6"/>
  <c r="H11" i="6"/>
  <c r="I11" i="6"/>
  <c r="D10" i="5"/>
  <c r="AU10" i="5" s="1"/>
  <c r="I40" i="6"/>
  <c r="H40" i="6"/>
  <c r="D39" i="5"/>
  <c r="AU39" i="5" s="1"/>
  <c r="I30" i="6"/>
  <c r="H30" i="6"/>
  <c r="D29" i="5"/>
  <c r="AU29" i="5" s="1"/>
  <c r="G7" i="6"/>
  <c r="I221" i="6"/>
  <c r="H221" i="6"/>
  <c r="D220" i="5"/>
  <c r="AU220" i="5" s="1"/>
  <c r="I189" i="6"/>
  <c r="H189" i="6"/>
  <c r="D188" i="5"/>
  <c r="AU188" i="5" s="1"/>
  <c r="H150" i="6"/>
  <c r="I150" i="6"/>
  <c r="D149" i="5"/>
  <c r="AU149" i="5" s="1"/>
  <c r="I141" i="6"/>
  <c r="H141" i="6"/>
  <c r="D140" i="5"/>
  <c r="AU140" i="5" s="1"/>
  <c r="I127" i="6"/>
  <c r="H127" i="6"/>
  <c r="D126" i="5"/>
  <c r="AU126" i="5" s="1"/>
  <c r="I89" i="6"/>
  <c r="H89" i="6"/>
  <c r="D88" i="5"/>
  <c r="AU88" i="5" s="1"/>
  <c r="I57" i="6"/>
  <c r="H57" i="6"/>
  <c r="D56" i="5"/>
  <c r="AU56" i="5" s="1"/>
  <c r="I26" i="6"/>
  <c r="H26" i="6"/>
  <c r="D25" i="5"/>
  <c r="AU25" i="5" s="1"/>
  <c r="AU140" i="8" l="1"/>
  <c r="AV140" i="5"/>
  <c r="H7" i="6"/>
  <c r="I7" i="6"/>
  <c r="D6" i="5"/>
  <c r="AU6" i="5" s="1"/>
  <c r="AU126" i="8"/>
  <c r="AV126" i="5"/>
  <c r="AU220" i="8"/>
  <c r="AV220" i="5"/>
  <c r="AU29" i="8"/>
  <c r="AV29" i="5"/>
  <c r="AU92" i="8"/>
  <c r="AV92" i="5"/>
  <c r="AU56" i="8"/>
  <c r="AV56" i="5"/>
  <c r="AU149" i="8"/>
  <c r="AV149" i="5"/>
  <c r="AU10" i="8"/>
  <c r="AV10" i="5"/>
  <c r="AU46" i="8"/>
  <c r="AV46" i="5"/>
  <c r="AU60" i="8"/>
  <c r="AV60" i="5"/>
  <c r="AU121" i="8"/>
  <c r="AV121" i="5"/>
  <c r="AU59" i="8"/>
  <c r="AV59" i="5"/>
  <c r="AU154" i="8"/>
  <c r="AV154" i="5"/>
  <c r="AU53" i="8"/>
  <c r="AV53" i="5"/>
  <c r="AU61" i="8"/>
  <c r="AV61" i="5"/>
  <c r="AU95" i="8"/>
  <c r="AV95" i="5"/>
  <c r="AU120" i="8"/>
  <c r="AV120" i="5"/>
  <c r="AU215" i="8"/>
  <c r="AV215" i="5"/>
  <c r="AU196" i="8"/>
  <c r="AV196" i="5"/>
  <c r="I21" i="6"/>
  <c r="H21" i="6"/>
  <c r="D20" i="5"/>
  <c r="AU20" i="5" s="1"/>
  <c r="I48" i="6"/>
  <c r="H48" i="6"/>
  <c r="D47" i="5"/>
  <c r="AU47" i="5" s="1"/>
  <c r="AU110" i="8"/>
  <c r="AV110" i="5"/>
  <c r="H98" i="6"/>
  <c r="I98" i="6"/>
  <c r="D97" i="5"/>
  <c r="AU97" i="5" s="1"/>
  <c r="AU122" i="8"/>
  <c r="AV122" i="5"/>
  <c r="I52" i="6"/>
  <c r="H52" i="6"/>
  <c r="D51" i="5"/>
  <c r="AU51" i="5" s="1"/>
  <c r="AU197" i="8"/>
  <c r="AV197" i="5"/>
  <c r="AU213" i="8"/>
  <c r="AV213" i="5"/>
  <c r="AU33" i="8"/>
  <c r="AV33" i="5"/>
  <c r="AU180" i="8"/>
  <c r="AV180" i="5"/>
  <c r="AU93" i="8"/>
  <c r="AV93" i="5"/>
  <c r="AU103" i="8"/>
  <c r="AV103" i="5"/>
  <c r="AU138" i="8"/>
  <c r="AV138" i="5"/>
  <c r="AU185" i="8"/>
  <c r="AV185" i="5"/>
  <c r="AU17" i="8"/>
  <c r="AV17" i="5"/>
  <c r="AU124" i="8"/>
  <c r="AV124" i="5"/>
  <c r="AU13" i="8"/>
  <c r="AV13" i="5"/>
  <c r="AU100" i="8"/>
  <c r="AV100" i="5"/>
  <c r="AU162" i="8"/>
  <c r="AV162" i="5"/>
  <c r="I76" i="6"/>
  <c r="H76" i="6"/>
  <c r="D75" i="5"/>
  <c r="AU75" i="5" s="1"/>
  <c r="AU27" i="8"/>
  <c r="AV27" i="5"/>
  <c r="AU12" i="8"/>
  <c r="AV12" i="5"/>
  <c r="AU89" i="8"/>
  <c r="AV89" i="5"/>
  <c r="AU151" i="8"/>
  <c r="AV151" i="5"/>
  <c r="AU183" i="8"/>
  <c r="AV183" i="5"/>
  <c r="AU131" i="8"/>
  <c r="AV131" i="5"/>
  <c r="AU35" i="8"/>
  <c r="AV35" i="5"/>
  <c r="AU127" i="8"/>
  <c r="AV127" i="5"/>
  <c r="AU179" i="8"/>
  <c r="AV179" i="5"/>
  <c r="AU211" i="8"/>
  <c r="AV211" i="5"/>
  <c r="AU160" i="8"/>
  <c r="AV160" i="5"/>
  <c r="AU80" i="8"/>
  <c r="AV80" i="5"/>
  <c r="AU173" i="8"/>
  <c r="AV173" i="5"/>
  <c r="AU87" i="8"/>
  <c r="AV87" i="5"/>
  <c r="AU108" i="8"/>
  <c r="AV108" i="5"/>
  <c r="AU184" i="8"/>
  <c r="AV184" i="5"/>
  <c r="AU114" i="8"/>
  <c r="AV114" i="5"/>
  <c r="AU218" i="8"/>
  <c r="AV218" i="5"/>
  <c r="AU15" i="8"/>
  <c r="AV15" i="5"/>
  <c r="AU63" i="8"/>
  <c r="AV63" i="5"/>
  <c r="AU73" i="8"/>
  <c r="AV73" i="5"/>
  <c r="AU175" i="8"/>
  <c r="AV175" i="5"/>
  <c r="AU201" i="8"/>
  <c r="AV201" i="5"/>
  <c r="AU172" i="8"/>
  <c r="AV172" i="5"/>
  <c r="AU109" i="8"/>
  <c r="AV109" i="5"/>
  <c r="I37" i="6"/>
  <c r="H37" i="6"/>
  <c r="D36" i="5"/>
  <c r="AU36" i="5" s="1"/>
  <c r="AU30" i="8"/>
  <c r="AV30" i="5"/>
  <c r="I71" i="6"/>
  <c r="H71" i="6"/>
  <c r="D70" i="5"/>
  <c r="AU70" i="5" s="1"/>
  <c r="AU206" i="8"/>
  <c r="AV206" i="5"/>
  <c r="AU113" i="8"/>
  <c r="AV113" i="5"/>
  <c r="AU216" i="8"/>
  <c r="AV216" i="5"/>
  <c r="AU74" i="8"/>
  <c r="AV74" i="5"/>
  <c r="I116" i="6"/>
  <c r="H116" i="6"/>
  <c r="D115" i="5"/>
  <c r="AU115" i="5" s="1"/>
  <c r="AU148" i="8"/>
  <c r="AV148" i="5"/>
  <c r="AU37" i="8"/>
  <c r="AV37" i="5"/>
  <c r="AU86" i="8"/>
  <c r="AV86" i="5"/>
  <c r="AU105" i="8"/>
  <c r="AV105" i="5"/>
  <c r="AU199" i="8"/>
  <c r="AV199" i="5"/>
  <c r="AU11" i="8"/>
  <c r="AV11" i="5"/>
  <c r="AU104" i="8"/>
  <c r="AV104" i="5"/>
  <c r="AU204" i="8"/>
  <c r="AV204" i="5"/>
  <c r="H35" i="6"/>
  <c r="I35" i="6"/>
  <c r="D34" i="5"/>
  <c r="AU34" i="5" s="1"/>
  <c r="I72" i="6"/>
  <c r="H72" i="6"/>
  <c r="D71" i="5"/>
  <c r="AU71" i="5" s="1"/>
  <c r="I103" i="6"/>
  <c r="D102" i="5"/>
  <c r="AU102" i="5" s="1"/>
  <c r="H103" i="6"/>
  <c r="AU84" i="8"/>
  <c r="AV84" i="5"/>
  <c r="AU145" i="8"/>
  <c r="AV145" i="5"/>
  <c r="AU66" i="8"/>
  <c r="AV66" i="5"/>
  <c r="AU98" i="8"/>
  <c r="AV98" i="5"/>
  <c r="AU161" i="8"/>
  <c r="AV161" i="5"/>
  <c r="AU165" i="8"/>
  <c r="AV165" i="5"/>
  <c r="AU44" i="8"/>
  <c r="AV44" i="5"/>
  <c r="AU99" i="8"/>
  <c r="AV99" i="5"/>
  <c r="AU135" i="8"/>
  <c r="AV135" i="5"/>
  <c r="AU21" i="8"/>
  <c r="AV21" i="5"/>
  <c r="AU163" i="8"/>
  <c r="AV163" i="5"/>
  <c r="AU69" i="8"/>
  <c r="AV69" i="5"/>
  <c r="AU167" i="8"/>
  <c r="AV167" i="5"/>
  <c r="AU203" i="8"/>
  <c r="AV203" i="5"/>
  <c r="AU208" i="8"/>
  <c r="AV208" i="5"/>
  <c r="AU96" i="8"/>
  <c r="AV96" i="5"/>
  <c r="AU166" i="8"/>
  <c r="AV166" i="5"/>
  <c r="AU171" i="8"/>
  <c r="AV171" i="5"/>
  <c r="AU25" i="8"/>
  <c r="AV25" i="5"/>
  <c r="AU78" i="8"/>
  <c r="AV78" i="5"/>
  <c r="AU152" i="8"/>
  <c r="AV152" i="5"/>
  <c r="AU91" i="8"/>
  <c r="AV91" i="5"/>
  <c r="AU119" i="8"/>
  <c r="AV119" i="5"/>
  <c r="AU158" i="8"/>
  <c r="AV158" i="5"/>
  <c r="I25" i="6"/>
  <c r="H25" i="6"/>
  <c r="D24" i="5"/>
  <c r="AU24" i="5" s="1"/>
  <c r="AU77" i="8"/>
  <c r="AV77" i="5"/>
  <c r="AU14" i="8"/>
  <c r="AV14" i="5"/>
  <c r="AU169" i="8"/>
  <c r="AV169" i="5"/>
  <c r="AU49" i="8"/>
  <c r="AV49" i="5"/>
  <c r="AU125" i="8"/>
  <c r="AV125" i="5"/>
  <c r="AU32" i="8"/>
  <c r="AV32" i="5"/>
  <c r="AU57" i="8"/>
  <c r="AV57" i="5"/>
  <c r="AU72" i="8"/>
  <c r="AV72" i="5"/>
  <c r="AU164" i="8"/>
  <c r="AV164" i="5"/>
  <c r="AU18" i="8"/>
  <c r="AV18" i="5"/>
  <c r="I112" i="6"/>
  <c r="H112" i="6"/>
  <c r="D111" i="5"/>
  <c r="AU111" i="5" s="1"/>
  <c r="AU68" i="8"/>
  <c r="AV68" i="5"/>
  <c r="AU137" i="8"/>
  <c r="AV137" i="5"/>
  <c r="AU42" i="8"/>
  <c r="AV42" i="5"/>
  <c r="AU210" i="8"/>
  <c r="AV210" i="5"/>
  <c r="AU117" i="8"/>
  <c r="AV117" i="5"/>
  <c r="AU182" i="8"/>
  <c r="AV182" i="5"/>
  <c r="AU58" i="8"/>
  <c r="AV58" i="5"/>
  <c r="AU209" i="8"/>
  <c r="AV209" i="5"/>
  <c r="AU207" i="8"/>
  <c r="AV207" i="5"/>
  <c r="AU139" i="8"/>
  <c r="AV139" i="5"/>
  <c r="AU101" i="8"/>
  <c r="AV101" i="5"/>
  <c r="AU155" i="8"/>
  <c r="AV155" i="5"/>
  <c r="AU195" i="8"/>
  <c r="AV195" i="5"/>
  <c r="AU147" i="8"/>
  <c r="AV147" i="5"/>
  <c r="AU112" i="8"/>
  <c r="AV112" i="5"/>
  <c r="AU48" i="8"/>
  <c r="AV48" i="5"/>
  <c r="AU141" i="8"/>
  <c r="AV141" i="5"/>
  <c r="AU39" i="8"/>
  <c r="AV39" i="5"/>
  <c r="AU202" i="8"/>
  <c r="AV202" i="5"/>
  <c r="AU16" i="8"/>
  <c r="AV16" i="5"/>
  <c r="AU22" i="8"/>
  <c r="AV22" i="5"/>
  <c r="AU198" i="8"/>
  <c r="AV198" i="5"/>
  <c r="AU176" i="8"/>
  <c r="AV176" i="5"/>
  <c r="AU177" i="8"/>
  <c r="AV177" i="5"/>
  <c r="I6" i="6"/>
  <c r="H6" i="6"/>
  <c r="D5" i="5"/>
  <c r="AU5" i="5" s="1"/>
  <c r="AU190" i="8"/>
  <c r="AV190" i="5"/>
  <c r="AU106" i="8"/>
  <c r="AV106" i="5"/>
  <c r="AU54" i="8"/>
  <c r="AV54" i="5"/>
  <c r="AU67" i="8"/>
  <c r="AV67" i="5"/>
  <c r="AU62" i="8"/>
  <c r="AV62" i="5"/>
  <c r="AU88" i="8"/>
  <c r="AV88" i="5"/>
  <c r="AU188" i="8"/>
  <c r="AV188" i="5"/>
  <c r="H27" i="6"/>
  <c r="I27" i="6"/>
  <c r="D26" i="5"/>
  <c r="AU26" i="5" s="1"/>
  <c r="AU55" i="8"/>
  <c r="AV55" i="5"/>
  <c r="AU76" i="8"/>
  <c r="AV76" i="5"/>
  <c r="AU130" i="8"/>
  <c r="AV130" i="5"/>
  <c r="AU82" i="8"/>
  <c r="AV82" i="5"/>
  <c r="AU178" i="8"/>
  <c r="AV178" i="5"/>
  <c r="AU156" i="8"/>
  <c r="AV156" i="5"/>
  <c r="AU28" i="8"/>
  <c r="AV28" i="5"/>
  <c r="AU133" i="8"/>
  <c r="AV133" i="5"/>
  <c r="AU146" i="8"/>
  <c r="AV146" i="5"/>
  <c r="AU90" i="8"/>
  <c r="AV90" i="5"/>
  <c r="AU153" i="8"/>
  <c r="AV153" i="5"/>
  <c r="AU132" i="8"/>
  <c r="AV132" i="5"/>
  <c r="H5" i="6"/>
  <c r="I5" i="6"/>
  <c r="D4" i="5"/>
  <c r="AU4" i="5" s="1"/>
  <c r="AU45" i="8"/>
  <c r="AV45" i="5"/>
  <c r="AU174" i="8"/>
  <c r="AV174" i="5"/>
  <c r="AU136" i="8"/>
  <c r="AV136" i="5"/>
  <c r="H190" i="6"/>
  <c r="I190" i="6"/>
  <c r="D189" i="5"/>
  <c r="AU189" i="5" s="1"/>
  <c r="H206" i="6"/>
  <c r="I206" i="6"/>
  <c r="D205" i="5"/>
  <c r="AU205" i="5" s="1"/>
  <c r="H222" i="6"/>
  <c r="I222" i="6"/>
  <c r="D221" i="5"/>
  <c r="AU221" i="5" s="1"/>
  <c r="AU85" i="8"/>
  <c r="AV85" i="5"/>
  <c r="AU212" i="8"/>
  <c r="AV212" i="5"/>
  <c r="AU50" i="8"/>
  <c r="AV50" i="5"/>
  <c r="AU214" i="8"/>
  <c r="AV214" i="5"/>
  <c r="AU200" i="8"/>
  <c r="AV200" i="5"/>
  <c r="AU40" i="8"/>
  <c r="AV40" i="5"/>
  <c r="AU142" i="8"/>
  <c r="AV142" i="5"/>
  <c r="AU23" i="8"/>
  <c r="AV23" i="5"/>
  <c r="AU94" i="8"/>
  <c r="AV94" i="5"/>
  <c r="AU41" i="8"/>
  <c r="AV41" i="5"/>
  <c r="AU116" i="8"/>
  <c r="AV116" i="5"/>
  <c r="AU170" i="8"/>
  <c r="AV170" i="5"/>
  <c r="AU9" i="8"/>
  <c r="AV9" i="5"/>
  <c r="AU38" i="8"/>
  <c r="AV38" i="5"/>
  <c r="AU129" i="8"/>
  <c r="AV129" i="5"/>
  <c r="AU193" i="8"/>
  <c r="AV193" i="5"/>
  <c r="AU191" i="8"/>
  <c r="AV191" i="5"/>
  <c r="AU123" i="8"/>
  <c r="AV123" i="5"/>
  <c r="AU159" i="8"/>
  <c r="AV159" i="5"/>
  <c r="AU143" i="8"/>
  <c r="AV143" i="5"/>
  <c r="AU187" i="8"/>
  <c r="AV187" i="5"/>
  <c r="AU19" i="8"/>
  <c r="AV19" i="5"/>
  <c r="AU128" i="8"/>
  <c r="AV128" i="5"/>
  <c r="AU64" i="8"/>
  <c r="AV64" i="5"/>
  <c r="AU157" i="8"/>
  <c r="AV157" i="5"/>
  <c r="AV45" i="8" l="1"/>
  <c r="AW45" i="5"/>
  <c r="AV54" i="8"/>
  <c r="AW54" i="5"/>
  <c r="AU24" i="8"/>
  <c r="AV24" i="5"/>
  <c r="AV64" i="8"/>
  <c r="AW64" i="5"/>
  <c r="AV19" i="8"/>
  <c r="AW19" i="5"/>
  <c r="AV143" i="8"/>
  <c r="AW143" i="5"/>
  <c r="AV123" i="8"/>
  <c r="AW123" i="5"/>
  <c r="AV193" i="8"/>
  <c r="AW193" i="5"/>
  <c r="AV38" i="8"/>
  <c r="AW38" i="5"/>
  <c r="AV170" i="8"/>
  <c r="AW170" i="5"/>
  <c r="AV41" i="8"/>
  <c r="AW41" i="5"/>
  <c r="AV23" i="8"/>
  <c r="AW23" i="5"/>
  <c r="AV40" i="8"/>
  <c r="AW40" i="5"/>
  <c r="AV214" i="8"/>
  <c r="AW214" i="5"/>
  <c r="AV212" i="8"/>
  <c r="AW212" i="5"/>
  <c r="AU221" i="8"/>
  <c r="AV221" i="5"/>
  <c r="AV153" i="8"/>
  <c r="AW153" i="5"/>
  <c r="AV146" i="8"/>
  <c r="AW146" i="5"/>
  <c r="AV28" i="8"/>
  <c r="AW28" i="5"/>
  <c r="AV178" i="8"/>
  <c r="AW178" i="5"/>
  <c r="AV130" i="8"/>
  <c r="AW130" i="5"/>
  <c r="AV55" i="8"/>
  <c r="AW55" i="5"/>
  <c r="AV176" i="8"/>
  <c r="AW176" i="5"/>
  <c r="AV22" i="8"/>
  <c r="AW22" i="5"/>
  <c r="AV202" i="8"/>
  <c r="AW202" i="5"/>
  <c r="AV141" i="8"/>
  <c r="AW141" i="5"/>
  <c r="AV112" i="8"/>
  <c r="AW112" i="5"/>
  <c r="AV195" i="8"/>
  <c r="AW195" i="5"/>
  <c r="AV101" i="8"/>
  <c r="AW101" i="5"/>
  <c r="AV207" i="8"/>
  <c r="AW207" i="5"/>
  <c r="AV58" i="8"/>
  <c r="AW58" i="5"/>
  <c r="AV117" i="8"/>
  <c r="AW117" i="5"/>
  <c r="AV42" i="8"/>
  <c r="AW42" i="5"/>
  <c r="AV68" i="8"/>
  <c r="AW68" i="5"/>
  <c r="AV158" i="8"/>
  <c r="AW158" i="5"/>
  <c r="AV91" i="8"/>
  <c r="AW91" i="5"/>
  <c r="AV78" i="8"/>
  <c r="AW78" i="5"/>
  <c r="AV171" i="8"/>
  <c r="AW171" i="5"/>
  <c r="AV96" i="8"/>
  <c r="AW96" i="5"/>
  <c r="AV203" i="8"/>
  <c r="AW203" i="5"/>
  <c r="AV69" i="8"/>
  <c r="AW69" i="5"/>
  <c r="AV21" i="8"/>
  <c r="AW21" i="5"/>
  <c r="AV99" i="8"/>
  <c r="AW99" i="5"/>
  <c r="AV165" i="8"/>
  <c r="AW165" i="5"/>
  <c r="AV98" i="8"/>
  <c r="AW98" i="5"/>
  <c r="AV145" i="8"/>
  <c r="AW145" i="5"/>
  <c r="AV74" i="8"/>
  <c r="AW74" i="5"/>
  <c r="AV113" i="8"/>
  <c r="AW113" i="5"/>
  <c r="AU70" i="8"/>
  <c r="AV70" i="5"/>
  <c r="AV109" i="8"/>
  <c r="AW109" i="5"/>
  <c r="AV201" i="8"/>
  <c r="AW201" i="5"/>
  <c r="AV73" i="8"/>
  <c r="AW73" i="5"/>
  <c r="AV15" i="8"/>
  <c r="AW15" i="5"/>
  <c r="AV114" i="8"/>
  <c r="AW114" i="5"/>
  <c r="AV108" i="8"/>
  <c r="AW108" i="5"/>
  <c r="AV173" i="8"/>
  <c r="AW173" i="5"/>
  <c r="AV160" i="8"/>
  <c r="AW160" i="5"/>
  <c r="AV179" i="8"/>
  <c r="AW179" i="5"/>
  <c r="AV35" i="8"/>
  <c r="AW35" i="5"/>
  <c r="AV183" i="8"/>
  <c r="AW183" i="5"/>
  <c r="AV89" i="8"/>
  <c r="AW89" i="5"/>
  <c r="AV27" i="8"/>
  <c r="AW27" i="5"/>
  <c r="AU97" i="8"/>
  <c r="AV97" i="5"/>
  <c r="AU20" i="8"/>
  <c r="AV20" i="5"/>
  <c r="L1" i="6"/>
  <c r="F1" i="6"/>
  <c r="I1" i="6"/>
  <c r="O1" i="6"/>
  <c r="AV188" i="8"/>
  <c r="AW188" i="5"/>
  <c r="AU36" i="8"/>
  <c r="AV36" i="5"/>
  <c r="AV162" i="8"/>
  <c r="AW162" i="5"/>
  <c r="AV13" i="8"/>
  <c r="AW13" i="5"/>
  <c r="AV17" i="8"/>
  <c r="AW17" i="5"/>
  <c r="AV138" i="8"/>
  <c r="AW138" i="5"/>
  <c r="AV93" i="8"/>
  <c r="AW93" i="5"/>
  <c r="AV33" i="8"/>
  <c r="AW33" i="5"/>
  <c r="AV197" i="8"/>
  <c r="AW197" i="5"/>
  <c r="AU47" i="8"/>
  <c r="AV47" i="5"/>
  <c r="AV215" i="8"/>
  <c r="AW215" i="5"/>
  <c r="AV95" i="8"/>
  <c r="AW95" i="5"/>
  <c r="AV53" i="8"/>
  <c r="AW53" i="5"/>
  <c r="AV59" i="8"/>
  <c r="AW59" i="5"/>
  <c r="AV60" i="8"/>
  <c r="AW60" i="5"/>
  <c r="AV10" i="8"/>
  <c r="AW10" i="5"/>
  <c r="AV56" i="8"/>
  <c r="AW56" i="5"/>
  <c r="AV29" i="8"/>
  <c r="AW29" i="5"/>
  <c r="AV126" i="8"/>
  <c r="AW126" i="5"/>
  <c r="AV18" i="8"/>
  <c r="AW18" i="5"/>
  <c r="AV72" i="8"/>
  <c r="AW72" i="5"/>
  <c r="AV32" i="8"/>
  <c r="AW32" i="5"/>
  <c r="AV14" i="8"/>
  <c r="AW14" i="5"/>
  <c r="AU102" i="8"/>
  <c r="AV102" i="5"/>
  <c r="AV157" i="8"/>
  <c r="AW157" i="5"/>
  <c r="AV128" i="8"/>
  <c r="AW128" i="5"/>
  <c r="AV187" i="8"/>
  <c r="AW187" i="5"/>
  <c r="AV159" i="8"/>
  <c r="AW159" i="5"/>
  <c r="AV191" i="8"/>
  <c r="AW191" i="5"/>
  <c r="AV129" i="8"/>
  <c r="AW129" i="5"/>
  <c r="AV9" i="8"/>
  <c r="AW9" i="5"/>
  <c r="AV116" i="8"/>
  <c r="AW116" i="5"/>
  <c r="AV94" i="8"/>
  <c r="AW94" i="5"/>
  <c r="AV142" i="8"/>
  <c r="AW142" i="5"/>
  <c r="AV200" i="8"/>
  <c r="AW200" i="5"/>
  <c r="AV50" i="8"/>
  <c r="AW50" i="5"/>
  <c r="AV85" i="8"/>
  <c r="AW85" i="5"/>
  <c r="AU189" i="8"/>
  <c r="AV189" i="5"/>
  <c r="AV132" i="8"/>
  <c r="AW132" i="5"/>
  <c r="AV90" i="8"/>
  <c r="AW90" i="5"/>
  <c r="AV133" i="8"/>
  <c r="AW133" i="5"/>
  <c r="AV156" i="8"/>
  <c r="AW156" i="5"/>
  <c r="AV82" i="8"/>
  <c r="AW82" i="5"/>
  <c r="AV76" i="8"/>
  <c r="AW76" i="5"/>
  <c r="AU26" i="8"/>
  <c r="AV26" i="5"/>
  <c r="AV177" i="8"/>
  <c r="AW177" i="5"/>
  <c r="AV198" i="8"/>
  <c r="AW198" i="5"/>
  <c r="AV16" i="8"/>
  <c r="AW16" i="5"/>
  <c r="AV39" i="8"/>
  <c r="AW39" i="5"/>
  <c r="AV48" i="8"/>
  <c r="AW48" i="5"/>
  <c r="AV147" i="8"/>
  <c r="AW147" i="5"/>
  <c r="AV155" i="8"/>
  <c r="AW155" i="5"/>
  <c r="AV139" i="8"/>
  <c r="AW139" i="5"/>
  <c r="AV209" i="8"/>
  <c r="AW209" i="5"/>
  <c r="AV182" i="8"/>
  <c r="AW182" i="5"/>
  <c r="AV210" i="8"/>
  <c r="AW210" i="5"/>
  <c r="AV137" i="8"/>
  <c r="AW137" i="5"/>
  <c r="AU111" i="8"/>
  <c r="AV111" i="5"/>
  <c r="AV119" i="8"/>
  <c r="AW119" i="5"/>
  <c r="AV152" i="8"/>
  <c r="AW152" i="5"/>
  <c r="AV25" i="8"/>
  <c r="AW25" i="5"/>
  <c r="AV166" i="8"/>
  <c r="AW166" i="5"/>
  <c r="AV208" i="8"/>
  <c r="AW208" i="5"/>
  <c r="AV167" i="8"/>
  <c r="AW167" i="5"/>
  <c r="AV163" i="8"/>
  <c r="AW163" i="5"/>
  <c r="AV135" i="8"/>
  <c r="AW135" i="5"/>
  <c r="AV44" i="8"/>
  <c r="AW44" i="5"/>
  <c r="AV161" i="8"/>
  <c r="AW161" i="5"/>
  <c r="AV66" i="8"/>
  <c r="AW66" i="5"/>
  <c r="AV84" i="8"/>
  <c r="AW84" i="5"/>
  <c r="AU34" i="8"/>
  <c r="AV34" i="5"/>
  <c r="AV216" i="8"/>
  <c r="AW216" i="5"/>
  <c r="AV206" i="8"/>
  <c r="AW206" i="5"/>
  <c r="AV172" i="8"/>
  <c r="AW172" i="5"/>
  <c r="AV175" i="8"/>
  <c r="AW175" i="5"/>
  <c r="AV63" i="8"/>
  <c r="AW63" i="5"/>
  <c r="AV218" i="8"/>
  <c r="AW218" i="5"/>
  <c r="AV184" i="8"/>
  <c r="AW184" i="5"/>
  <c r="AV87" i="8"/>
  <c r="AW87" i="5"/>
  <c r="AV80" i="8"/>
  <c r="AW80" i="5"/>
  <c r="AV211" i="8"/>
  <c r="AW211" i="5"/>
  <c r="AV127" i="8"/>
  <c r="AW127" i="5"/>
  <c r="AV131" i="8"/>
  <c r="AW131" i="5"/>
  <c r="AV151" i="8"/>
  <c r="AW151" i="5"/>
  <c r="AV12" i="8"/>
  <c r="AW12" i="5"/>
  <c r="AU75" i="8"/>
  <c r="AV75" i="5"/>
  <c r="AV122" i="8"/>
  <c r="AW122" i="5"/>
  <c r="AV140" i="8"/>
  <c r="AW140" i="5"/>
  <c r="AV136" i="8"/>
  <c r="AW136" i="5"/>
  <c r="AV62" i="8"/>
  <c r="AW62" i="5"/>
  <c r="AV190" i="8"/>
  <c r="AW190" i="5"/>
  <c r="AV49" i="8"/>
  <c r="AW49" i="5"/>
  <c r="AV204" i="8"/>
  <c r="AW204" i="5"/>
  <c r="AV11" i="8"/>
  <c r="AW11" i="5"/>
  <c r="AV105" i="8"/>
  <c r="AW105" i="5"/>
  <c r="AV37" i="8"/>
  <c r="AW37" i="5"/>
  <c r="AU115" i="8"/>
  <c r="AV115" i="5"/>
  <c r="AU205" i="8"/>
  <c r="AV205" i="5"/>
  <c r="AV174" i="8"/>
  <c r="AW174" i="5"/>
  <c r="AU4" i="8"/>
  <c r="AV4" i="5"/>
  <c r="AV88" i="8"/>
  <c r="AW88" i="5"/>
  <c r="AV67" i="8"/>
  <c r="AW67" i="5"/>
  <c r="AV106" i="8"/>
  <c r="AW106" i="5"/>
  <c r="AU5" i="8"/>
  <c r="AV5" i="5"/>
  <c r="AV164" i="8"/>
  <c r="AW164" i="5"/>
  <c r="AV57" i="8"/>
  <c r="AW57" i="5"/>
  <c r="AV125" i="8"/>
  <c r="AW125" i="5"/>
  <c r="AV169" i="8"/>
  <c r="AW169" i="5"/>
  <c r="AV77" i="8"/>
  <c r="AW77" i="5"/>
  <c r="AU71" i="8"/>
  <c r="AV71" i="5"/>
  <c r="AV104" i="8"/>
  <c r="AW104" i="5"/>
  <c r="AV199" i="8"/>
  <c r="AW199" i="5"/>
  <c r="AV86" i="8"/>
  <c r="AW86" i="5"/>
  <c r="AV148" i="8"/>
  <c r="AW148" i="5"/>
  <c r="AV30" i="8"/>
  <c r="AW30" i="5"/>
  <c r="AV100" i="8"/>
  <c r="AW100" i="5"/>
  <c r="AV124" i="8"/>
  <c r="AW124" i="5"/>
  <c r="AV185" i="8"/>
  <c r="AW185" i="5"/>
  <c r="AV103" i="8"/>
  <c r="AW103" i="5"/>
  <c r="AV180" i="8"/>
  <c r="AW180" i="5"/>
  <c r="AV213" i="8"/>
  <c r="AW213" i="5"/>
  <c r="AU51" i="8"/>
  <c r="AV51" i="5"/>
  <c r="AV110" i="8"/>
  <c r="AW110" i="5"/>
  <c r="AV196" i="8"/>
  <c r="AW196" i="5"/>
  <c r="AV120" i="8"/>
  <c r="AW120" i="5"/>
  <c r="AV61" i="8"/>
  <c r="AW61" i="5"/>
  <c r="AV154" i="8"/>
  <c r="AW154" i="5"/>
  <c r="AV121" i="8"/>
  <c r="AW121" i="5"/>
  <c r="AV46" i="8"/>
  <c r="AW46" i="5"/>
  <c r="AV149" i="8"/>
  <c r="AW149" i="5"/>
  <c r="AV92" i="8"/>
  <c r="AW92" i="5"/>
  <c r="AV220" i="8"/>
  <c r="AW220" i="5"/>
  <c r="AU6" i="8"/>
  <c r="AV6" i="5"/>
  <c r="AW61" i="8" l="1"/>
  <c r="AX61" i="5"/>
  <c r="AW27" i="8"/>
  <c r="AX27" i="5"/>
  <c r="AW179" i="8"/>
  <c r="AX179" i="5"/>
  <c r="AW114" i="8"/>
  <c r="AX114" i="5"/>
  <c r="AW113" i="8"/>
  <c r="AX113" i="5"/>
  <c r="AW203" i="8"/>
  <c r="AX203" i="5"/>
  <c r="AW64" i="8"/>
  <c r="AX64" i="5"/>
  <c r="AW149" i="8"/>
  <c r="AX149" i="5"/>
  <c r="AW196" i="8"/>
  <c r="AX196" i="5"/>
  <c r="AW180" i="8"/>
  <c r="AX180" i="5"/>
  <c r="AW100" i="8"/>
  <c r="AX100" i="5"/>
  <c r="AW199" i="8"/>
  <c r="AX199" i="5"/>
  <c r="AV71" i="8"/>
  <c r="AW71" i="5"/>
  <c r="AW57" i="8"/>
  <c r="AX57" i="5"/>
  <c r="AW67" i="8"/>
  <c r="AX67" i="5"/>
  <c r="AV205" i="8"/>
  <c r="AW205" i="5"/>
  <c r="AW11" i="8"/>
  <c r="AX11" i="5"/>
  <c r="AW62" i="8"/>
  <c r="AX62" i="5"/>
  <c r="AV75" i="8"/>
  <c r="AW75" i="5"/>
  <c r="AW127" i="8"/>
  <c r="AX127" i="5"/>
  <c r="AW184" i="8"/>
  <c r="AX184" i="5"/>
  <c r="AW172" i="8"/>
  <c r="AX172" i="5"/>
  <c r="AW216" i="8"/>
  <c r="AX216" i="5"/>
  <c r="AW84" i="8"/>
  <c r="AX84" i="5"/>
  <c r="AW161" i="8"/>
  <c r="AX161" i="5"/>
  <c r="AW167" i="8"/>
  <c r="AX167" i="5"/>
  <c r="AW166" i="8"/>
  <c r="AX166" i="5"/>
  <c r="AW152" i="8"/>
  <c r="AX152" i="5"/>
  <c r="AV111" i="8"/>
  <c r="AW111" i="5"/>
  <c r="AW210" i="8"/>
  <c r="AX210" i="5"/>
  <c r="AW209" i="8"/>
  <c r="AX209" i="5"/>
  <c r="AW155" i="8"/>
  <c r="AX155" i="5"/>
  <c r="AW48" i="8"/>
  <c r="AX48" i="5"/>
  <c r="AW16" i="8"/>
  <c r="AX16" i="5"/>
  <c r="AW177" i="8"/>
  <c r="AX177" i="5"/>
  <c r="AW76" i="8"/>
  <c r="AX76" i="5"/>
  <c r="AW156" i="8"/>
  <c r="AX156" i="5"/>
  <c r="AW90" i="8"/>
  <c r="AX90" i="5"/>
  <c r="AV189" i="8"/>
  <c r="AW189" i="5"/>
  <c r="AW50" i="8"/>
  <c r="AX50" i="5"/>
  <c r="AW142" i="8"/>
  <c r="AX142" i="5"/>
  <c r="AW116" i="8"/>
  <c r="AX116" i="5"/>
  <c r="AW129" i="8"/>
  <c r="AX129" i="5"/>
  <c r="AW159" i="8"/>
  <c r="AX159" i="5"/>
  <c r="AW128" i="8"/>
  <c r="AX128" i="5"/>
  <c r="AV102" i="8"/>
  <c r="AW102" i="5"/>
  <c r="AW32" i="8"/>
  <c r="AX32" i="5"/>
  <c r="AW29" i="8"/>
  <c r="AX29" i="5"/>
  <c r="AW10" i="8"/>
  <c r="AX10" i="5"/>
  <c r="AW59" i="8"/>
  <c r="AX59" i="5"/>
  <c r="AW95" i="8"/>
  <c r="AX95" i="5"/>
  <c r="AV47" i="8"/>
  <c r="AW47" i="5"/>
  <c r="AW33" i="8"/>
  <c r="AX33" i="5"/>
  <c r="AW138" i="8"/>
  <c r="AX138" i="5"/>
  <c r="AW13" i="8"/>
  <c r="AX13" i="5"/>
  <c r="AV36" i="8"/>
  <c r="AW36" i="5"/>
  <c r="AV20" i="8"/>
  <c r="AW20" i="5"/>
  <c r="AW183" i="8"/>
  <c r="AX183" i="5"/>
  <c r="AW173" i="8"/>
  <c r="AX173" i="5"/>
  <c r="AW73" i="8"/>
  <c r="AX73" i="5"/>
  <c r="AW109" i="8"/>
  <c r="AX109" i="5"/>
  <c r="AW145" i="8"/>
  <c r="AX145" i="5"/>
  <c r="AW165" i="8"/>
  <c r="AX165" i="5"/>
  <c r="AW21" i="8"/>
  <c r="AX21" i="5"/>
  <c r="AW171" i="8"/>
  <c r="AX171" i="5"/>
  <c r="AW91" i="8"/>
  <c r="AX91" i="5"/>
  <c r="AW68" i="8"/>
  <c r="AX68" i="5"/>
  <c r="AW117" i="8"/>
  <c r="AX117" i="5"/>
  <c r="AW207" i="8"/>
  <c r="AX207" i="5"/>
  <c r="AW195" i="8"/>
  <c r="AX195" i="5"/>
  <c r="AW141" i="8"/>
  <c r="AX141" i="5"/>
  <c r="AW22" i="8"/>
  <c r="AX22" i="5"/>
  <c r="AW55" i="8"/>
  <c r="AX55" i="5"/>
  <c r="AW178" i="8"/>
  <c r="AX178" i="5"/>
  <c r="AW146" i="8"/>
  <c r="AX146" i="5"/>
  <c r="AV221" i="8"/>
  <c r="AW221" i="5"/>
  <c r="AW214" i="8"/>
  <c r="AX214" i="5"/>
  <c r="AW23" i="8"/>
  <c r="AX23" i="5"/>
  <c r="AW170" i="8"/>
  <c r="AX170" i="5"/>
  <c r="AW193" i="8"/>
  <c r="AX193" i="5"/>
  <c r="AW143" i="8"/>
  <c r="AX143" i="5"/>
  <c r="AW54" i="8"/>
  <c r="AX54" i="5"/>
  <c r="AV6" i="8"/>
  <c r="AW6" i="5"/>
  <c r="AW92" i="8"/>
  <c r="AX92" i="5"/>
  <c r="AW46" i="8"/>
  <c r="AX46" i="5"/>
  <c r="AW154" i="8"/>
  <c r="AX154" i="5"/>
  <c r="AW120" i="8"/>
  <c r="AX120" i="5"/>
  <c r="AW110" i="8"/>
  <c r="AX110" i="5"/>
  <c r="AW213" i="8"/>
  <c r="AX213" i="5"/>
  <c r="AW103" i="8"/>
  <c r="AX103" i="5"/>
  <c r="AW124" i="8"/>
  <c r="AX124" i="5"/>
  <c r="AW30" i="8"/>
  <c r="AX30" i="5"/>
  <c r="AW86" i="8"/>
  <c r="AX86" i="5"/>
  <c r="AW104" i="8"/>
  <c r="AX104" i="5"/>
  <c r="AW77" i="8"/>
  <c r="AX77" i="5"/>
  <c r="AW125" i="8"/>
  <c r="AX125" i="5"/>
  <c r="AW164" i="8"/>
  <c r="AX164" i="5"/>
  <c r="AW106" i="8"/>
  <c r="AX106" i="5"/>
  <c r="AW88" i="8"/>
  <c r="AX88" i="5"/>
  <c r="AW174" i="8"/>
  <c r="AX174" i="5"/>
  <c r="AV115" i="8"/>
  <c r="AW115" i="5"/>
  <c r="AW105" i="8"/>
  <c r="AX105" i="5"/>
  <c r="AW204" i="8"/>
  <c r="AX204" i="5"/>
  <c r="AW190" i="8"/>
  <c r="AX190" i="5"/>
  <c r="AW136" i="8"/>
  <c r="AX136" i="5"/>
  <c r="AW122" i="8"/>
  <c r="AX122" i="5"/>
  <c r="AW12" i="8"/>
  <c r="AX12" i="5"/>
  <c r="AW131" i="8"/>
  <c r="AX131" i="5"/>
  <c r="AW211" i="8"/>
  <c r="AX211" i="5"/>
  <c r="AW87" i="8"/>
  <c r="AX87" i="5"/>
  <c r="AW218" i="8"/>
  <c r="AX218" i="5"/>
  <c r="AW175" i="8"/>
  <c r="AX175" i="5"/>
  <c r="AW206" i="8"/>
  <c r="AX206" i="5"/>
  <c r="AV34" i="8"/>
  <c r="AW34" i="5"/>
  <c r="AW66" i="8"/>
  <c r="AX66" i="5"/>
  <c r="AW44" i="8"/>
  <c r="AX44" i="5"/>
  <c r="AW163" i="8"/>
  <c r="AX163" i="5"/>
  <c r="AW208" i="8"/>
  <c r="AX208" i="5"/>
  <c r="AW25" i="8"/>
  <c r="AX25" i="5"/>
  <c r="AW119" i="8"/>
  <c r="AX119" i="5"/>
  <c r="AW137" i="8"/>
  <c r="AX137" i="5"/>
  <c r="AW182" i="8"/>
  <c r="AX182" i="5"/>
  <c r="AW139" i="8"/>
  <c r="AX139" i="5"/>
  <c r="AW147" i="8"/>
  <c r="AX147" i="5"/>
  <c r="AW39" i="8"/>
  <c r="AX39" i="5"/>
  <c r="AW198" i="8"/>
  <c r="AX198" i="5"/>
  <c r="AV26" i="8"/>
  <c r="AW26" i="5"/>
  <c r="AW82" i="8"/>
  <c r="AX82" i="5"/>
  <c r="AW133" i="8"/>
  <c r="AX133" i="5"/>
  <c r="AW132" i="8"/>
  <c r="AX132" i="5"/>
  <c r="AW85" i="8"/>
  <c r="AX85" i="5"/>
  <c r="AW200" i="8"/>
  <c r="AX200" i="5"/>
  <c r="AW94" i="8"/>
  <c r="AX94" i="5"/>
  <c r="AW9" i="8"/>
  <c r="AX9" i="5"/>
  <c r="AW191" i="8"/>
  <c r="AX191" i="5"/>
  <c r="AW187" i="8"/>
  <c r="AX187" i="5"/>
  <c r="AW157" i="8"/>
  <c r="AX157" i="5"/>
  <c r="AW14" i="8"/>
  <c r="AX14" i="5"/>
  <c r="AW72" i="8"/>
  <c r="AX72" i="5"/>
  <c r="AW126" i="8"/>
  <c r="AX126" i="5"/>
  <c r="AW56" i="8"/>
  <c r="AX56" i="5"/>
  <c r="AW60" i="8"/>
  <c r="AX60" i="5"/>
  <c r="AW53" i="8"/>
  <c r="AX53" i="5"/>
  <c r="AW215" i="8"/>
  <c r="AX215" i="5"/>
  <c r="AW197" i="8"/>
  <c r="AX197" i="5"/>
  <c r="AW93" i="8"/>
  <c r="AX93" i="5"/>
  <c r="AW17" i="8"/>
  <c r="AX17" i="5"/>
  <c r="AW162" i="8"/>
  <c r="AX162" i="5"/>
  <c r="AW188" i="8"/>
  <c r="AX188" i="5"/>
  <c r="AV97" i="8"/>
  <c r="AW97" i="5"/>
  <c r="AW89" i="8"/>
  <c r="AX89" i="5"/>
  <c r="AW35" i="8"/>
  <c r="AX35" i="5"/>
  <c r="AW160" i="8"/>
  <c r="AX160" i="5"/>
  <c r="AW108" i="8"/>
  <c r="AX108" i="5"/>
  <c r="AW15" i="8"/>
  <c r="AX15" i="5"/>
  <c r="AW201" i="8"/>
  <c r="AX201" i="5"/>
  <c r="AV70" i="8"/>
  <c r="AW70" i="5"/>
  <c r="AW74" i="8"/>
  <c r="AX74" i="5"/>
  <c r="AW98" i="8"/>
  <c r="AX98" i="5"/>
  <c r="AW99" i="8"/>
  <c r="AX99" i="5"/>
  <c r="AW69" i="8"/>
  <c r="AX69" i="5"/>
  <c r="AW96" i="8"/>
  <c r="AX96" i="5"/>
  <c r="AW78" i="8"/>
  <c r="AX78" i="5"/>
  <c r="AW158" i="8"/>
  <c r="AX158" i="5"/>
  <c r="AW42" i="8"/>
  <c r="AX42" i="5"/>
  <c r="AW58" i="8"/>
  <c r="AX58" i="5"/>
  <c r="AW101" i="8"/>
  <c r="AX101" i="5"/>
  <c r="AW112" i="8"/>
  <c r="AX112" i="5"/>
  <c r="AW202" i="8"/>
  <c r="AX202" i="5"/>
  <c r="AW176" i="8"/>
  <c r="AX176" i="5"/>
  <c r="AW130" i="8"/>
  <c r="AX130" i="5"/>
  <c r="AW28" i="8"/>
  <c r="AX28" i="5"/>
  <c r="AW153" i="8"/>
  <c r="AX153" i="5"/>
  <c r="AW212" i="8"/>
  <c r="AX212" i="5"/>
  <c r="AW40" i="8"/>
  <c r="AX40" i="5"/>
  <c r="AW41" i="8"/>
  <c r="AX41" i="5"/>
  <c r="AW38" i="8"/>
  <c r="AX38" i="5"/>
  <c r="AW123" i="8"/>
  <c r="AX123" i="5"/>
  <c r="AW19" i="8"/>
  <c r="AX19" i="5"/>
  <c r="AV24" i="8"/>
  <c r="AW24" i="5"/>
  <c r="AW45" i="8"/>
  <c r="AX45" i="5"/>
  <c r="AW220" i="8"/>
  <c r="AX220" i="5"/>
  <c r="AW121" i="8"/>
  <c r="AX121" i="5"/>
  <c r="AV51" i="8"/>
  <c r="AW51" i="5"/>
  <c r="AW185" i="8"/>
  <c r="AX185" i="5"/>
  <c r="AW148" i="8"/>
  <c r="AX148" i="5"/>
  <c r="AW169" i="8"/>
  <c r="AX169" i="5"/>
  <c r="AV5" i="8"/>
  <c r="AW5" i="5"/>
  <c r="AV4" i="8"/>
  <c r="AW4" i="5"/>
  <c r="AW37" i="8"/>
  <c r="AX37" i="5"/>
  <c r="AW49" i="8"/>
  <c r="AX49" i="5"/>
  <c r="AW140" i="8"/>
  <c r="AX140" i="5"/>
  <c r="AW151" i="8"/>
  <c r="AX151" i="5"/>
  <c r="AW80" i="8"/>
  <c r="AX80" i="5"/>
  <c r="AW63" i="8"/>
  <c r="AX63" i="5"/>
  <c r="AW135" i="8"/>
  <c r="AX135" i="5"/>
  <c r="AW18" i="8"/>
  <c r="AX18" i="5"/>
  <c r="AX135" i="8" l="1"/>
  <c r="AY135" i="5"/>
  <c r="AX140" i="8"/>
  <c r="AY140" i="5"/>
  <c r="AX148" i="8"/>
  <c r="AY148" i="5"/>
  <c r="AX220" i="8"/>
  <c r="AY220" i="5"/>
  <c r="AX123" i="8"/>
  <c r="AY123" i="5"/>
  <c r="AX212" i="8"/>
  <c r="AY212" i="5"/>
  <c r="AX176" i="8"/>
  <c r="AY176" i="5"/>
  <c r="AX158" i="8"/>
  <c r="AY158" i="5"/>
  <c r="AX99" i="8"/>
  <c r="AY99" i="5"/>
  <c r="AX201" i="8"/>
  <c r="AY201" i="5"/>
  <c r="AX35" i="8"/>
  <c r="AY35" i="5"/>
  <c r="AW97" i="8"/>
  <c r="AX97" i="5"/>
  <c r="AX93" i="8"/>
  <c r="AY93" i="5"/>
  <c r="AX60" i="8"/>
  <c r="AY60" i="5"/>
  <c r="AX14" i="8"/>
  <c r="AY14" i="5"/>
  <c r="AX200" i="8"/>
  <c r="AY200" i="5"/>
  <c r="AX198" i="8"/>
  <c r="AY198" i="5"/>
  <c r="AX182" i="8"/>
  <c r="AY182" i="5"/>
  <c r="AX208" i="8"/>
  <c r="AY208" i="5"/>
  <c r="AW34" i="8"/>
  <c r="AX34" i="5"/>
  <c r="AX87" i="8"/>
  <c r="AY87" i="5"/>
  <c r="AX122" i="8"/>
  <c r="AY122" i="5"/>
  <c r="AX105" i="8"/>
  <c r="AY105" i="5"/>
  <c r="AX125" i="8"/>
  <c r="AY125" i="5"/>
  <c r="AX30" i="8"/>
  <c r="AY30" i="5"/>
  <c r="AX110" i="8"/>
  <c r="AY110" i="5"/>
  <c r="AX92" i="8"/>
  <c r="AY92" i="5"/>
  <c r="AX193" i="8"/>
  <c r="AY193" i="5"/>
  <c r="AW221" i="8"/>
  <c r="AX221" i="5"/>
  <c r="AX22" i="8"/>
  <c r="AY22" i="5"/>
  <c r="AX117" i="8"/>
  <c r="AY117" i="5"/>
  <c r="AX21" i="8"/>
  <c r="AY21" i="5"/>
  <c r="AX73" i="8"/>
  <c r="AY73" i="5"/>
  <c r="AW36" i="8"/>
  <c r="AX36" i="5"/>
  <c r="AW47" i="8"/>
  <c r="AX47" i="5"/>
  <c r="AX29" i="8"/>
  <c r="AY29" i="5"/>
  <c r="AX159" i="8"/>
  <c r="AY159" i="5"/>
  <c r="AX50" i="8"/>
  <c r="AY50" i="5"/>
  <c r="AX76" i="8"/>
  <c r="AY76" i="5"/>
  <c r="AX155" i="8"/>
  <c r="AY155" i="5"/>
  <c r="AX84" i="8"/>
  <c r="AY84" i="5"/>
  <c r="AX114" i="8"/>
  <c r="AY114" i="5"/>
  <c r="AX80" i="8"/>
  <c r="AY80" i="5"/>
  <c r="AX37" i="8"/>
  <c r="AY37" i="5"/>
  <c r="AW51" i="8"/>
  <c r="AX51" i="5"/>
  <c r="AW24" i="8"/>
  <c r="AX24" i="5"/>
  <c r="AX41" i="8"/>
  <c r="AY41" i="5"/>
  <c r="AX28" i="8"/>
  <c r="AY28" i="5"/>
  <c r="AX112" i="8"/>
  <c r="AY112" i="5"/>
  <c r="AX58" i="8"/>
  <c r="AY58" i="5"/>
  <c r="AX96" i="8"/>
  <c r="AY96" i="5"/>
  <c r="AX74" i="8"/>
  <c r="AY74" i="5"/>
  <c r="AX108" i="8"/>
  <c r="AY108" i="5"/>
  <c r="AX162" i="8"/>
  <c r="AY162" i="5"/>
  <c r="AX215" i="8"/>
  <c r="AY215" i="5"/>
  <c r="AX126" i="8"/>
  <c r="AY126" i="5"/>
  <c r="AX187" i="8"/>
  <c r="AY187" i="5"/>
  <c r="AX9" i="8"/>
  <c r="AY9" i="5"/>
  <c r="AX132" i="8"/>
  <c r="AY132" i="5"/>
  <c r="AX82" i="8"/>
  <c r="AY82" i="5"/>
  <c r="AX147" i="8"/>
  <c r="AY147" i="5"/>
  <c r="AX119" i="8"/>
  <c r="AY119" i="5"/>
  <c r="AX44" i="8"/>
  <c r="AY44" i="5"/>
  <c r="AX175" i="8"/>
  <c r="AY175" i="5"/>
  <c r="AX131" i="8"/>
  <c r="AY131" i="5"/>
  <c r="AX190" i="8"/>
  <c r="AY190" i="5"/>
  <c r="AX174" i="8"/>
  <c r="AY174" i="5"/>
  <c r="AX106" i="8"/>
  <c r="AY106" i="5"/>
  <c r="AX104" i="8"/>
  <c r="AY104" i="5"/>
  <c r="AX103" i="8"/>
  <c r="AY103" i="5"/>
  <c r="AX154" i="8"/>
  <c r="AY154" i="5"/>
  <c r="AX54" i="8"/>
  <c r="AY54" i="5"/>
  <c r="AX23" i="8"/>
  <c r="AY23" i="5"/>
  <c r="AX178" i="8"/>
  <c r="AY178" i="5"/>
  <c r="AX195" i="8"/>
  <c r="AY195" i="5"/>
  <c r="AX91" i="8"/>
  <c r="AY91" i="5"/>
  <c r="AX145" i="8"/>
  <c r="AY145" i="5"/>
  <c r="AX183" i="8"/>
  <c r="AY183" i="5"/>
  <c r="AX138" i="8"/>
  <c r="AY138" i="5"/>
  <c r="AX59" i="8"/>
  <c r="AY59" i="5"/>
  <c r="AW102" i="8"/>
  <c r="AX102" i="5"/>
  <c r="AX116" i="8"/>
  <c r="AY116" i="5"/>
  <c r="AX90" i="8"/>
  <c r="AY90" i="5"/>
  <c r="AX16" i="8"/>
  <c r="AY16" i="5"/>
  <c r="AX210" i="8"/>
  <c r="AY210" i="5"/>
  <c r="AX152" i="8"/>
  <c r="AY152" i="5"/>
  <c r="AX167" i="8"/>
  <c r="AY167" i="5"/>
  <c r="AX172" i="8"/>
  <c r="AY172" i="5"/>
  <c r="AX127" i="8"/>
  <c r="AY127" i="5"/>
  <c r="AX62" i="8"/>
  <c r="AY62" i="5"/>
  <c r="AW205" i="8"/>
  <c r="AX205" i="5"/>
  <c r="AX57" i="8"/>
  <c r="AY57" i="5"/>
  <c r="AX199" i="8"/>
  <c r="AY199" i="5"/>
  <c r="AX180" i="8"/>
  <c r="AY180" i="5"/>
  <c r="AX149" i="8"/>
  <c r="AY149" i="5"/>
  <c r="AX203" i="8"/>
  <c r="AY203" i="5"/>
  <c r="AX27" i="8"/>
  <c r="AY27" i="5"/>
  <c r="AX18" i="8"/>
  <c r="AY18" i="5"/>
  <c r="AX63" i="8"/>
  <c r="AY63" i="5"/>
  <c r="AX151" i="8"/>
  <c r="AY151" i="5"/>
  <c r="AX49" i="8"/>
  <c r="AY49" i="5"/>
  <c r="AW4" i="8"/>
  <c r="AX4" i="5"/>
  <c r="AX169" i="8"/>
  <c r="AY169" i="5"/>
  <c r="AX185" i="8"/>
  <c r="AY185" i="5"/>
  <c r="AX121" i="8"/>
  <c r="AY121" i="5"/>
  <c r="AX45" i="8"/>
  <c r="AY45" i="5"/>
  <c r="AX19" i="8"/>
  <c r="AY19" i="5"/>
  <c r="AX38" i="8"/>
  <c r="AY38" i="5"/>
  <c r="AX40" i="8"/>
  <c r="AY40" i="5"/>
  <c r="AX153" i="8"/>
  <c r="AY153" i="5"/>
  <c r="AX130" i="8"/>
  <c r="AY130" i="5"/>
  <c r="AX202" i="8"/>
  <c r="AY202" i="5"/>
  <c r="AX101" i="8"/>
  <c r="AY101" i="5"/>
  <c r="AX42" i="8"/>
  <c r="AY42" i="5"/>
  <c r="AX78" i="8"/>
  <c r="AY78" i="5"/>
  <c r="AX69" i="8"/>
  <c r="AY69" i="5"/>
  <c r="AX98" i="8"/>
  <c r="AY98" i="5"/>
  <c r="AW70" i="8"/>
  <c r="AX70" i="5"/>
  <c r="AX15" i="8"/>
  <c r="AY15" i="5"/>
  <c r="AX160" i="8"/>
  <c r="AY160" i="5"/>
  <c r="AX89" i="8"/>
  <c r="AY89" i="5"/>
  <c r="AX188" i="8"/>
  <c r="AY188" i="5"/>
  <c r="AX17" i="8"/>
  <c r="AY17" i="5"/>
  <c r="AX197" i="8"/>
  <c r="AY197" i="5"/>
  <c r="AX53" i="8"/>
  <c r="AY53" i="5"/>
  <c r="AX56" i="8"/>
  <c r="AY56" i="5"/>
  <c r="AX72" i="8"/>
  <c r="AY72" i="5"/>
  <c r="AX157" i="8"/>
  <c r="AY157" i="5"/>
  <c r="AX191" i="8"/>
  <c r="AY191" i="5"/>
  <c r="AX94" i="8"/>
  <c r="AY94" i="5"/>
  <c r="AX85" i="8"/>
  <c r="AY85" i="5"/>
  <c r="AX133" i="8"/>
  <c r="AY133" i="5"/>
  <c r="AW26" i="8"/>
  <c r="AX26" i="5"/>
  <c r="AX39" i="8"/>
  <c r="AY39" i="5"/>
  <c r="AX139" i="8"/>
  <c r="AY139" i="5"/>
  <c r="AX137" i="8"/>
  <c r="AY137" i="5"/>
  <c r="AX25" i="8"/>
  <c r="AY25" i="5"/>
  <c r="AX163" i="8"/>
  <c r="AY163" i="5"/>
  <c r="AX66" i="8"/>
  <c r="AY66" i="5"/>
  <c r="AX206" i="8"/>
  <c r="AY206" i="5"/>
  <c r="AX218" i="8"/>
  <c r="AY218" i="5"/>
  <c r="AX211" i="8"/>
  <c r="AY211" i="5"/>
  <c r="AX12" i="8"/>
  <c r="AY12" i="5"/>
  <c r="AX136" i="8"/>
  <c r="AY136" i="5"/>
  <c r="AX204" i="8"/>
  <c r="AY204" i="5"/>
  <c r="AW115" i="8"/>
  <c r="AX115" i="5"/>
  <c r="AX88" i="8"/>
  <c r="AY88" i="5"/>
  <c r="AX164" i="8"/>
  <c r="AY164" i="5"/>
  <c r="AX77" i="8"/>
  <c r="AY77" i="5"/>
  <c r="AX86" i="8"/>
  <c r="AY86" i="5"/>
  <c r="AX124" i="8"/>
  <c r="AY124" i="5"/>
  <c r="AX213" i="8"/>
  <c r="AY213" i="5"/>
  <c r="AX120" i="8"/>
  <c r="AY120" i="5"/>
  <c r="AX46" i="8"/>
  <c r="AY46" i="5"/>
  <c r="AW6" i="8"/>
  <c r="AX6" i="5"/>
  <c r="AX143" i="8"/>
  <c r="AY143" i="5"/>
  <c r="AX170" i="8"/>
  <c r="AY170" i="5"/>
  <c r="AX214" i="8"/>
  <c r="AY214" i="5"/>
  <c r="AX146" i="8"/>
  <c r="AY146" i="5"/>
  <c r="AX55" i="8"/>
  <c r="AY55" i="5"/>
  <c r="AX141" i="8"/>
  <c r="AY141" i="5"/>
  <c r="AX207" i="8"/>
  <c r="AY207" i="5"/>
  <c r="AX68" i="8"/>
  <c r="AY68" i="5"/>
  <c r="AX171" i="8"/>
  <c r="AY171" i="5"/>
  <c r="AX165" i="8"/>
  <c r="AY165" i="5"/>
  <c r="AX109" i="8"/>
  <c r="AY109" i="5"/>
  <c r="AX173" i="8"/>
  <c r="AY173" i="5"/>
  <c r="AW20" i="8"/>
  <c r="AX20" i="5"/>
  <c r="AX13" i="8"/>
  <c r="AY13" i="5"/>
  <c r="AX33" i="8"/>
  <c r="AY33" i="5"/>
  <c r="AX95" i="8"/>
  <c r="AY95" i="5"/>
  <c r="AX10" i="8"/>
  <c r="AY10" i="5"/>
  <c r="AX32" i="8"/>
  <c r="AY32" i="5"/>
  <c r="AX128" i="8"/>
  <c r="AY128" i="5"/>
  <c r="AX129" i="8"/>
  <c r="AY129" i="5"/>
  <c r="AX142" i="8"/>
  <c r="AY142" i="5"/>
  <c r="AW189" i="8"/>
  <c r="AX189" i="5"/>
  <c r="AX156" i="8"/>
  <c r="AY156" i="5"/>
  <c r="AX177" i="8"/>
  <c r="AY177" i="5"/>
  <c r="AX48" i="8"/>
  <c r="AY48" i="5"/>
  <c r="AX209" i="8"/>
  <c r="AY209" i="5"/>
  <c r="AW111" i="8"/>
  <c r="AX111" i="5"/>
  <c r="AX166" i="8"/>
  <c r="AY166" i="5"/>
  <c r="AX161" i="8"/>
  <c r="AY161" i="5"/>
  <c r="AX216" i="8"/>
  <c r="AY216" i="5"/>
  <c r="AX184" i="8"/>
  <c r="AY184" i="5"/>
  <c r="AW75" i="8"/>
  <c r="AX75" i="5"/>
  <c r="AX11" i="8"/>
  <c r="AY11" i="5"/>
  <c r="AX67" i="8"/>
  <c r="AY67" i="5"/>
  <c r="AW71" i="8"/>
  <c r="AX71" i="5"/>
  <c r="AX100" i="8"/>
  <c r="AY100" i="5"/>
  <c r="AX196" i="8"/>
  <c r="AY196" i="5"/>
  <c r="AX64" i="8"/>
  <c r="AY64" i="5"/>
  <c r="AX113" i="8"/>
  <c r="AY113" i="5"/>
  <c r="AX179" i="8"/>
  <c r="AY179" i="5"/>
  <c r="AX61" i="8"/>
  <c r="AY61" i="5"/>
  <c r="AW5" i="8"/>
  <c r="AX5" i="5"/>
  <c r="AY113" i="8" l="1"/>
  <c r="AZ113" i="5"/>
  <c r="AX71" i="8"/>
  <c r="AY71" i="5"/>
  <c r="AY184" i="8"/>
  <c r="AZ184" i="5"/>
  <c r="AX111" i="8"/>
  <c r="AY111" i="5"/>
  <c r="AY156" i="8"/>
  <c r="AZ156" i="5"/>
  <c r="AY128" i="8"/>
  <c r="AZ128" i="5"/>
  <c r="AY33" i="8"/>
  <c r="AZ33" i="5"/>
  <c r="AY109" i="8"/>
  <c r="AZ109" i="5"/>
  <c r="AY207" i="8"/>
  <c r="AZ207" i="5"/>
  <c r="AY214" i="8"/>
  <c r="AZ214" i="5"/>
  <c r="AY46" i="8"/>
  <c r="AZ46" i="5"/>
  <c r="AY213" i="8"/>
  <c r="AZ213" i="5"/>
  <c r="AY164" i="8"/>
  <c r="AZ164" i="5"/>
  <c r="AY136" i="8"/>
  <c r="AZ136" i="5"/>
  <c r="AY206" i="8"/>
  <c r="AZ206" i="5"/>
  <c r="AY137" i="8"/>
  <c r="AZ137" i="5"/>
  <c r="AY133" i="8"/>
  <c r="AZ133" i="5"/>
  <c r="AY157" i="8"/>
  <c r="AZ157" i="5"/>
  <c r="AY188" i="8"/>
  <c r="AZ188" i="5"/>
  <c r="AX70" i="8"/>
  <c r="AY70" i="5"/>
  <c r="AY42" i="8"/>
  <c r="AZ42" i="5"/>
  <c r="AY153" i="8"/>
  <c r="AZ153" i="5"/>
  <c r="AY45" i="8"/>
  <c r="AZ45" i="5"/>
  <c r="AX4" i="8"/>
  <c r="AY4" i="5"/>
  <c r="AY18" i="8"/>
  <c r="AZ18" i="5"/>
  <c r="AY180" i="8"/>
  <c r="AZ180" i="5"/>
  <c r="AY62" i="8"/>
  <c r="AZ62" i="5"/>
  <c r="AY152" i="8"/>
  <c r="AZ152" i="5"/>
  <c r="AY116" i="8"/>
  <c r="AZ116" i="5"/>
  <c r="AY59" i="8"/>
  <c r="AZ59" i="5"/>
  <c r="AY91" i="8"/>
  <c r="AZ91" i="5"/>
  <c r="AY54" i="8"/>
  <c r="AZ54" i="5"/>
  <c r="AY190" i="8"/>
  <c r="AZ190" i="5"/>
  <c r="AY119" i="8"/>
  <c r="AZ119" i="5"/>
  <c r="AY9" i="8"/>
  <c r="AZ9" i="5"/>
  <c r="AY162" i="8"/>
  <c r="AZ162" i="5"/>
  <c r="AY58" i="8"/>
  <c r="AZ58" i="5"/>
  <c r="AX24" i="8"/>
  <c r="AY24" i="5"/>
  <c r="AY114" i="8"/>
  <c r="AZ114" i="5"/>
  <c r="AY50" i="8"/>
  <c r="AZ50" i="5"/>
  <c r="AX36" i="8"/>
  <c r="AY36" i="5"/>
  <c r="AY22" i="8"/>
  <c r="AZ22" i="5"/>
  <c r="AY110" i="8"/>
  <c r="AZ110" i="5"/>
  <c r="AY122" i="8"/>
  <c r="AZ122" i="5"/>
  <c r="AY200" i="8"/>
  <c r="AZ200" i="5"/>
  <c r="AY220" i="8"/>
  <c r="AZ220" i="5"/>
  <c r="AY61" i="8"/>
  <c r="AZ61" i="5"/>
  <c r="AY196" i="8"/>
  <c r="AZ196" i="5"/>
  <c r="AY11" i="8"/>
  <c r="AZ11" i="5"/>
  <c r="AY161" i="8"/>
  <c r="AZ161" i="5"/>
  <c r="AY48" i="8"/>
  <c r="AZ48" i="5"/>
  <c r="AY142" i="8"/>
  <c r="AZ142" i="5"/>
  <c r="AY10" i="8"/>
  <c r="AZ10" i="5"/>
  <c r="AX20" i="8"/>
  <c r="AY20" i="5"/>
  <c r="AY171" i="8"/>
  <c r="AZ171" i="5"/>
  <c r="AY55" i="8"/>
  <c r="AZ55" i="5"/>
  <c r="AY143" i="8"/>
  <c r="AZ143" i="5"/>
  <c r="AY86" i="8"/>
  <c r="AZ86" i="5"/>
  <c r="AX115" i="8"/>
  <c r="AY115" i="5"/>
  <c r="AY211" i="8"/>
  <c r="AZ211" i="5"/>
  <c r="AY163" i="8"/>
  <c r="AZ163" i="5"/>
  <c r="AY39" i="8"/>
  <c r="AZ39" i="5"/>
  <c r="AY94" i="8"/>
  <c r="AZ94" i="5"/>
  <c r="AY56" i="8"/>
  <c r="AZ56" i="5"/>
  <c r="AY197" i="8"/>
  <c r="AZ197" i="5"/>
  <c r="AY160" i="8"/>
  <c r="AZ160" i="5"/>
  <c r="AY69" i="8"/>
  <c r="AZ69" i="5"/>
  <c r="AY202" i="8"/>
  <c r="AZ202" i="5"/>
  <c r="AY38" i="8"/>
  <c r="AZ38" i="5"/>
  <c r="AY185" i="8"/>
  <c r="AZ185" i="5"/>
  <c r="AY151" i="8"/>
  <c r="AZ151" i="5"/>
  <c r="AY203" i="8"/>
  <c r="AZ203" i="5"/>
  <c r="AY57" i="8"/>
  <c r="AZ57" i="5"/>
  <c r="AY172" i="8"/>
  <c r="AZ172" i="5"/>
  <c r="AY16" i="8"/>
  <c r="AZ16" i="5"/>
  <c r="AY183" i="8"/>
  <c r="AZ183" i="5"/>
  <c r="AY178" i="8"/>
  <c r="AZ178" i="5"/>
  <c r="AY103" i="8"/>
  <c r="AZ103" i="5"/>
  <c r="AY106" i="8"/>
  <c r="AZ106" i="5"/>
  <c r="AY175" i="8"/>
  <c r="AZ175" i="5"/>
  <c r="AY82" i="8"/>
  <c r="AZ82" i="5"/>
  <c r="AY126" i="8"/>
  <c r="AZ126" i="5"/>
  <c r="AY74" i="8"/>
  <c r="AZ74" i="5"/>
  <c r="AY28" i="8"/>
  <c r="AZ28" i="5"/>
  <c r="AY37" i="8"/>
  <c r="AZ37" i="5"/>
  <c r="AY155" i="8"/>
  <c r="AZ155" i="5"/>
  <c r="AY29" i="8"/>
  <c r="AZ29" i="5"/>
  <c r="AY21" i="8"/>
  <c r="AZ21" i="5"/>
  <c r="AY193" i="8"/>
  <c r="AZ193" i="5"/>
  <c r="AY125" i="8"/>
  <c r="AZ125" i="5"/>
  <c r="AX34" i="8"/>
  <c r="AY34" i="5"/>
  <c r="AY182" i="8"/>
  <c r="AZ182" i="5"/>
  <c r="AY60" i="8"/>
  <c r="AZ60" i="5"/>
  <c r="AX97" i="8"/>
  <c r="AY97" i="5"/>
  <c r="AY201" i="8"/>
  <c r="AZ201" i="5"/>
  <c r="AY158" i="8"/>
  <c r="AZ158" i="5"/>
  <c r="AY212" i="8"/>
  <c r="AZ212" i="5"/>
  <c r="AY140" i="8"/>
  <c r="AZ140" i="5"/>
  <c r="AX5" i="8"/>
  <c r="AY5" i="5"/>
  <c r="AY179" i="8"/>
  <c r="AZ179" i="5"/>
  <c r="AY64" i="8"/>
  <c r="AZ64" i="5"/>
  <c r="AY100" i="8"/>
  <c r="AZ100" i="5"/>
  <c r="AY67" i="8"/>
  <c r="AZ67" i="5"/>
  <c r="AX75" i="8"/>
  <c r="AY75" i="5"/>
  <c r="AY216" i="8"/>
  <c r="AZ216" i="5"/>
  <c r="AY166" i="8"/>
  <c r="AZ166" i="5"/>
  <c r="AY209" i="8"/>
  <c r="AZ209" i="5"/>
  <c r="AY177" i="8"/>
  <c r="AZ177" i="5"/>
  <c r="AX189" i="8"/>
  <c r="AY189" i="5"/>
  <c r="AY129" i="8"/>
  <c r="AZ129" i="5"/>
  <c r="AY32" i="8"/>
  <c r="AZ32" i="5"/>
  <c r="AY95" i="8"/>
  <c r="AZ95" i="5"/>
  <c r="AY13" i="8"/>
  <c r="AZ13" i="5"/>
  <c r="AY173" i="8"/>
  <c r="AZ173" i="5"/>
  <c r="AY165" i="8"/>
  <c r="AZ165" i="5"/>
  <c r="AY68" i="8"/>
  <c r="AZ68" i="5"/>
  <c r="AY141" i="8"/>
  <c r="AZ141" i="5"/>
  <c r="AY146" i="8"/>
  <c r="AZ146" i="5"/>
  <c r="AY170" i="8"/>
  <c r="AZ170" i="5"/>
  <c r="AX6" i="8"/>
  <c r="AY6" i="5"/>
  <c r="AY120" i="8"/>
  <c r="AZ120" i="5"/>
  <c r="AY124" i="8"/>
  <c r="AZ124" i="5"/>
  <c r="AY77" i="8"/>
  <c r="AZ77" i="5"/>
  <c r="AY88" i="8"/>
  <c r="AZ88" i="5"/>
  <c r="AY204" i="8"/>
  <c r="AZ204" i="5"/>
  <c r="AY12" i="8"/>
  <c r="AZ12" i="5"/>
  <c r="AY218" i="8"/>
  <c r="AZ218" i="5"/>
  <c r="AY66" i="8"/>
  <c r="AZ66" i="5"/>
  <c r="AY25" i="8"/>
  <c r="AZ25" i="5"/>
  <c r="AY139" i="8"/>
  <c r="AZ139" i="5"/>
  <c r="AX26" i="8"/>
  <c r="AY26" i="5"/>
  <c r="AY85" i="8"/>
  <c r="AZ85" i="5"/>
  <c r="AY191" i="8"/>
  <c r="AZ191" i="5"/>
  <c r="AY72" i="8"/>
  <c r="AZ72" i="5"/>
  <c r="AY53" i="8"/>
  <c r="AZ53" i="5"/>
  <c r="AY17" i="8"/>
  <c r="AZ17" i="5"/>
  <c r="AY89" i="8"/>
  <c r="AZ89" i="5"/>
  <c r="AY15" i="8"/>
  <c r="AZ15" i="5"/>
  <c r="AY98" i="8"/>
  <c r="AZ98" i="5"/>
  <c r="AY78" i="8"/>
  <c r="AZ78" i="5"/>
  <c r="AY101" i="8"/>
  <c r="AZ101" i="5"/>
  <c r="AY130" i="8"/>
  <c r="AZ130" i="5"/>
  <c r="AY40" i="8"/>
  <c r="AZ40" i="5"/>
  <c r="AY19" i="8"/>
  <c r="AZ19" i="5"/>
  <c r="AY121" i="8"/>
  <c r="AZ121" i="5"/>
  <c r="AY169" i="8"/>
  <c r="AZ169" i="5"/>
  <c r="AY49" i="8"/>
  <c r="AZ49" i="5"/>
  <c r="AY63" i="8"/>
  <c r="AZ63" i="5"/>
  <c r="AY27" i="8"/>
  <c r="AZ27" i="5"/>
  <c r="AY149" i="8"/>
  <c r="AZ149" i="5"/>
  <c r="AY199" i="8"/>
  <c r="AZ199" i="5"/>
  <c r="AX205" i="8"/>
  <c r="AY205" i="5"/>
  <c r="AY127" i="8"/>
  <c r="AZ127" i="5"/>
  <c r="AY167" i="8"/>
  <c r="AZ167" i="5"/>
  <c r="AY210" i="8"/>
  <c r="AZ210" i="5"/>
  <c r="AY90" i="8"/>
  <c r="AZ90" i="5"/>
  <c r="AX102" i="8"/>
  <c r="AY102" i="5"/>
  <c r="AY138" i="8"/>
  <c r="AZ138" i="5"/>
  <c r="AY145" i="8"/>
  <c r="AZ145" i="5"/>
  <c r="AY195" i="8"/>
  <c r="AZ195" i="5"/>
  <c r="AY23" i="8"/>
  <c r="AZ23" i="5"/>
  <c r="AY154" i="8"/>
  <c r="AZ154" i="5"/>
  <c r="AY104" i="8"/>
  <c r="AZ104" i="5"/>
  <c r="AY174" i="8"/>
  <c r="AZ174" i="5"/>
  <c r="AY131" i="8"/>
  <c r="AZ131" i="5"/>
  <c r="AY44" i="8"/>
  <c r="AZ44" i="5"/>
  <c r="AY147" i="8"/>
  <c r="AZ147" i="5"/>
  <c r="AY132" i="8"/>
  <c r="AZ132" i="5"/>
  <c r="AY187" i="8"/>
  <c r="AZ187" i="5"/>
  <c r="AY215" i="8"/>
  <c r="AZ215" i="5"/>
  <c r="AY108" i="8"/>
  <c r="AZ108" i="5"/>
  <c r="AY96" i="8"/>
  <c r="AZ96" i="5"/>
  <c r="AY112" i="8"/>
  <c r="AZ112" i="5"/>
  <c r="AY41" i="8"/>
  <c r="AZ41" i="5"/>
  <c r="AX51" i="8"/>
  <c r="AY51" i="5"/>
  <c r="AY80" i="8"/>
  <c r="AZ80" i="5"/>
  <c r="AY84" i="8"/>
  <c r="AZ84" i="5"/>
  <c r="AY76" i="8"/>
  <c r="AZ76" i="5"/>
  <c r="AY159" i="8"/>
  <c r="AZ159" i="5"/>
  <c r="AX47" i="8"/>
  <c r="AY47" i="5"/>
  <c r="AY73" i="8"/>
  <c r="AZ73" i="5"/>
  <c r="AY117" i="8"/>
  <c r="AZ117" i="5"/>
  <c r="AX221" i="8"/>
  <c r="AY221" i="5"/>
  <c r="AY92" i="8"/>
  <c r="AZ92" i="5"/>
  <c r="AY30" i="8"/>
  <c r="AZ30" i="5"/>
  <c r="AY105" i="8"/>
  <c r="AZ105" i="5"/>
  <c r="AY87" i="8"/>
  <c r="AZ87" i="5"/>
  <c r="AY208" i="8"/>
  <c r="AZ208" i="5"/>
  <c r="AY198" i="8"/>
  <c r="AZ198" i="5"/>
  <c r="AY14" i="8"/>
  <c r="AZ14" i="5"/>
  <c r="AY93" i="8"/>
  <c r="AZ93" i="5"/>
  <c r="AY35" i="8"/>
  <c r="AZ35" i="5"/>
  <c r="AY99" i="8"/>
  <c r="AZ99" i="5"/>
  <c r="AY176" i="8"/>
  <c r="AZ176" i="5"/>
  <c r="AY123" i="8"/>
  <c r="AZ123" i="5"/>
  <c r="AY148" i="8"/>
  <c r="AZ148" i="5"/>
  <c r="AY135" i="8"/>
  <c r="AZ135" i="5"/>
  <c r="AZ148" i="8" l="1"/>
  <c r="BA148" i="5"/>
  <c r="AZ35" i="8"/>
  <c r="BA35" i="5"/>
  <c r="AZ208" i="8"/>
  <c r="BA208" i="5"/>
  <c r="AZ92" i="8"/>
  <c r="BA92" i="5"/>
  <c r="AY47" i="8"/>
  <c r="AZ47" i="5"/>
  <c r="AZ76" i="8"/>
  <c r="BA76" i="5"/>
  <c r="AZ41" i="8"/>
  <c r="BA41" i="5"/>
  <c r="AZ215" i="8"/>
  <c r="BA215" i="5"/>
  <c r="AZ44" i="8"/>
  <c r="BA44" i="5"/>
  <c r="AZ154" i="8"/>
  <c r="BA154" i="5"/>
  <c r="AZ138" i="8"/>
  <c r="BA138" i="5"/>
  <c r="AZ167" i="8"/>
  <c r="BA167" i="5"/>
  <c r="AZ149" i="8"/>
  <c r="BA149" i="5"/>
  <c r="AZ169" i="8"/>
  <c r="BA169" i="5"/>
  <c r="AZ130" i="8"/>
  <c r="BA130" i="5"/>
  <c r="AZ15" i="8"/>
  <c r="BA15" i="5"/>
  <c r="AZ72" i="8"/>
  <c r="BA72" i="5"/>
  <c r="AZ139" i="8"/>
  <c r="BA139" i="5"/>
  <c r="AZ12" i="8"/>
  <c r="BA12" i="5"/>
  <c r="AZ124" i="8"/>
  <c r="BA124" i="5"/>
  <c r="AZ146" i="8"/>
  <c r="BA146" i="5"/>
  <c r="AZ173" i="8"/>
  <c r="BA173" i="5"/>
  <c r="AZ129" i="8"/>
  <c r="BA129" i="5"/>
  <c r="AZ166" i="8"/>
  <c r="BA166" i="5"/>
  <c r="AZ100" i="8"/>
  <c r="BA100" i="5"/>
  <c r="AZ158" i="8"/>
  <c r="BA158" i="5"/>
  <c r="AZ125" i="8"/>
  <c r="BA125" i="5"/>
  <c r="AZ155" i="8"/>
  <c r="BA155" i="5"/>
  <c r="AZ126" i="8"/>
  <c r="BA126" i="5"/>
  <c r="AZ103" i="8"/>
  <c r="BA103" i="5"/>
  <c r="AZ172" i="8"/>
  <c r="BA172" i="5"/>
  <c r="AZ185" i="8"/>
  <c r="BA185" i="5"/>
  <c r="AZ160" i="8"/>
  <c r="BA160" i="5"/>
  <c r="AZ56" i="8"/>
  <c r="BA56" i="5"/>
  <c r="AZ211" i="8"/>
  <c r="BA211" i="5"/>
  <c r="AY20" i="8"/>
  <c r="AZ20" i="5"/>
  <c r="AZ161" i="8"/>
  <c r="BA161" i="5"/>
  <c r="AZ220" i="8"/>
  <c r="BA220" i="5"/>
  <c r="AZ22" i="8"/>
  <c r="BA22" i="5"/>
  <c r="AY24" i="8"/>
  <c r="AZ24" i="5"/>
  <c r="AZ54" i="8"/>
  <c r="BA54" i="5"/>
  <c r="AY4" i="8"/>
  <c r="AZ4" i="5"/>
  <c r="AY111" i="8"/>
  <c r="AZ111" i="5"/>
  <c r="AZ176" i="8"/>
  <c r="BA176" i="5"/>
  <c r="AZ14" i="8"/>
  <c r="BA14" i="5"/>
  <c r="AZ105" i="8"/>
  <c r="BA105" i="5"/>
  <c r="AZ117" i="8"/>
  <c r="BA117" i="5"/>
  <c r="AZ80" i="8"/>
  <c r="BA80" i="5"/>
  <c r="AZ96" i="8"/>
  <c r="BA96" i="5"/>
  <c r="AZ132" i="8"/>
  <c r="BA132" i="5"/>
  <c r="AZ174" i="8"/>
  <c r="BA174" i="5"/>
  <c r="AZ195" i="8"/>
  <c r="BA195" i="5"/>
  <c r="AZ90" i="8"/>
  <c r="BA90" i="5"/>
  <c r="AY205" i="8"/>
  <c r="AZ205" i="5"/>
  <c r="AZ63" i="8"/>
  <c r="BA63" i="5"/>
  <c r="AZ19" i="8"/>
  <c r="BA19" i="5"/>
  <c r="AZ78" i="8"/>
  <c r="BA78" i="5"/>
  <c r="AZ17" i="8"/>
  <c r="BA17" i="5"/>
  <c r="AZ85" i="8"/>
  <c r="BA85" i="5"/>
  <c r="AZ66" i="8"/>
  <c r="BA66" i="5"/>
  <c r="AZ88" i="8"/>
  <c r="BA88" i="5"/>
  <c r="AY6" i="8"/>
  <c r="AZ6" i="5"/>
  <c r="AZ68" i="8"/>
  <c r="BA68" i="5"/>
  <c r="AZ95" i="8"/>
  <c r="BA95" i="5"/>
  <c r="AZ177" i="8"/>
  <c r="BA177" i="5"/>
  <c r="AY75" i="8"/>
  <c r="AZ75" i="5"/>
  <c r="AZ179" i="8"/>
  <c r="BA179" i="5"/>
  <c r="AZ140" i="8"/>
  <c r="BA140" i="5"/>
  <c r="AY97" i="8"/>
  <c r="AZ97" i="5"/>
  <c r="AZ182" i="8"/>
  <c r="BA182" i="5"/>
  <c r="AZ21" i="8"/>
  <c r="BA21" i="5"/>
  <c r="AZ28" i="8"/>
  <c r="BA28" i="5"/>
  <c r="AZ175" i="8"/>
  <c r="BA175" i="5"/>
  <c r="AZ183" i="8"/>
  <c r="BA183" i="5"/>
  <c r="AZ203" i="8"/>
  <c r="BA203" i="5"/>
  <c r="AZ202" i="8"/>
  <c r="BA202" i="5"/>
  <c r="AZ39" i="8"/>
  <c r="BA39" i="5"/>
  <c r="AZ86" i="8"/>
  <c r="BA86" i="5"/>
  <c r="AZ55" i="8"/>
  <c r="BA55" i="5"/>
  <c r="AZ142" i="8"/>
  <c r="BA142" i="5"/>
  <c r="AZ196" i="8"/>
  <c r="BA196" i="5"/>
  <c r="AZ122" i="8"/>
  <c r="BA122" i="5"/>
  <c r="AZ50" i="8"/>
  <c r="BA50" i="5"/>
  <c r="AZ162" i="8"/>
  <c r="BA162" i="5"/>
  <c r="AZ119" i="8"/>
  <c r="BA119" i="5"/>
  <c r="AZ59" i="8"/>
  <c r="BA59" i="5"/>
  <c r="AZ152" i="8"/>
  <c r="BA152" i="5"/>
  <c r="AZ180" i="8"/>
  <c r="BA180" i="5"/>
  <c r="AZ153" i="8"/>
  <c r="BA153" i="5"/>
  <c r="AY70" i="8"/>
  <c r="AZ70" i="5"/>
  <c r="AZ157" i="8"/>
  <c r="BA157" i="5"/>
  <c r="AZ137" i="8"/>
  <c r="BA137" i="5"/>
  <c r="AZ136" i="8"/>
  <c r="BA136" i="5"/>
  <c r="AZ213" i="8"/>
  <c r="BA213" i="5"/>
  <c r="AZ214" i="8"/>
  <c r="BA214" i="5"/>
  <c r="AZ109" i="8"/>
  <c r="BA109" i="5"/>
  <c r="AZ128" i="8"/>
  <c r="BA128" i="5"/>
  <c r="AY71" i="8"/>
  <c r="AZ71" i="5"/>
  <c r="AZ135" i="8"/>
  <c r="BA135" i="5"/>
  <c r="AZ123" i="8"/>
  <c r="BA123" i="5"/>
  <c r="AZ99" i="8"/>
  <c r="BA99" i="5"/>
  <c r="AZ93" i="8"/>
  <c r="BA93" i="5"/>
  <c r="AZ198" i="8"/>
  <c r="BA198" i="5"/>
  <c r="AZ87" i="8"/>
  <c r="BA87" i="5"/>
  <c r="AZ30" i="8"/>
  <c r="BA30" i="5"/>
  <c r="AY221" i="8"/>
  <c r="AZ221" i="5"/>
  <c r="AZ73" i="8"/>
  <c r="BA73" i="5"/>
  <c r="AZ159" i="8"/>
  <c r="BA159" i="5"/>
  <c r="AZ84" i="8"/>
  <c r="BA84" i="5"/>
  <c r="AY51" i="8"/>
  <c r="AZ51" i="5"/>
  <c r="AZ112" i="8"/>
  <c r="BA112" i="5"/>
  <c r="AZ108" i="8"/>
  <c r="BA108" i="5"/>
  <c r="AZ187" i="8"/>
  <c r="BA187" i="5"/>
  <c r="AZ147" i="8"/>
  <c r="BA147" i="5"/>
  <c r="AZ131" i="8"/>
  <c r="BA131" i="5"/>
  <c r="AZ104" i="8"/>
  <c r="BA104" i="5"/>
  <c r="AZ23" i="8"/>
  <c r="BA23" i="5"/>
  <c r="AZ145" i="8"/>
  <c r="BA145" i="5"/>
  <c r="AY102" i="8"/>
  <c r="AZ102" i="5"/>
  <c r="AZ210" i="8"/>
  <c r="BA210" i="5"/>
  <c r="AZ127" i="8"/>
  <c r="BA127" i="5"/>
  <c r="AZ199" i="8"/>
  <c r="BA199" i="5"/>
  <c r="AZ27" i="8"/>
  <c r="BA27" i="5"/>
  <c r="AZ49" i="8"/>
  <c r="BA49" i="5"/>
  <c r="AZ121" i="8"/>
  <c r="BA121" i="5"/>
  <c r="AZ40" i="8"/>
  <c r="BA40" i="5"/>
  <c r="AZ101" i="8"/>
  <c r="BA101" i="5"/>
  <c r="AZ98" i="8"/>
  <c r="BA98" i="5"/>
  <c r="AZ89" i="8"/>
  <c r="BA89" i="5"/>
  <c r="AZ53" i="8"/>
  <c r="BA53" i="5"/>
  <c r="AZ191" i="8"/>
  <c r="BA191" i="5"/>
  <c r="AY26" i="8"/>
  <c r="AZ26" i="5"/>
  <c r="AZ25" i="8"/>
  <c r="BA25" i="5"/>
  <c r="AZ218" i="8"/>
  <c r="BA218" i="5"/>
  <c r="AZ204" i="8"/>
  <c r="BA204" i="5"/>
  <c r="AZ77" i="8"/>
  <c r="BA77" i="5"/>
  <c r="AZ120" i="8"/>
  <c r="BA120" i="5"/>
  <c r="AZ170" i="8"/>
  <c r="BA170" i="5"/>
  <c r="AZ141" i="8"/>
  <c r="BA141" i="5"/>
  <c r="AZ165" i="8"/>
  <c r="BA165" i="5"/>
  <c r="AZ13" i="8"/>
  <c r="BA13" i="5"/>
  <c r="AZ32" i="8"/>
  <c r="BA32" i="5"/>
  <c r="AY189" i="8"/>
  <c r="AZ189" i="5"/>
  <c r="AZ209" i="8"/>
  <c r="BA209" i="5"/>
  <c r="AZ216" i="8"/>
  <c r="BA216" i="5"/>
  <c r="AZ67" i="8"/>
  <c r="BA67" i="5"/>
  <c r="AZ64" i="8"/>
  <c r="BA64" i="5"/>
  <c r="AY5" i="8"/>
  <c r="AZ5" i="5"/>
  <c r="AZ212" i="8"/>
  <c r="BA212" i="5"/>
  <c r="AZ201" i="8"/>
  <c r="BA201" i="5"/>
  <c r="AZ60" i="8"/>
  <c r="BA60" i="5"/>
  <c r="AY34" i="8"/>
  <c r="AZ34" i="5"/>
  <c r="AZ193" i="8"/>
  <c r="BA193" i="5"/>
  <c r="AZ29" i="8"/>
  <c r="BA29" i="5"/>
  <c r="AZ37" i="8"/>
  <c r="BA37" i="5"/>
  <c r="AZ74" i="8"/>
  <c r="BA74" i="5"/>
  <c r="AZ82" i="8"/>
  <c r="BA82" i="5"/>
  <c r="AZ106" i="8"/>
  <c r="BA106" i="5"/>
  <c r="AZ178" i="8"/>
  <c r="BA178" i="5"/>
  <c r="AZ16" i="8"/>
  <c r="BA16" i="5"/>
  <c r="AZ57" i="8"/>
  <c r="BA57" i="5"/>
  <c r="AZ151" i="8"/>
  <c r="BA151" i="5"/>
  <c r="AZ38" i="8"/>
  <c r="BA38" i="5"/>
  <c r="AZ69" i="8"/>
  <c r="BA69" i="5"/>
  <c r="AZ197" i="8"/>
  <c r="BA197" i="5"/>
  <c r="AZ94" i="8"/>
  <c r="BA94" i="5"/>
  <c r="AZ163" i="8"/>
  <c r="BA163" i="5"/>
  <c r="AY115" i="8"/>
  <c r="AZ115" i="5"/>
  <c r="AZ143" i="8"/>
  <c r="BA143" i="5"/>
  <c r="AZ171" i="8"/>
  <c r="BA171" i="5"/>
  <c r="AZ10" i="8"/>
  <c r="BA10" i="5"/>
  <c r="AZ48" i="8"/>
  <c r="BA48" i="5"/>
  <c r="AZ11" i="8"/>
  <c r="BA11" i="5"/>
  <c r="AZ61" i="8"/>
  <c r="BA61" i="5"/>
  <c r="AZ200" i="8"/>
  <c r="BA200" i="5"/>
  <c r="AZ110" i="8"/>
  <c r="BA110" i="5"/>
  <c r="AY36" i="8"/>
  <c r="AZ36" i="5"/>
  <c r="AZ114" i="8"/>
  <c r="BA114" i="5"/>
  <c r="AZ58" i="8"/>
  <c r="BA58" i="5"/>
  <c r="AZ9" i="8"/>
  <c r="BA9" i="5"/>
  <c r="AZ190" i="8"/>
  <c r="BA190" i="5"/>
  <c r="AZ91" i="8"/>
  <c r="BA91" i="5"/>
  <c r="AZ116" i="8"/>
  <c r="BA116" i="5"/>
  <c r="AZ62" i="8"/>
  <c r="BA62" i="5"/>
  <c r="AZ18" i="8"/>
  <c r="BA18" i="5"/>
  <c r="AZ45" i="8"/>
  <c r="BA45" i="5"/>
  <c r="AZ42" i="8"/>
  <c r="BA42" i="5"/>
  <c r="AZ188" i="8"/>
  <c r="BA188" i="5"/>
  <c r="AZ133" i="8"/>
  <c r="BA133" i="5"/>
  <c r="AZ206" i="8"/>
  <c r="BA206" i="5"/>
  <c r="AZ164" i="8"/>
  <c r="BA164" i="5"/>
  <c r="AZ46" i="8"/>
  <c r="BA46" i="5"/>
  <c r="AZ207" i="8"/>
  <c r="BA207" i="5"/>
  <c r="AZ33" i="8"/>
  <c r="BA33" i="5"/>
  <c r="AZ156" i="8"/>
  <c r="BA156" i="5"/>
  <c r="AZ184" i="8"/>
  <c r="BA184" i="5"/>
  <c r="AZ113" i="8"/>
  <c r="BA113" i="5"/>
  <c r="BA33" i="8" l="1"/>
  <c r="BB33" i="5"/>
  <c r="BA206" i="8"/>
  <c r="BB206" i="5"/>
  <c r="BA45" i="8"/>
  <c r="BB45" i="5"/>
  <c r="BA91" i="8"/>
  <c r="BB91" i="5"/>
  <c r="BA114" i="8"/>
  <c r="BB114" i="5"/>
  <c r="BA61" i="8"/>
  <c r="BB61" i="5"/>
  <c r="BA171" i="8"/>
  <c r="BB171" i="5"/>
  <c r="BA94" i="8"/>
  <c r="BB94" i="5"/>
  <c r="BA151" i="8"/>
  <c r="BB151" i="5"/>
  <c r="BA106" i="8"/>
  <c r="BB106" i="5"/>
  <c r="BA29" i="8"/>
  <c r="BB29" i="5"/>
  <c r="BA201" i="8"/>
  <c r="BB201" i="5"/>
  <c r="BA209" i="8"/>
  <c r="BB209" i="5"/>
  <c r="BA165" i="8"/>
  <c r="BB165" i="5"/>
  <c r="BA77" i="8"/>
  <c r="BB77" i="5"/>
  <c r="AZ26" i="8"/>
  <c r="BA26" i="5"/>
  <c r="BA98" i="8"/>
  <c r="BB98" i="5"/>
  <c r="BA49" i="8"/>
  <c r="BB49" i="5"/>
  <c r="BA210" i="8"/>
  <c r="BB210" i="5"/>
  <c r="BA104" i="8"/>
  <c r="BB104" i="5"/>
  <c r="AZ51" i="8"/>
  <c r="BA51" i="5"/>
  <c r="AZ221" i="8"/>
  <c r="BA221" i="5"/>
  <c r="BA93" i="8"/>
  <c r="BB93" i="5"/>
  <c r="AZ71" i="8"/>
  <c r="BA71" i="5"/>
  <c r="BA213" i="8"/>
  <c r="BB213" i="5"/>
  <c r="AZ70" i="8"/>
  <c r="BA70" i="5"/>
  <c r="BA59" i="8"/>
  <c r="BB59" i="5"/>
  <c r="BA122" i="8"/>
  <c r="BB122" i="5"/>
  <c r="BA86" i="8"/>
  <c r="BB86" i="5"/>
  <c r="BA183" i="8"/>
  <c r="BB183" i="5"/>
  <c r="BA182" i="8"/>
  <c r="BB182" i="5"/>
  <c r="AZ75" i="8"/>
  <c r="BA75" i="5"/>
  <c r="AZ6" i="8"/>
  <c r="BA6" i="5"/>
  <c r="BA17" i="8"/>
  <c r="BB17" i="5"/>
  <c r="AZ205" i="8"/>
  <c r="BA205" i="5"/>
  <c r="BA80" i="8"/>
  <c r="BB80" i="5"/>
  <c r="BA176" i="8"/>
  <c r="BB176" i="5"/>
  <c r="AZ24" i="8"/>
  <c r="BA24" i="5"/>
  <c r="AZ20" i="8"/>
  <c r="BA20" i="5"/>
  <c r="BA103" i="8"/>
  <c r="BB103" i="5"/>
  <c r="BA173" i="8"/>
  <c r="BB173" i="5"/>
  <c r="BA92" i="8"/>
  <c r="BB92" i="5"/>
  <c r="BA184" i="8"/>
  <c r="BB184" i="5"/>
  <c r="BA46" i="8"/>
  <c r="BB46" i="5"/>
  <c r="BA188" i="8"/>
  <c r="BB188" i="5"/>
  <c r="BA62" i="8"/>
  <c r="BB62" i="5"/>
  <c r="BA9" i="8"/>
  <c r="BB9" i="5"/>
  <c r="BA110" i="8"/>
  <c r="BB110" i="5"/>
  <c r="BA48" i="8"/>
  <c r="BB48" i="5"/>
  <c r="AZ115" i="8"/>
  <c r="BA115" i="5"/>
  <c r="BA69" i="8"/>
  <c r="BB69" i="5"/>
  <c r="BA16" i="8"/>
  <c r="BB16" i="5"/>
  <c r="BA74" i="8"/>
  <c r="BB74" i="5"/>
  <c r="AZ34" i="8"/>
  <c r="BA34" i="5"/>
  <c r="AZ5" i="8"/>
  <c r="BA5" i="5"/>
  <c r="BA67" i="8"/>
  <c r="BB67" i="5"/>
  <c r="BA32" i="8"/>
  <c r="BB32" i="5"/>
  <c r="BA170" i="8"/>
  <c r="BB170" i="5"/>
  <c r="BA218" i="8"/>
  <c r="BB218" i="5"/>
  <c r="BA53" i="8"/>
  <c r="BB53" i="5"/>
  <c r="BA40" i="8"/>
  <c r="BB40" i="5"/>
  <c r="BA199" i="8"/>
  <c r="BB199" i="5"/>
  <c r="BA145" i="8"/>
  <c r="BB145" i="5"/>
  <c r="BA147" i="8"/>
  <c r="BB147" i="5"/>
  <c r="BA108" i="8"/>
  <c r="BB108" i="5"/>
  <c r="BA159" i="8"/>
  <c r="BB159" i="5"/>
  <c r="BA87" i="8"/>
  <c r="BB87" i="5"/>
  <c r="BA123" i="8"/>
  <c r="BB123" i="5"/>
  <c r="BA109" i="8"/>
  <c r="BB109" i="5"/>
  <c r="BA137" i="8"/>
  <c r="BB137" i="5"/>
  <c r="BA180" i="8"/>
  <c r="BB180" i="5"/>
  <c r="BA162" i="8"/>
  <c r="BB162" i="5"/>
  <c r="BA142" i="8"/>
  <c r="BB142" i="5"/>
  <c r="BA202" i="8"/>
  <c r="BB202" i="5"/>
  <c r="BA28" i="8"/>
  <c r="BB28" i="5"/>
  <c r="BA140" i="8"/>
  <c r="BB140" i="5"/>
  <c r="BA95" i="8"/>
  <c r="BB95" i="5"/>
  <c r="BA66" i="8"/>
  <c r="BB66" i="5"/>
  <c r="BA19" i="8"/>
  <c r="BB19" i="5"/>
  <c r="BA195" i="8"/>
  <c r="BB195" i="5"/>
  <c r="BA132" i="8"/>
  <c r="BB132" i="5"/>
  <c r="BA105" i="8"/>
  <c r="BB105" i="5"/>
  <c r="AZ4" i="8"/>
  <c r="BA4" i="5"/>
  <c r="BA220" i="8"/>
  <c r="BB220" i="5"/>
  <c r="BA56" i="8"/>
  <c r="BB56" i="5"/>
  <c r="BA185" i="8"/>
  <c r="BB185" i="5"/>
  <c r="BA155" i="8"/>
  <c r="BB155" i="5"/>
  <c r="BA158" i="8"/>
  <c r="BB158" i="5"/>
  <c r="BA166" i="8"/>
  <c r="BB166" i="5"/>
  <c r="BA124" i="8"/>
  <c r="BB124" i="5"/>
  <c r="BA139" i="8"/>
  <c r="BB139" i="5"/>
  <c r="BA15" i="8"/>
  <c r="BB15" i="5"/>
  <c r="BA169" i="8"/>
  <c r="BB169" i="5"/>
  <c r="BA167" i="8"/>
  <c r="BB167" i="5"/>
  <c r="BA154" i="8"/>
  <c r="BB154" i="5"/>
  <c r="BA215" i="8"/>
  <c r="BB215" i="5"/>
  <c r="BA76" i="8"/>
  <c r="BB76" i="5"/>
  <c r="BA35" i="8"/>
  <c r="BB35" i="5"/>
  <c r="BA113" i="8"/>
  <c r="BB113" i="5"/>
  <c r="BA156" i="8"/>
  <c r="BB156" i="5"/>
  <c r="BA207" i="8"/>
  <c r="BB207" i="5"/>
  <c r="BA164" i="8"/>
  <c r="BB164" i="5"/>
  <c r="BA133" i="8"/>
  <c r="BB133" i="5"/>
  <c r="BA42" i="8"/>
  <c r="BB42" i="5"/>
  <c r="BA18" i="8"/>
  <c r="BB18" i="5"/>
  <c r="BA116" i="8"/>
  <c r="BB116" i="5"/>
  <c r="BA190" i="8"/>
  <c r="BB190" i="5"/>
  <c r="BA58" i="8"/>
  <c r="BB58" i="5"/>
  <c r="AZ36" i="8"/>
  <c r="BA36" i="5"/>
  <c r="BA200" i="8"/>
  <c r="BB200" i="5"/>
  <c r="BA11" i="8"/>
  <c r="BB11" i="5"/>
  <c r="BA10" i="8"/>
  <c r="BB10" i="5"/>
  <c r="BA143" i="8"/>
  <c r="BB143" i="5"/>
  <c r="BA163" i="8"/>
  <c r="BB163" i="5"/>
  <c r="BA197" i="8"/>
  <c r="BB197" i="5"/>
  <c r="BA38" i="8"/>
  <c r="BB38" i="5"/>
  <c r="BA57" i="8"/>
  <c r="BB57" i="5"/>
  <c r="BA178" i="8"/>
  <c r="BB178" i="5"/>
  <c r="BA82" i="8"/>
  <c r="BB82" i="5"/>
  <c r="BA37" i="8"/>
  <c r="BB37" i="5"/>
  <c r="BA193" i="8"/>
  <c r="BB193" i="5"/>
  <c r="BA60" i="8"/>
  <c r="BB60" i="5"/>
  <c r="BA212" i="8"/>
  <c r="BB212" i="5"/>
  <c r="BA64" i="8"/>
  <c r="BB64" i="5"/>
  <c r="BA216" i="8"/>
  <c r="BB216" i="5"/>
  <c r="AZ189" i="8"/>
  <c r="BA189" i="5"/>
  <c r="BA13" i="8"/>
  <c r="BB13" i="5"/>
  <c r="BA141" i="8"/>
  <c r="BB141" i="5"/>
  <c r="BA120" i="8"/>
  <c r="BB120" i="5"/>
  <c r="BA204" i="8"/>
  <c r="BB204" i="5"/>
  <c r="BA25" i="8"/>
  <c r="BB25" i="5"/>
  <c r="BA191" i="8"/>
  <c r="BB191" i="5"/>
  <c r="BA89" i="8"/>
  <c r="BB89" i="5"/>
  <c r="BA101" i="8"/>
  <c r="BB101" i="5"/>
  <c r="BA121" i="8"/>
  <c r="BB121" i="5"/>
  <c r="BA27" i="8"/>
  <c r="BB27" i="5"/>
  <c r="BA127" i="8"/>
  <c r="BB127" i="5"/>
  <c r="AZ102" i="8"/>
  <c r="BA102" i="5"/>
  <c r="BA23" i="8"/>
  <c r="BB23" i="5"/>
  <c r="BA131" i="8"/>
  <c r="BB131" i="5"/>
  <c r="BA187" i="8"/>
  <c r="BB187" i="5"/>
  <c r="BA112" i="8"/>
  <c r="BB112" i="5"/>
  <c r="BA84" i="8"/>
  <c r="BB84" i="5"/>
  <c r="BA73" i="8"/>
  <c r="BB73" i="5"/>
  <c r="BA30" i="8"/>
  <c r="BB30" i="5"/>
  <c r="BA198" i="8"/>
  <c r="BB198" i="5"/>
  <c r="BA99" i="8"/>
  <c r="BB99" i="5"/>
  <c r="BA135" i="8"/>
  <c r="BB135" i="5"/>
  <c r="BA128" i="8"/>
  <c r="BB128" i="5"/>
  <c r="BA214" i="8"/>
  <c r="BB214" i="5"/>
  <c r="BA136" i="8"/>
  <c r="BB136" i="5"/>
  <c r="BA157" i="8"/>
  <c r="BB157" i="5"/>
  <c r="BA153" i="8"/>
  <c r="BB153" i="5"/>
  <c r="BA152" i="8"/>
  <c r="BB152" i="5"/>
  <c r="BA119" i="8"/>
  <c r="BB119" i="5"/>
  <c r="BA50" i="8"/>
  <c r="BB50" i="5"/>
  <c r="BA196" i="8"/>
  <c r="BB196" i="5"/>
  <c r="BA55" i="8"/>
  <c r="BB55" i="5"/>
  <c r="BA39" i="8"/>
  <c r="BB39" i="5"/>
  <c r="BA203" i="8"/>
  <c r="BB203" i="5"/>
  <c r="BA175" i="8"/>
  <c r="BB175" i="5"/>
  <c r="BA21" i="8"/>
  <c r="BB21" i="5"/>
  <c r="AZ97" i="8"/>
  <c r="BA97" i="5"/>
  <c r="BA179" i="8"/>
  <c r="BB179" i="5"/>
  <c r="BA177" i="8"/>
  <c r="BB177" i="5"/>
  <c r="BA68" i="8"/>
  <c r="BB68" i="5"/>
  <c r="BA88" i="8"/>
  <c r="BB88" i="5"/>
  <c r="BA85" i="8"/>
  <c r="BB85" i="5"/>
  <c r="BA78" i="8"/>
  <c r="BB78" i="5"/>
  <c r="BA63" i="8"/>
  <c r="BB63" i="5"/>
  <c r="BA90" i="8"/>
  <c r="BB90" i="5"/>
  <c r="BA174" i="8"/>
  <c r="BB174" i="5"/>
  <c r="BA96" i="8"/>
  <c r="BB96" i="5"/>
  <c r="BA117" i="8"/>
  <c r="BB117" i="5"/>
  <c r="BA14" i="8"/>
  <c r="BB14" i="5"/>
  <c r="AZ111" i="8"/>
  <c r="BA111" i="5"/>
  <c r="BA54" i="8"/>
  <c r="BB54" i="5"/>
  <c r="BA22" i="8"/>
  <c r="BB22" i="5"/>
  <c r="BA161" i="8"/>
  <c r="BB161" i="5"/>
  <c r="BA211" i="8"/>
  <c r="BB211" i="5"/>
  <c r="BA160" i="8"/>
  <c r="BB160" i="5"/>
  <c r="BA172" i="8"/>
  <c r="BB172" i="5"/>
  <c r="BA126" i="8"/>
  <c r="BB126" i="5"/>
  <c r="BA125" i="8"/>
  <c r="BB125" i="5"/>
  <c r="BA100" i="8"/>
  <c r="BB100" i="5"/>
  <c r="BA129" i="8"/>
  <c r="BB129" i="5"/>
  <c r="BA146" i="8"/>
  <c r="BB146" i="5"/>
  <c r="BA12" i="8"/>
  <c r="BB12" i="5"/>
  <c r="BA72" i="8"/>
  <c r="BB72" i="5"/>
  <c r="BA130" i="8"/>
  <c r="BB130" i="5"/>
  <c r="BA149" i="8"/>
  <c r="BB149" i="5"/>
  <c r="BA138" i="8"/>
  <c r="BB138" i="5"/>
  <c r="BA44" i="8"/>
  <c r="BB44" i="5"/>
  <c r="BA41" i="8"/>
  <c r="BB41" i="5"/>
  <c r="AZ47" i="8"/>
  <c r="BA47" i="5"/>
  <c r="BA208" i="8"/>
  <c r="BB208" i="5"/>
  <c r="BA148" i="8"/>
  <c r="BB148" i="5"/>
  <c r="BB41" i="8" l="1"/>
  <c r="BC41" i="5"/>
  <c r="BB130" i="8"/>
  <c r="BC130" i="5"/>
  <c r="BB129" i="8"/>
  <c r="BC129" i="5"/>
  <c r="BB172" i="8"/>
  <c r="BC172" i="5"/>
  <c r="BB22" i="8"/>
  <c r="BC22" i="5"/>
  <c r="BB117" i="8"/>
  <c r="BC117" i="5"/>
  <c r="BB85" i="8"/>
  <c r="BC85" i="5"/>
  <c r="BB179" i="8"/>
  <c r="BC179" i="5"/>
  <c r="BB21" i="8"/>
  <c r="BC21" i="5"/>
  <c r="BB55" i="8"/>
  <c r="BC55" i="5"/>
  <c r="BB152" i="8"/>
  <c r="BC152" i="5"/>
  <c r="BB214" i="8"/>
  <c r="BC214" i="5"/>
  <c r="BB198" i="8"/>
  <c r="BC198" i="5"/>
  <c r="BB73" i="8"/>
  <c r="BC73" i="5"/>
  <c r="BB131" i="8"/>
  <c r="BC131" i="5"/>
  <c r="BB101" i="8"/>
  <c r="BC101" i="5"/>
  <c r="BB204" i="8"/>
  <c r="BC204" i="5"/>
  <c r="BA189" i="8"/>
  <c r="BB189" i="5"/>
  <c r="BB60" i="8"/>
  <c r="BC60" i="5"/>
  <c r="BB178" i="8"/>
  <c r="BC178" i="5"/>
  <c r="BB163" i="8"/>
  <c r="BC163" i="5"/>
  <c r="BB200" i="8"/>
  <c r="BC200" i="5"/>
  <c r="BB116" i="8"/>
  <c r="BC116" i="5"/>
  <c r="BB164" i="8"/>
  <c r="BC164" i="5"/>
  <c r="BB35" i="8"/>
  <c r="BC35" i="5"/>
  <c r="BB167" i="8"/>
  <c r="BC167" i="5"/>
  <c r="BB124" i="8"/>
  <c r="BC124" i="5"/>
  <c r="BB185" i="8"/>
  <c r="BC185" i="5"/>
  <c r="BB105" i="8"/>
  <c r="BC105" i="5"/>
  <c r="BB66" i="8"/>
  <c r="BC66" i="5"/>
  <c r="BB202" i="8"/>
  <c r="BC202" i="5"/>
  <c r="BB137" i="8"/>
  <c r="BC137" i="5"/>
  <c r="BB159" i="8"/>
  <c r="BC159" i="5"/>
  <c r="BB199" i="8"/>
  <c r="BC199" i="5"/>
  <c r="BB170" i="8"/>
  <c r="BC170" i="5"/>
  <c r="BA34" i="8"/>
  <c r="BB34" i="5"/>
  <c r="BA115" i="8"/>
  <c r="BB115" i="5"/>
  <c r="BB62" i="8"/>
  <c r="BC62" i="5"/>
  <c r="BB92" i="8"/>
  <c r="BC92" i="5"/>
  <c r="BB80" i="8"/>
  <c r="BC80" i="5"/>
  <c r="BB122" i="8"/>
  <c r="BC122" i="5"/>
  <c r="BB91" i="8"/>
  <c r="BC91" i="5"/>
  <c r="BB208" i="8"/>
  <c r="BC208" i="5"/>
  <c r="BB138" i="8"/>
  <c r="BC138" i="5"/>
  <c r="BB12" i="8"/>
  <c r="BC12" i="5"/>
  <c r="BB125" i="8"/>
  <c r="BC125" i="5"/>
  <c r="BB211" i="8"/>
  <c r="BC211" i="5"/>
  <c r="BA111" i="8"/>
  <c r="BB111" i="5"/>
  <c r="BB174" i="8"/>
  <c r="BC174" i="5"/>
  <c r="BB68" i="8"/>
  <c r="BC68" i="5"/>
  <c r="BB203" i="8"/>
  <c r="BC203" i="5"/>
  <c r="BB50" i="8"/>
  <c r="BC50" i="5"/>
  <c r="BB157" i="8"/>
  <c r="BC157" i="5"/>
  <c r="BB135" i="8"/>
  <c r="BC135" i="5"/>
  <c r="BB112" i="8"/>
  <c r="BC112" i="5"/>
  <c r="BA102" i="8"/>
  <c r="BB102" i="5"/>
  <c r="BB27" i="8"/>
  <c r="BC27" i="5"/>
  <c r="BB191" i="8"/>
  <c r="BC191" i="5"/>
  <c r="BB141" i="8"/>
  <c r="BC141" i="5"/>
  <c r="BB64" i="8"/>
  <c r="BC64" i="5"/>
  <c r="BB37" i="8"/>
  <c r="BC37" i="5"/>
  <c r="BB38" i="8"/>
  <c r="BC38" i="5"/>
  <c r="BB10" i="8"/>
  <c r="BC10" i="5"/>
  <c r="BB58" i="8"/>
  <c r="BC58" i="5"/>
  <c r="BB42" i="8"/>
  <c r="BC42" i="5"/>
  <c r="BB156" i="8"/>
  <c r="BC156" i="5"/>
  <c r="BB215" i="8"/>
  <c r="BC215" i="5"/>
  <c r="BB15" i="8"/>
  <c r="BC15" i="5"/>
  <c r="BB158" i="8"/>
  <c r="BC158" i="5"/>
  <c r="BB220" i="8"/>
  <c r="BC220" i="5"/>
  <c r="BB195" i="8"/>
  <c r="BC195" i="5"/>
  <c r="BB140" i="8"/>
  <c r="BC140" i="5"/>
  <c r="BB162" i="8"/>
  <c r="BC162" i="5"/>
  <c r="BB123" i="8"/>
  <c r="BC123" i="5"/>
  <c r="BB147" i="8"/>
  <c r="BC147" i="5"/>
  <c r="BB53" i="8"/>
  <c r="BC53" i="5"/>
  <c r="BB67" i="8"/>
  <c r="BC67" i="5"/>
  <c r="BB16" i="8"/>
  <c r="BC16" i="5"/>
  <c r="BB110" i="8"/>
  <c r="BC110" i="5"/>
  <c r="BB46" i="8"/>
  <c r="BC46" i="5"/>
  <c r="BB103" i="8"/>
  <c r="BC103" i="5"/>
  <c r="BA24" i="8"/>
  <c r="BB24" i="5"/>
  <c r="BB17" i="8"/>
  <c r="BC17" i="5"/>
  <c r="BA75" i="8"/>
  <c r="BB75" i="5"/>
  <c r="BB183" i="8"/>
  <c r="BC183" i="5"/>
  <c r="BA70" i="8"/>
  <c r="BB70" i="5"/>
  <c r="BA71" i="8"/>
  <c r="BB71" i="5"/>
  <c r="BA221" i="8"/>
  <c r="BB221" i="5"/>
  <c r="BB104" i="8"/>
  <c r="BC104" i="5"/>
  <c r="BB49" i="8"/>
  <c r="BC49" i="5"/>
  <c r="BA26" i="8"/>
  <c r="BB26" i="5"/>
  <c r="BB165" i="8"/>
  <c r="BC165" i="5"/>
  <c r="BB201" i="8"/>
  <c r="BC201" i="5"/>
  <c r="BB106" i="8"/>
  <c r="BC106" i="5"/>
  <c r="BB94" i="8"/>
  <c r="BC94" i="5"/>
  <c r="BB61" i="8"/>
  <c r="BC61" i="5"/>
  <c r="BB206" i="8"/>
  <c r="BC206" i="5"/>
  <c r="BB148" i="8"/>
  <c r="BC148" i="5"/>
  <c r="BA47" i="8"/>
  <c r="BB47" i="5"/>
  <c r="BB44" i="8"/>
  <c r="BC44" i="5"/>
  <c r="BB149" i="8"/>
  <c r="BC149" i="5"/>
  <c r="BB72" i="8"/>
  <c r="BC72" i="5"/>
  <c r="BB146" i="8"/>
  <c r="BC146" i="5"/>
  <c r="BB100" i="8"/>
  <c r="BC100" i="5"/>
  <c r="BB126" i="8"/>
  <c r="BC126" i="5"/>
  <c r="BB160" i="8"/>
  <c r="BC160" i="5"/>
  <c r="BB161" i="8"/>
  <c r="BC161" i="5"/>
  <c r="BB54" i="8"/>
  <c r="BC54" i="5"/>
  <c r="BB14" i="8"/>
  <c r="BC14" i="5"/>
  <c r="BB96" i="8"/>
  <c r="BC96" i="5"/>
  <c r="BB90" i="8"/>
  <c r="BC90" i="5"/>
  <c r="BB78" i="8"/>
  <c r="BC78" i="5"/>
  <c r="BB88" i="8"/>
  <c r="BC88" i="5"/>
  <c r="BB177" i="8"/>
  <c r="BC177" i="5"/>
  <c r="BA97" i="8"/>
  <c r="BB97" i="5"/>
  <c r="BB175" i="8"/>
  <c r="BC175" i="5"/>
  <c r="BB39" i="8"/>
  <c r="BC39" i="5"/>
  <c r="BB196" i="8"/>
  <c r="BC196" i="5"/>
  <c r="BB119" i="8"/>
  <c r="BC119" i="5"/>
  <c r="BB153" i="8"/>
  <c r="BC153" i="5"/>
  <c r="BB136" i="8"/>
  <c r="BC136" i="5"/>
  <c r="BB128" i="8"/>
  <c r="BC128" i="5"/>
  <c r="BB99" i="8"/>
  <c r="BC99" i="5"/>
  <c r="BB30" i="8"/>
  <c r="BC30" i="5"/>
  <c r="BB84" i="8"/>
  <c r="BC84" i="5"/>
  <c r="BB187" i="8"/>
  <c r="BC187" i="5"/>
  <c r="BB23" i="8"/>
  <c r="BC23" i="5"/>
  <c r="BB127" i="8"/>
  <c r="BC127" i="5"/>
  <c r="BB121" i="8"/>
  <c r="BC121" i="5"/>
  <c r="BB89" i="8"/>
  <c r="BC89" i="5"/>
  <c r="BB25" i="8"/>
  <c r="BC25" i="5"/>
  <c r="BB120" i="8"/>
  <c r="BC120" i="5"/>
  <c r="BB13" i="8"/>
  <c r="BC13" i="5"/>
  <c r="BB216" i="8"/>
  <c r="BC216" i="5"/>
  <c r="BB212" i="8"/>
  <c r="BC212" i="5"/>
  <c r="BB193" i="8"/>
  <c r="BC193" i="5"/>
  <c r="BB82" i="8"/>
  <c r="BC82" i="5"/>
  <c r="BB57" i="8"/>
  <c r="BC57" i="5"/>
  <c r="BB197" i="8"/>
  <c r="BC197" i="5"/>
  <c r="BB143" i="8"/>
  <c r="BC143" i="5"/>
  <c r="BB11" i="8"/>
  <c r="BC11" i="5"/>
  <c r="BA36" i="8"/>
  <c r="BB36" i="5"/>
  <c r="BB190" i="8"/>
  <c r="BC190" i="5"/>
  <c r="BB18" i="8"/>
  <c r="BC18" i="5"/>
  <c r="BB133" i="8"/>
  <c r="BC133" i="5"/>
  <c r="BB207" i="8"/>
  <c r="BC207" i="5"/>
  <c r="BB113" i="8"/>
  <c r="BC113" i="5"/>
  <c r="BB76" i="8"/>
  <c r="BC76" i="5"/>
  <c r="BB154" i="8"/>
  <c r="BC154" i="5"/>
  <c r="BB169" i="8"/>
  <c r="BC169" i="5"/>
  <c r="BB139" i="8"/>
  <c r="BC139" i="5"/>
  <c r="BB166" i="8"/>
  <c r="BC166" i="5"/>
  <c r="BB155" i="8"/>
  <c r="BC155" i="5"/>
  <c r="BB56" i="8"/>
  <c r="BC56" i="5"/>
  <c r="BA4" i="8"/>
  <c r="BB4" i="5"/>
  <c r="BB132" i="8"/>
  <c r="BC132" i="5"/>
  <c r="BB19" i="8"/>
  <c r="BC19" i="5"/>
  <c r="BB95" i="8"/>
  <c r="BC95" i="5"/>
  <c r="BB28" i="8"/>
  <c r="BC28" i="5"/>
  <c r="BB142" i="8"/>
  <c r="BC142" i="5"/>
  <c r="BB180" i="8"/>
  <c r="BC180" i="5"/>
  <c r="BB109" i="8"/>
  <c r="BC109" i="5"/>
  <c r="BB87" i="8"/>
  <c r="BC87" i="5"/>
  <c r="BB108" i="8"/>
  <c r="BC108" i="5"/>
  <c r="BB145" i="8"/>
  <c r="BC145" i="5"/>
  <c r="BB40" i="8"/>
  <c r="BC40" i="5"/>
  <c r="BB218" i="8"/>
  <c r="BC218" i="5"/>
  <c r="BB32" i="8"/>
  <c r="BC32" i="5"/>
  <c r="BA5" i="8"/>
  <c r="BB5" i="5"/>
  <c r="BB74" i="8"/>
  <c r="BC74" i="5"/>
  <c r="BB69" i="8"/>
  <c r="BC69" i="5"/>
  <c r="BB48" i="8"/>
  <c r="BC48" i="5"/>
  <c r="BB9" i="8"/>
  <c r="BC9" i="5"/>
  <c r="BB188" i="8"/>
  <c r="BC188" i="5"/>
  <c r="BB184" i="8"/>
  <c r="BC184" i="5"/>
  <c r="BB173" i="8"/>
  <c r="BC173" i="5"/>
  <c r="BA20" i="8"/>
  <c r="BB20" i="5"/>
  <c r="BB176" i="8"/>
  <c r="BC176" i="5"/>
  <c r="BA205" i="8"/>
  <c r="BB205" i="5"/>
  <c r="BA6" i="8"/>
  <c r="BB6" i="5"/>
  <c r="BB182" i="8"/>
  <c r="BC182" i="5"/>
  <c r="BB86" i="8"/>
  <c r="BC86" i="5"/>
  <c r="BB59" i="8"/>
  <c r="BC59" i="5"/>
  <c r="BB213" i="8"/>
  <c r="BC213" i="5"/>
  <c r="BB93" i="8"/>
  <c r="BC93" i="5"/>
  <c r="BA51" i="8"/>
  <c r="BB51" i="5"/>
  <c r="BB210" i="8"/>
  <c r="BC210" i="5"/>
  <c r="BB98" i="8"/>
  <c r="BC98" i="5"/>
  <c r="BB77" i="8"/>
  <c r="BC77" i="5"/>
  <c r="BB209" i="8"/>
  <c r="BC209" i="5"/>
  <c r="BB29" i="8"/>
  <c r="BC29" i="5"/>
  <c r="BB151" i="8"/>
  <c r="BC151" i="5"/>
  <c r="BB171" i="8"/>
  <c r="BC171" i="5"/>
  <c r="BB114" i="8"/>
  <c r="BC114" i="5"/>
  <c r="BB45" i="8"/>
  <c r="BC45" i="5"/>
  <c r="BB33" i="8"/>
  <c r="BC33" i="5"/>
  <c r="BB63" i="8"/>
  <c r="BC63" i="5"/>
  <c r="BC151" i="8" l="1"/>
  <c r="BD151" i="5"/>
  <c r="BC86" i="8"/>
  <c r="BD86" i="5"/>
  <c r="BC48" i="8"/>
  <c r="BD48" i="5"/>
  <c r="BC109" i="8"/>
  <c r="BD109" i="5"/>
  <c r="BC169" i="8"/>
  <c r="BD169" i="5"/>
  <c r="BC143" i="8"/>
  <c r="BD143" i="5"/>
  <c r="BC127" i="8"/>
  <c r="BD127" i="5"/>
  <c r="BC177" i="8"/>
  <c r="BD177" i="5"/>
  <c r="BC72" i="8"/>
  <c r="BD72" i="5"/>
  <c r="BC49" i="8"/>
  <c r="BD49" i="5"/>
  <c r="BB24" i="8"/>
  <c r="BC24" i="5"/>
  <c r="BC123" i="8"/>
  <c r="BD123" i="5"/>
  <c r="BC15" i="8"/>
  <c r="BD15" i="5"/>
  <c r="BC58" i="8"/>
  <c r="BD58" i="5"/>
  <c r="BC64" i="8"/>
  <c r="BD64" i="5"/>
  <c r="BB102" i="8"/>
  <c r="BC102" i="5"/>
  <c r="BC135" i="8"/>
  <c r="BD135" i="5"/>
  <c r="BC50" i="8"/>
  <c r="BD50" i="5"/>
  <c r="BC68" i="8"/>
  <c r="BD68" i="5"/>
  <c r="BB111" i="8"/>
  <c r="BC111" i="5"/>
  <c r="BC125" i="8"/>
  <c r="BD125" i="5"/>
  <c r="BC138" i="8"/>
  <c r="BD138" i="5"/>
  <c r="BC91" i="8"/>
  <c r="BD91" i="5"/>
  <c r="BC80" i="8"/>
  <c r="BD80" i="5"/>
  <c r="BC62" i="8"/>
  <c r="BD62" i="5"/>
  <c r="BB34" i="8"/>
  <c r="BC34" i="5"/>
  <c r="BC199" i="8"/>
  <c r="BD199" i="5"/>
  <c r="BC137" i="8"/>
  <c r="BD137" i="5"/>
  <c r="BC66" i="8"/>
  <c r="BD66" i="5"/>
  <c r="BC185" i="8"/>
  <c r="BD185" i="5"/>
  <c r="BC167" i="8"/>
  <c r="BD167" i="5"/>
  <c r="BC164" i="8"/>
  <c r="BD164" i="5"/>
  <c r="BC200" i="8"/>
  <c r="BD200" i="5"/>
  <c r="BC178" i="8"/>
  <c r="BD178" i="5"/>
  <c r="BB189" i="8"/>
  <c r="BC189" i="5"/>
  <c r="BC101" i="8"/>
  <c r="BD101" i="5"/>
  <c r="BC214" i="8"/>
  <c r="BD214" i="5"/>
  <c r="BC55" i="8"/>
  <c r="BD55" i="5"/>
  <c r="BC179" i="8"/>
  <c r="BD179" i="5"/>
  <c r="BC117" i="8"/>
  <c r="BD117" i="5"/>
  <c r="BC130" i="8"/>
  <c r="BD130" i="5"/>
  <c r="BC114" i="8"/>
  <c r="BD114" i="5"/>
  <c r="BC98" i="8"/>
  <c r="BD98" i="5"/>
  <c r="BC213" i="8"/>
  <c r="BD213" i="5"/>
  <c r="BC176" i="8"/>
  <c r="BD176" i="5"/>
  <c r="BC188" i="8"/>
  <c r="BD188" i="5"/>
  <c r="BC32" i="8"/>
  <c r="BD32" i="5"/>
  <c r="BC108" i="8"/>
  <c r="BD108" i="5"/>
  <c r="BC95" i="8"/>
  <c r="BD95" i="5"/>
  <c r="BC56" i="8"/>
  <c r="BD56" i="5"/>
  <c r="BC207" i="8"/>
  <c r="BD207" i="5"/>
  <c r="BB36" i="8"/>
  <c r="BC36" i="5"/>
  <c r="BC193" i="8"/>
  <c r="BD193" i="5"/>
  <c r="BC120" i="8"/>
  <c r="BD120" i="5"/>
  <c r="BC187" i="8"/>
  <c r="BD187" i="5"/>
  <c r="BC128" i="8"/>
  <c r="BD128" i="5"/>
  <c r="BC196" i="8"/>
  <c r="BD196" i="5"/>
  <c r="BC78" i="8"/>
  <c r="BD78" i="5"/>
  <c r="BC54" i="8"/>
  <c r="BD54" i="5"/>
  <c r="BC100" i="8"/>
  <c r="BD100" i="5"/>
  <c r="BC148" i="8"/>
  <c r="BD148" i="5"/>
  <c r="BC106" i="8"/>
  <c r="BD106" i="5"/>
  <c r="BB70" i="8"/>
  <c r="BC70" i="5"/>
  <c r="BC16" i="8"/>
  <c r="BD16" i="5"/>
  <c r="BC140" i="8"/>
  <c r="BD140" i="5"/>
  <c r="BC38" i="8"/>
  <c r="BD38" i="5"/>
  <c r="BC73" i="8"/>
  <c r="BD73" i="5"/>
  <c r="BC33" i="8"/>
  <c r="BD33" i="5"/>
  <c r="BC209" i="8"/>
  <c r="BD209" i="5"/>
  <c r="BB51" i="8"/>
  <c r="BC51" i="5"/>
  <c r="BB6" i="8"/>
  <c r="BC6" i="5"/>
  <c r="BC173" i="8"/>
  <c r="BD173" i="5"/>
  <c r="BC74" i="8"/>
  <c r="BD74" i="5"/>
  <c r="BC40" i="8"/>
  <c r="BD40" i="5"/>
  <c r="BC142" i="8"/>
  <c r="BD142" i="5"/>
  <c r="BC132" i="8"/>
  <c r="BD132" i="5"/>
  <c r="BC166" i="8"/>
  <c r="BD166" i="5"/>
  <c r="BC76" i="8"/>
  <c r="BD76" i="5"/>
  <c r="BC18" i="8"/>
  <c r="BD18" i="5"/>
  <c r="BC57" i="8"/>
  <c r="BD57" i="5"/>
  <c r="BC216" i="8"/>
  <c r="BD216" i="5"/>
  <c r="BC89" i="8"/>
  <c r="BD89" i="5"/>
  <c r="BC30" i="8"/>
  <c r="BD30" i="5"/>
  <c r="BC153" i="8"/>
  <c r="BD153" i="5"/>
  <c r="BC175" i="8"/>
  <c r="BD175" i="5"/>
  <c r="BC96" i="8"/>
  <c r="BD96" i="5"/>
  <c r="BC160" i="8"/>
  <c r="BD160" i="5"/>
  <c r="BC44" i="8"/>
  <c r="BD44" i="5"/>
  <c r="BC61" i="8"/>
  <c r="BD61" i="5"/>
  <c r="BC165" i="8"/>
  <c r="BD165" i="5"/>
  <c r="BB221" i="8"/>
  <c r="BC221" i="5"/>
  <c r="BB75" i="8"/>
  <c r="BC75" i="5"/>
  <c r="BC46" i="8"/>
  <c r="BD46" i="5"/>
  <c r="BC53" i="8"/>
  <c r="BD53" i="5"/>
  <c r="BC220" i="8"/>
  <c r="BD220" i="5"/>
  <c r="BC156" i="8"/>
  <c r="BD156" i="5"/>
  <c r="BC191" i="8"/>
  <c r="BD191" i="5"/>
  <c r="BC172" i="8"/>
  <c r="BD172" i="5"/>
  <c r="BC63" i="8"/>
  <c r="BD63" i="5"/>
  <c r="BC45" i="8"/>
  <c r="BD45" i="5"/>
  <c r="BC171" i="8"/>
  <c r="BD171" i="5"/>
  <c r="BC29" i="8"/>
  <c r="BD29" i="5"/>
  <c r="BC77" i="8"/>
  <c r="BD77" i="5"/>
  <c r="BC210" i="8"/>
  <c r="BD210" i="5"/>
  <c r="BC93" i="8"/>
  <c r="BD93" i="5"/>
  <c r="BC59" i="8"/>
  <c r="BD59" i="5"/>
  <c r="BC182" i="8"/>
  <c r="BD182" i="5"/>
  <c r="BB205" i="8"/>
  <c r="BC205" i="5"/>
  <c r="BB20" i="8"/>
  <c r="BC20" i="5"/>
  <c r="BC184" i="8"/>
  <c r="BD184" i="5"/>
  <c r="BC9" i="8"/>
  <c r="BD9" i="5"/>
  <c r="BC69" i="8"/>
  <c r="BD69" i="5"/>
  <c r="BB5" i="8"/>
  <c r="BC5" i="5"/>
  <c r="BC218" i="8"/>
  <c r="BD218" i="5"/>
  <c r="BC145" i="8"/>
  <c r="BD145" i="5"/>
  <c r="BC87" i="8"/>
  <c r="BD87" i="5"/>
  <c r="BC180" i="8"/>
  <c r="BD180" i="5"/>
  <c r="BC28" i="8"/>
  <c r="BD28" i="5"/>
  <c r="BC19" i="8"/>
  <c r="BD19" i="5"/>
  <c r="BB4" i="8"/>
  <c r="BC4" i="5"/>
  <c r="BC155" i="8"/>
  <c r="BD155" i="5"/>
  <c r="BC139" i="8"/>
  <c r="BD139" i="5"/>
  <c r="BC154" i="8"/>
  <c r="BD154" i="5"/>
  <c r="BC113" i="8"/>
  <c r="BD113" i="5"/>
  <c r="BC133" i="8"/>
  <c r="BD133" i="5"/>
  <c r="BC190" i="8"/>
  <c r="BD190" i="5"/>
  <c r="BC11" i="8"/>
  <c r="BD11" i="5"/>
  <c r="BC197" i="8"/>
  <c r="BD197" i="5"/>
  <c r="BC82" i="8"/>
  <c r="BD82" i="5"/>
  <c r="BC212" i="8"/>
  <c r="BD212" i="5"/>
  <c r="BC13" i="8"/>
  <c r="BD13" i="5"/>
  <c r="BC25" i="8"/>
  <c r="BD25" i="5"/>
  <c r="BC121" i="8"/>
  <c r="BD121" i="5"/>
  <c r="BC23" i="8"/>
  <c r="BD23" i="5"/>
  <c r="BC84" i="8"/>
  <c r="BD84" i="5"/>
  <c r="BC99" i="8"/>
  <c r="BD99" i="5"/>
  <c r="BC136" i="8"/>
  <c r="BD136" i="5"/>
  <c r="BC119" i="8"/>
  <c r="BD119" i="5"/>
  <c r="BC39" i="8"/>
  <c r="BD39" i="5"/>
  <c r="BB97" i="8"/>
  <c r="BC97" i="5"/>
  <c r="BC88" i="8"/>
  <c r="BD88" i="5"/>
  <c r="BC90" i="8"/>
  <c r="BD90" i="5"/>
  <c r="BC14" i="8"/>
  <c r="BD14" i="5"/>
  <c r="BC161" i="8"/>
  <c r="BD161" i="5"/>
  <c r="BC126" i="8"/>
  <c r="BD126" i="5"/>
  <c r="BC146" i="8"/>
  <c r="BD146" i="5"/>
  <c r="BC149" i="8"/>
  <c r="BD149" i="5"/>
  <c r="BB47" i="8"/>
  <c r="BC47" i="5"/>
  <c r="BC206" i="8"/>
  <c r="BD206" i="5"/>
  <c r="BC94" i="8"/>
  <c r="BD94" i="5"/>
  <c r="BC201" i="8"/>
  <c r="BD201" i="5"/>
  <c r="BB26" i="8"/>
  <c r="BC26" i="5"/>
  <c r="BC104" i="8"/>
  <c r="BD104" i="5"/>
  <c r="BB71" i="8"/>
  <c r="BC71" i="5"/>
  <c r="BC183" i="8"/>
  <c r="BD183" i="5"/>
  <c r="BC17" i="8"/>
  <c r="BD17" i="5"/>
  <c r="BC103" i="8"/>
  <c r="BD103" i="5"/>
  <c r="BC110" i="8"/>
  <c r="BD110" i="5"/>
  <c r="BC67" i="8"/>
  <c r="BD67" i="5"/>
  <c r="BC147" i="8"/>
  <c r="BD147" i="5"/>
  <c r="BC162" i="8"/>
  <c r="BD162" i="5"/>
  <c r="BC195" i="8"/>
  <c r="BD195" i="5"/>
  <c r="BC158" i="8"/>
  <c r="BD158" i="5"/>
  <c r="BC215" i="8"/>
  <c r="BD215" i="5"/>
  <c r="BC42" i="8"/>
  <c r="BD42" i="5"/>
  <c r="BC10" i="8"/>
  <c r="BD10" i="5"/>
  <c r="BC37" i="8"/>
  <c r="BD37" i="5"/>
  <c r="BC141" i="8"/>
  <c r="BD141" i="5"/>
  <c r="BC27" i="8"/>
  <c r="BD27" i="5"/>
  <c r="BC112" i="8"/>
  <c r="BD112" i="5"/>
  <c r="BC157" i="8"/>
  <c r="BD157" i="5"/>
  <c r="BC203" i="8"/>
  <c r="BD203" i="5"/>
  <c r="BC174" i="8"/>
  <c r="BD174" i="5"/>
  <c r="BC211" i="8"/>
  <c r="BD211" i="5"/>
  <c r="BC12" i="8"/>
  <c r="BD12" i="5"/>
  <c r="BC208" i="8"/>
  <c r="BD208" i="5"/>
  <c r="BC122" i="8"/>
  <c r="BD122" i="5"/>
  <c r="BC92" i="8"/>
  <c r="BD92" i="5"/>
  <c r="BB115" i="8"/>
  <c r="BC115" i="5"/>
  <c r="BC170" i="8"/>
  <c r="BD170" i="5"/>
  <c r="BC159" i="8"/>
  <c r="BD159" i="5"/>
  <c r="BC202" i="8"/>
  <c r="BD202" i="5"/>
  <c r="BC105" i="8"/>
  <c r="BD105" i="5"/>
  <c r="BC124" i="8"/>
  <c r="BD124" i="5"/>
  <c r="BC35" i="8"/>
  <c r="BD35" i="5"/>
  <c r="BC116" i="8"/>
  <c r="BD116" i="5"/>
  <c r="BC163" i="8"/>
  <c r="BD163" i="5"/>
  <c r="BC60" i="8"/>
  <c r="BD60" i="5"/>
  <c r="BC204" i="8"/>
  <c r="BD204" i="5"/>
  <c r="BC131" i="8"/>
  <c r="BD131" i="5"/>
  <c r="BC198" i="8"/>
  <c r="BD198" i="5"/>
  <c r="BC152" i="8"/>
  <c r="BD152" i="5"/>
  <c r="BC21" i="8"/>
  <c r="BD21" i="5"/>
  <c r="BC85" i="8"/>
  <c r="BD85" i="5"/>
  <c r="BC22" i="8"/>
  <c r="BD22" i="5"/>
  <c r="BC129" i="8"/>
  <c r="BD129" i="5"/>
  <c r="BC41" i="8"/>
  <c r="BD41" i="5"/>
  <c r="BD85" i="8" l="1"/>
  <c r="BE85" i="5"/>
  <c r="BD131" i="8"/>
  <c r="BE131" i="5"/>
  <c r="BD116" i="8"/>
  <c r="BE116" i="5"/>
  <c r="BD202" i="8"/>
  <c r="BE202" i="5"/>
  <c r="BD92" i="8"/>
  <c r="BE92" i="5"/>
  <c r="BD211" i="8"/>
  <c r="BE211" i="5"/>
  <c r="BD112" i="8"/>
  <c r="BE112" i="5"/>
  <c r="BD141" i="8"/>
  <c r="BE141" i="5"/>
  <c r="BD215" i="8"/>
  <c r="BE215" i="5"/>
  <c r="BD147" i="8"/>
  <c r="BE147" i="5"/>
  <c r="BD17" i="8"/>
  <c r="BE17" i="5"/>
  <c r="BC26" i="8"/>
  <c r="BD26" i="5"/>
  <c r="BC47" i="8"/>
  <c r="BD47" i="5"/>
  <c r="BD161" i="8"/>
  <c r="BE161" i="5"/>
  <c r="BC97" i="8"/>
  <c r="BD97" i="5"/>
  <c r="BD99" i="8"/>
  <c r="BE99" i="5"/>
  <c r="BD25" i="8"/>
  <c r="BE25" i="5"/>
  <c r="BD197" i="8"/>
  <c r="BE197" i="5"/>
  <c r="BD113" i="8"/>
  <c r="BE113" i="5"/>
  <c r="BC4" i="8"/>
  <c r="BD4" i="5"/>
  <c r="BD87" i="8"/>
  <c r="BE87" i="5"/>
  <c r="BD69" i="8"/>
  <c r="BE69" i="5"/>
  <c r="BC205" i="8"/>
  <c r="BD205" i="5"/>
  <c r="BD59" i="8"/>
  <c r="BE59" i="5"/>
  <c r="BD29" i="8"/>
  <c r="BE29" i="5"/>
  <c r="BD172" i="8"/>
  <c r="BE172" i="5"/>
  <c r="BD53" i="8"/>
  <c r="BE53" i="5"/>
  <c r="BD165" i="8"/>
  <c r="BE165" i="5"/>
  <c r="BD96" i="8"/>
  <c r="BE96" i="5"/>
  <c r="BD89" i="8"/>
  <c r="BE89" i="5"/>
  <c r="BD76" i="8"/>
  <c r="BE76" i="5"/>
  <c r="BD132" i="8"/>
  <c r="BE132" i="5"/>
  <c r="BD173" i="8"/>
  <c r="BE173" i="5"/>
  <c r="BD33" i="8"/>
  <c r="BE33" i="5"/>
  <c r="BD16" i="8"/>
  <c r="BE16" i="5"/>
  <c r="BD100" i="8"/>
  <c r="BE100" i="5"/>
  <c r="BD128" i="8"/>
  <c r="BE128" i="5"/>
  <c r="BC36" i="8"/>
  <c r="BD36" i="5"/>
  <c r="BD108" i="8"/>
  <c r="BE108" i="5"/>
  <c r="BD213" i="8"/>
  <c r="BE213" i="5"/>
  <c r="BD117" i="8"/>
  <c r="BE117" i="5"/>
  <c r="BD101" i="8"/>
  <c r="BE101" i="5"/>
  <c r="BD164" i="8"/>
  <c r="BE164" i="5"/>
  <c r="BD137" i="8"/>
  <c r="BE137" i="5"/>
  <c r="BD138" i="8"/>
  <c r="BE138" i="5"/>
  <c r="BD109" i="8"/>
  <c r="BE109" i="5"/>
  <c r="BD129" i="8"/>
  <c r="BE129" i="5"/>
  <c r="BD152" i="8"/>
  <c r="BE152" i="5"/>
  <c r="BD60" i="8"/>
  <c r="BE60" i="5"/>
  <c r="BD124" i="8"/>
  <c r="BE124" i="5"/>
  <c r="BD170" i="8"/>
  <c r="BE170" i="5"/>
  <c r="BD208" i="8"/>
  <c r="BE208" i="5"/>
  <c r="BD203" i="8"/>
  <c r="BE203" i="5"/>
  <c r="BD10" i="8"/>
  <c r="BE10" i="5"/>
  <c r="BD195" i="8"/>
  <c r="BE195" i="5"/>
  <c r="BD110" i="8"/>
  <c r="BE110" i="5"/>
  <c r="BC71" i="8"/>
  <c r="BD71" i="5"/>
  <c r="BD94" i="8"/>
  <c r="BE94" i="5"/>
  <c r="BD146" i="8"/>
  <c r="BE146" i="5"/>
  <c r="BD90" i="8"/>
  <c r="BE90" i="5"/>
  <c r="BD119" i="8"/>
  <c r="BE119" i="5"/>
  <c r="BD23" i="8"/>
  <c r="BE23" i="5"/>
  <c r="BD212" i="8"/>
  <c r="BE212" i="5"/>
  <c r="BD190" i="8"/>
  <c r="BE190" i="5"/>
  <c r="BD139" i="8"/>
  <c r="BE139" i="5"/>
  <c r="BD28" i="8"/>
  <c r="BE28" i="5"/>
  <c r="BD218" i="8"/>
  <c r="BE218" i="5"/>
  <c r="BD184" i="8"/>
  <c r="BE184" i="5"/>
  <c r="BD210" i="8"/>
  <c r="BE210" i="5"/>
  <c r="BD45" i="8"/>
  <c r="BE45" i="5"/>
  <c r="BD156" i="8"/>
  <c r="BE156" i="5"/>
  <c r="BC75" i="8"/>
  <c r="BD75" i="5"/>
  <c r="BD44" i="8"/>
  <c r="BE44" i="5"/>
  <c r="BD153" i="8"/>
  <c r="BE153" i="5"/>
  <c r="BD57" i="8"/>
  <c r="BE57" i="5"/>
  <c r="BD40" i="8"/>
  <c r="BE40" i="5"/>
  <c r="BC51" i="8"/>
  <c r="BD51" i="5"/>
  <c r="BD38" i="8"/>
  <c r="BE38" i="5"/>
  <c r="BD106" i="8"/>
  <c r="BE106" i="5"/>
  <c r="BD78" i="8"/>
  <c r="BE78" i="5"/>
  <c r="BD120" i="8"/>
  <c r="BE120" i="5"/>
  <c r="BD56" i="8"/>
  <c r="BE56" i="5"/>
  <c r="BD188" i="8"/>
  <c r="BE188" i="5"/>
  <c r="BD114" i="8"/>
  <c r="BE114" i="5"/>
  <c r="BD55" i="8"/>
  <c r="BE55" i="5"/>
  <c r="BD178" i="8"/>
  <c r="BE178" i="5"/>
  <c r="BD185" i="8"/>
  <c r="BE185" i="5"/>
  <c r="BC34" i="8"/>
  <c r="BD34" i="5"/>
  <c r="BD80" i="8"/>
  <c r="BE80" i="5"/>
  <c r="BC111" i="8"/>
  <c r="BD111" i="5"/>
  <c r="BD50" i="8"/>
  <c r="BE50" i="5"/>
  <c r="BC102" i="8"/>
  <c r="BD102" i="5"/>
  <c r="BD58" i="8"/>
  <c r="BE58" i="5"/>
  <c r="BD123" i="8"/>
  <c r="BE123" i="5"/>
  <c r="BD49" i="8"/>
  <c r="BE49" i="5"/>
  <c r="BD177" i="8"/>
  <c r="BE177" i="5"/>
  <c r="BD143" i="8"/>
  <c r="BE143" i="5"/>
  <c r="BD86" i="8"/>
  <c r="BE86" i="5"/>
  <c r="BD41" i="8"/>
  <c r="BE41" i="5"/>
  <c r="BD22" i="8"/>
  <c r="BE22" i="5"/>
  <c r="BD21" i="8"/>
  <c r="BE21" i="5"/>
  <c r="BD198" i="8"/>
  <c r="BE198" i="5"/>
  <c r="BD204" i="8"/>
  <c r="BE204" i="5"/>
  <c r="BD163" i="8"/>
  <c r="BE163" i="5"/>
  <c r="BD35" i="8"/>
  <c r="BE35" i="5"/>
  <c r="BD105" i="8"/>
  <c r="BE105" i="5"/>
  <c r="BD159" i="8"/>
  <c r="BE159" i="5"/>
  <c r="BC115" i="8"/>
  <c r="BD115" i="5"/>
  <c r="BD122" i="8"/>
  <c r="BE122" i="5"/>
  <c r="BD12" i="8"/>
  <c r="BE12" i="5"/>
  <c r="BD174" i="8"/>
  <c r="BE174" i="5"/>
  <c r="BD157" i="8"/>
  <c r="BE157" i="5"/>
  <c r="BD27" i="8"/>
  <c r="BE27" i="5"/>
  <c r="BD37" i="8"/>
  <c r="BE37" i="5"/>
  <c r="BD42" i="8"/>
  <c r="BE42" i="5"/>
  <c r="BD158" i="8"/>
  <c r="BE158" i="5"/>
  <c r="BD162" i="8"/>
  <c r="BE162" i="5"/>
  <c r="BD67" i="8"/>
  <c r="BE67" i="5"/>
  <c r="BD103" i="8"/>
  <c r="BE103" i="5"/>
  <c r="BD183" i="8"/>
  <c r="BE183" i="5"/>
  <c r="BD104" i="8"/>
  <c r="BE104" i="5"/>
  <c r="BD201" i="8"/>
  <c r="BE201" i="5"/>
  <c r="BD206" i="8"/>
  <c r="BE206" i="5"/>
  <c r="BD149" i="8"/>
  <c r="BE149" i="5"/>
  <c r="BD126" i="8"/>
  <c r="BE126" i="5"/>
  <c r="BD14" i="8"/>
  <c r="BE14" i="5"/>
  <c r="BD88" i="8"/>
  <c r="BE88" i="5"/>
  <c r="BD39" i="8"/>
  <c r="BE39" i="5"/>
  <c r="BD136" i="8"/>
  <c r="BE136" i="5"/>
  <c r="BD84" i="8"/>
  <c r="BE84" i="5"/>
  <c r="BD121" i="8"/>
  <c r="BE121" i="5"/>
  <c r="BD13" i="8"/>
  <c r="BE13" i="5"/>
  <c r="BD82" i="8"/>
  <c r="BE82" i="5"/>
  <c r="BD11" i="8"/>
  <c r="BE11" i="5"/>
  <c r="BD133" i="8"/>
  <c r="BE133" i="5"/>
  <c r="BD154" i="8"/>
  <c r="BE154" i="5"/>
  <c r="BD155" i="8"/>
  <c r="BE155" i="5"/>
  <c r="BD19" i="8"/>
  <c r="BE19" i="5"/>
  <c r="BD180" i="8"/>
  <c r="BE180" i="5"/>
  <c r="BD145" i="8"/>
  <c r="BE145" i="5"/>
  <c r="BC5" i="8"/>
  <c r="BD5" i="5"/>
  <c r="BD9" i="8"/>
  <c r="BE9" i="5"/>
  <c r="BC20" i="8"/>
  <c r="BD20" i="5"/>
  <c r="BD182" i="8"/>
  <c r="BE182" i="5"/>
  <c r="BD93" i="8"/>
  <c r="BE93" i="5"/>
  <c r="BD77" i="8"/>
  <c r="BE77" i="5"/>
  <c r="BD171" i="8"/>
  <c r="BE171" i="5"/>
  <c r="BD63" i="8"/>
  <c r="BE63" i="5"/>
  <c r="BD191" i="8"/>
  <c r="BE191" i="5"/>
  <c r="BD220" i="8"/>
  <c r="BE220" i="5"/>
  <c r="BD46" i="8"/>
  <c r="BE46" i="5"/>
  <c r="BC221" i="8"/>
  <c r="BD221" i="5"/>
  <c r="BD61" i="8"/>
  <c r="BE61" i="5"/>
  <c r="BD160" i="8"/>
  <c r="BE160" i="5"/>
  <c r="BD175" i="8"/>
  <c r="BE175" i="5"/>
  <c r="BD30" i="8"/>
  <c r="BE30" i="5"/>
  <c r="BD216" i="8"/>
  <c r="BE216" i="5"/>
  <c r="BD18" i="8"/>
  <c r="BE18" i="5"/>
  <c r="BD166" i="8"/>
  <c r="BE166" i="5"/>
  <c r="BD142" i="8"/>
  <c r="BE142" i="5"/>
  <c r="BD74" i="8"/>
  <c r="BE74" i="5"/>
  <c r="BC6" i="8"/>
  <c r="BD6" i="5"/>
  <c r="BD209" i="8"/>
  <c r="BE209" i="5"/>
  <c r="BD73" i="8"/>
  <c r="BE73" i="5"/>
  <c r="BD140" i="8"/>
  <c r="BE140" i="5"/>
  <c r="BC70" i="8"/>
  <c r="BD70" i="5"/>
  <c r="BD148" i="8"/>
  <c r="BE148" i="5"/>
  <c r="BD54" i="8"/>
  <c r="BE54" i="5"/>
  <c r="BD196" i="8"/>
  <c r="BE196" i="5"/>
  <c r="BD187" i="8"/>
  <c r="BE187" i="5"/>
  <c r="BD193" i="8"/>
  <c r="BE193" i="5"/>
  <c r="BD207" i="8"/>
  <c r="BE207" i="5"/>
  <c r="BD95" i="8"/>
  <c r="BE95" i="5"/>
  <c r="BD32" i="8"/>
  <c r="BE32" i="5"/>
  <c r="BD176" i="8"/>
  <c r="BE176" i="5"/>
  <c r="BD98" i="8"/>
  <c r="BE98" i="5"/>
  <c r="BD130" i="8"/>
  <c r="BE130" i="5"/>
  <c r="BD179" i="8"/>
  <c r="BE179" i="5"/>
  <c r="BD214" i="8"/>
  <c r="BE214" i="5"/>
  <c r="BC189" i="8"/>
  <c r="BD189" i="5"/>
  <c r="BD200" i="8"/>
  <c r="BE200" i="5"/>
  <c r="BD167" i="8"/>
  <c r="BE167" i="5"/>
  <c r="BD66" i="8"/>
  <c r="BE66" i="5"/>
  <c r="BD199" i="8"/>
  <c r="BE199" i="5"/>
  <c r="BD62" i="8"/>
  <c r="BE62" i="5"/>
  <c r="BD91" i="8"/>
  <c r="BE91" i="5"/>
  <c r="BD125" i="8"/>
  <c r="BE125" i="5"/>
  <c r="BD68" i="8"/>
  <c r="BE68" i="5"/>
  <c r="BD135" i="8"/>
  <c r="BE135" i="5"/>
  <c r="BD64" i="8"/>
  <c r="BE64" i="5"/>
  <c r="BD15" i="8"/>
  <c r="BE15" i="5"/>
  <c r="BC24" i="8"/>
  <c r="BD24" i="5"/>
  <c r="BD72" i="8"/>
  <c r="BE72" i="5"/>
  <c r="BD127" i="8"/>
  <c r="BE127" i="5"/>
  <c r="BD169" i="8"/>
  <c r="BE169" i="5"/>
  <c r="BD48" i="8"/>
  <c r="BE48" i="5"/>
  <c r="BD151" i="8"/>
  <c r="BE151" i="5"/>
  <c r="BE48" i="8" l="1"/>
  <c r="BF48" i="5"/>
  <c r="BE127" i="8"/>
  <c r="BF127" i="5"/>
  <c r="BD24" i="8"/>
  <c r="BE24" i="5"/>
  <c r="BE64" i="8"/>
  <c r="BF64" i="5"/>
  <c r="BE68" i="8"/>
  <c r="BF68" i="5"/>
  <c r="BE91" i="8"/>
  <c r="BF91" i="5"/>
  <c r="BE199" i="8"/>
  <c r="BF199" i="5"/>
  <c r="BE167" i="8"/>
  <c r="BF167" i="5"/>
  <c r="BD189" i="8"/>
  <c r="BE189" i="5"/>
  <c r="BE179" i="8"/>
  <c r="BF179" i="5"/>
  <c r="BE98" i="8"/>
  <c r="BF98" i="5"/>
  <c r="BE32" i="8"/>
  <c r="BF32" i="5"/>
  <c r="BE207" i="8"/>
  <c r="BF207" i="5"/>
  <c r="BE187" i="8"/>
  <c r="BF187" i="5"/>
  <c r="BE54" i="8"/>
  <c r="BF54" i="5"/>
  <c r="BD70" i="8"/>
  <c r="BE70" i="5"/>
  <c r="BE73" i="8"/>
  <c r="BF73" i="5"/>
  <c r="BD6" i="8"/>
  <c r="BE6" i="5"/>
  <c r="BE142" i="8"/>
  <c r="BF142" i="5"/>
  <c r="BE18" i="8"/>
  <c r="BF18" i="5"/>
  <c r="BE30" i="8"/>
  <c r="BF30" i="5"/>
  <c r="BE160" i="8"/>
  <c r="BF160" i="5"/>
  <c r="BD221" i="8"/>
  <c r="BE221" i="5"/>
  <c r="BE220" i="8"/>
  <c r="BF220" i="5"/>
  <c r="BE63" i="8"/>
  <c r="BF63" i="5"/>
  <c r="BE77" i="8"/>
  <c r="BF77" i="5"/>
  <c r="BE182" i="8"/>
  <c r="BF182" i="5"/>
  <c r="BE9" i="8"/>
  <c r="BF9" i="5"/>
  <c r="BE145" i="8"/>
  <c r="BF145" i="5"/>
  <c r="BE19" i="8"/>
  <c r="BF19" i="5"/>
  <c r="BE154" i="8"/>
  <c r="BF154" i="5"/>
  <c r="BE11" i="8"/>
  <c r="BF11" i="5"/>
  <c r="BE13" i="8"/>
  <c r="BF13" i="5"/>
  <c r="BE84" i="8"/>
  <c r="BF84" i="5"/>
  <c r="BE39" i="8"/>
  <c r="BF39" i="5"/>
  <c r="BE14" i="8"/>
  <c r="BF14" i="5"/>
  <c r="BE149" i="8"/>
  <c r="BF149" i="5"/>
  <c r="BE201" i="8"/>
  <c r="BF201" i="5"/>
  <c r="BE183" i="8"/>
  <c r="BF183" i="5"/>
  <c r="BE67" i="8"/>
  <c r="BF67" i="5"/>
  <c r="BE158" i="8"/>
  <c r="BF158" i="5"/>
  <c r="BE37" i="8"/>
  <c r="BF37" i="5"/>
  <c r="BE157" i="8"/>
  <c r="BF157" i="5"/>
  <c r="BE12" i="8"/>
  <c r="BF12" i="5"/>
  <c r="BD115" i="8"/>
  <c r="BE115" i="5"/>
  <c r="BE105" i="8"/>
  <c r="BF105" i="5"/>
  <c r="BE163" i="8"/>
  <c r="BF163" i="5"/>
  <c r="BE198" i="8"/>
  <c r="BF198" i="5"/>
  <c r="BE22" i="8"/>
  <c r="BF22" i="5"/>
  <c r="BE86" i="8"/>
  <c r="BF86" i="5"/>
  <c r="BE177" i="8"/>
  <c r="BF177" i="5"/>
  <c r="BE123" i="8"/>
  <c r="BF123" i="5"/>
  <c r="BD102" i="8"/>
  <c r="BE102" i="5"/>
  <c r="BD111" i="8"/>
  <c r="BE111" i="5"/>
  <c r="BD34" i="8"/>
  <c r="BE34" i="5"/>
  <c r="BE178" i="8"/>
  <c r="BF178" i="5"/>
  <c r="BE114" i="8"/>
  <c r="BF114" i="5"/>
  <c r="BE56" i="8"/>
  <c r="BF56" i="5"/>
  <c r="BE78" i="8"/>
  <c r="BF78" i="5"/>
  <c r="BE38" i="8"/>
  <c r="BF38" i="5"/>
  <c r="BE40" i="8"/>
  <c r="BF40" i="5"/>
  <c r="BE153" i="8"/>
  <c r="BF153" i="5"/>
  <c r="BD75" i="8"/>
  <c r="BE75" i="5"/>
  <c r="BE45" i="8"/>
  <c r="BF45" i="5"/>
  <c r="BE184" i="8"/>
  <c r="BF184" i="5"/>
  <c r="BE28" i="8"/>
  <c r="BF28" i="5"/>
  <c r="BE190" i="8"/>
  <c r="BF190" i="5"/>
  <c r="BE23" i="8"/>
  <c r="BF23" i="5"/>
  <c r="BE90" i="8"/>
  <c r="BF90" i="5"/>
  <c r="BE94" i="8"/>
  <c r="BF94" i="5"/>
  <c r="BE110" i="8"/>
  <c r="BF110" i="5"/>
  <c r="BE10" i="8"/>
  <c r="BF10" i="5"/>
  <c r="BE208" i="8"/>
  <c r="BF208" i="5"/>
  <c r="BE124" i="8"/>
  <c r="BF124" i="5"/>
  <c r="BE152" i="8"/>
  <c r="BF152" i="5"/>
  <c r="BE109" i="8"/>
  <c r="BF109" i="5"/>
  <c r="BE137" i="8"/>
  <c r="BF137" i="5"/>
  <c r="BE101" i="8"/>
  <c r="BF101" i="5"/>
  <c r="BE213" i="8"/>
  <c r="BF213" i="5"/>
  <c r="BD36" i="8"/>
  <c r="BE36" i="5"/>
  <c r="BE100" i="8"/>
  <c r="BF100" i="5"/>
  <c r="BE33" i="8"/>
  <c r="BF33" i="5"/>
  <c r="BE132" i="8"/>
  <c r="BF132" i="5"/>
  <c r="BE89" i="8"/>
  <c r="BF89" i="5"/>
  <c r="BE165" i="8"/>
  <c r="BF165" i="5"/>
  <c r="BE172" i="8"/>
  <c r="BF172" i="5"/>
  <c r="BE59" i="8"/>
  <c r="BF59" i="5"/>
  <c r="BE69" i="8"/>
  <c r="BF69" i="5"/>
  <c r="BD4" i="8"/>
  <c r="BE4" i="5"/>
  <c r="BE197" i="8"/>
  <c r="BF197" i="5"/>
  <c r="BE99" i="8"/>
  <c r="BF99" i="5"/>
  <c r="BE161" i="8"/>
  <c r="BF161" i="5"/>
  <c r="BD26" i="8"/>
  <c r="BE26" i="5"/>
  <c r="BE147" i="8"/>
  <c r="BF147" i="5"/>
  <c r="BE141" i="8"/>
  <c r="BF141" i="5"/>
  <c r="BE211" i="8"/>
  <c r="BF211" i="5"/>
  <c r="BE202" i="8"/>
  <c r="BF202" i="5"/>
  <c r="BE131" i="8"/>
  <c r="BF131" i="5"/>
  <c r="BE151" i="8"/>
  <c r="BF151" i="5"/>
  <c r="BE169" i="8"/>
  <c r="BF169" i="5"/>
  <c r="BE72" i="8"/>
  <c r="BF72" i="5"/>
  <c r="BE15" i="8"/>
  <c r="BF15" i="5"/>
  <c r="BE135" i="8"/>
  <c r="BF135" i="5"/>
  <c r="BE125" i="8"/>
  <c r="BF125" i="5"/>
  <c r="BE62" i="8"/>
  <c r="BF62" i="5"/>
  <c r="BE66" i="8"/>
  <c r="BF66" i="5"/>
  <c r="BE200" i="8"/>
  <c r="BF200" i="5"/>
  <c r="BE214" i="8"/>
  <c r="BF214" i="5"/>
  <c r="BE130" i="8"/>
  <c r="BF130" i="5"/>
  <c r="BE176" i="8"/>
  <c r="BF176" i="5"/>
  <c r="BE95" i="8"/>
  <c r="BF95" i="5"/>
  <c r="BE193" i="8"/>
  <c r="BF193" i="5"/>
  <c r="BE196" i="8"/>
  <c r="BF196" i="5"/>
  <c r="BE148" i="8"/>
  <c r="BF148" i="5"/>
  <c r="BE140" i="8"/>
  <c r="BF140" i="5"/>
  <c r="BE209" i="8"/>
  <c r="BF209" i="5"/>
  <c r="BE74" i="8"/>
  <c r="BF74" i="5"/>
  <c r="BE166" i="8"/>
  <c r="BF166" i="5"/>
  <c r="BE216" i="8"/>
  <c r="BF216" i="5"/>
  <c r="BE175" i="8"/>
  <c r="BF175" i="5"/>
  <c r="BE61" i="8"/>
  <c r="BF61" i="5"/>
  <c r="BE46" i="8"/>
  <c r="BF46" i="5"/>
  <c r="BE191" i="8"/>
  <c r="BF191" i="5"/>
  <c r="BE171" i="8"/>
  <c r="BF171" i="5"/>
  <c r="BE93" i="8"/>
  <c r="BF93" i="5"/>
  <c r="BD20" i="8"/>
  <c r="BE20" i="5"/>
  <c r="BD5" i="8"/>
  <c r="BE5" i="5"/>
  <c r="BE180" i="8"/>
  <c r="BF180" i="5"/>
  <c r="BE155" i="8"/>
  <c r="BF155" i="5"/>
  <c r="BE133" i="8"/>
  <c r="BF133" i="5"/>
  <c r="BE82" i="8"/>
  <c r="BF82" i="5"/>
  <c r="BE121" i="8"/>
  <c r="BF121" i="5"/>
  <c r="BE136" i="8"/>
  <c r="BF136" i="5"/>
  <c r="BE88" i="8"/>
  <c r="BF88" i="5"/>
  <c r="BE126" i="8"/>
  <c r="BF126" i="5"/>
  <c r="BE206" i="8"/>
  <c r="BF206" i="5"/>
  <c r="BE104" i="8"/>
  <c r="BF104" i="5"/>
  <c r="BE103" i="8"/>
  <c r="BF103" i="5"/>
  <c r="BE162" i="8"/>
  <c r="BF162" i="5"/>
  <c r="BE42" i="8"/>
  <c r="BF42" i="5"/>
  <c r="BE27" i="8"/>
  <c r="BF27" i="5"/>
  <c r="BE174" i="8"/>
  <c r="BF174" i="5"/>
  <c r="BE122" i="8"/>
  <c r="BF122" i="5"/>
  <c r="BE159" i="8"/>
  <c r="BF159" i="5"/>
  <c r="BE35" i="8"/>
  <c r="BF35" i="5"/>
  <c r="BE204" i="8"/>
  <c r="BF204" i="5"/>
  <c r="BE21" i="8"/>
  <c r="BF21" i="5"/>
  <c r="BE41" i="8"/>
  <c r="BF41" i="5"/>
  <c r="BE143" i="8"/>
  <c r="BF143" i="5"/>
  <c r="BE49" i="8"/>
  <c r="BF49" i="5"/>
  <c r="BE58" i="8"/>
  <c r="BF58" i="5"/>
  <c r="BE50" i="8"/>
  <c r="BF50" i="5"/>
  <c r="BE80" i="8"/>
  <c r="BF80" i="5"/>
  <c r="BE185" i="8"/>
  <c r="BF185" i="5"/>
  <c r="BE55" i="8"/>
  <c r="BF55" i="5"/>
  <c r="BE188" i="8"/>
  <c r="BF188" i="5"/>
  <c r="BE120" i="8"/>
  <c r="BF120" i="5"/>
  <c r="BE106" i="8"/>
  <c r="BF106" i="5"/>
  <c r="BD51" i="8"/>
  <c r="BE51" i="5"/>
  <c r="BE57" i="8"/>
  <c r="BF57" i="5"/>
  <c r="BE44" i="8"/>
  <c r="BF44" i="5"/>
  <c r="BE156" i="8"/>
  <c r="BF156" i="5"/>
  <c r="BE210" i="8"/>
  <c r="BF210" i="5"/>
  <c r="BE218" i="8"/>
  <c r="BF218" i="5"/>
  <c r="BE139" i="8"/>
  <c r="BF139" i="5"/>
  <c r="BE212" i="8"/>
  <c r="BF212" i="5"/>
  <c r="BE119" i="8"/>
  <c r="BF119" i="5"/>
  <c r="BE146" i="8"/>
  <c r="BF146" i="5"/>
  <c r="BD71" i="8"/>
  <c r="BE71" i="5"/>
  <c r="BE195" i="8"/>
  <c r="BF195" i="5"/>
  <c r="BE203" i="8"/>
  <c r="BF203" i="5"/>
  <c r="BE170" i="8"/>
  <c r="BF170" i="5"/>
  <c r="BE60" i="8"/>
  <c r="BF60" i="5"/>
  <c r="BE129" i="8"/>
  <c r="BF129" i="5"/>
  <c r="BE138" i="8"/>
  <c r="BF138" i="5"/>
  <c r="BE164" i="8"/>
  <c r="BF164" i="5"/>
  <c r="BE117" i="8"/>
  <c r="BF117" i="5"/>
  <c r="BE108" i="8"/>
  <c r="BF108" i="5"/>
  <c r="BE128" i="8"/>
  <c r="BF128" i="5"/>
  <c r="BE16" i="8"/>
  <c r="BF16" i="5"/>
  <c r="BE173" i="8"/>
  <c r="BF173" i="5"/>
  <c r="BE76" i="8"/>
  <c r="BF76" i="5"/>
  <c r="BE96" i="8"/>
  <c r="BF96" i="5"/>
  <c r="BE53" i="8"/>
  <c r="BF53" i="5"/>
  <c r="BE29" i="8"/>
  <c r="BF29" i="5"/>
  <c r="BD205" i="8"/>
  <c r="BE205" i="5"/>
  <c r="BE87" i="8"/>
  <c r="BF87" i="5"/>
  <c r="BE113" i="8"/>
  <c r="BF113" i="5"/>
  <c r="BE25" i="8"/>
  <c r="BF25" i="5"/>
  <c r="BD97" i="8"/>
  <c r="BE97" i="5"/>
  <c r="BD47" i="8"/>
  <c r="BE47" i="5"/>
  <c r="BE17" i="8"/>
  <c r="BF17" i="5"/>
  <c r="BE215" i="8"/>
  <c r="BF215" i="5"/>
  <c r="BE112" i="8"/>
  <c r="BF112" i="5"/>
  <c r="BE92" i="8"/>
  <c r="BF92" i="5"/>
  <c r="BE116" i="8"/>
  <c r="BF116" i="5"/>
  <c r="BE85" i="8"/>
  <c r="BF85" i="5"/>
  <c r="BF112" i="8" l="1"/>
  <c r="BG112" i="5"/>
  <c r="BE97" i="8"/>
  <c r="BF97" i="5"/>
  <c r="BE205" i="8"/>
  <c r="BF205" i="5"/>
  <c r="BF76" i="8"/>
  <c r="BG76" i="5"/>
  <c r="BF108" i="8"/>
  <c r="BG108" i="5"/>
  <c r="BF129" i="8"/>
  <c r="BG129" i="5"/>
  <c r="BF195" i="8"/>
  <c r="BG195" i="5"/>
  <c r="BF212" i="8"/>
  <c r="BG212" i="5"/>
  <c r="BF156" i="8"/>
  <c r="BG156" i="5"/>
  <c r="BF106" i="8"/>
  <c r="BG106" i="5"/>
  <c r="BF185" i="8"/>
  <c r="BG185" i="5"/>
  <c r="BF41" i="8"/>
  <c r="BG41" i="5"/>
  <c r="BF159" i="8"/>
  <c r="BG159" i="5"/>
  <c r="BF42" i="8"/>
  <c r="BG42" i="5"/>
  <c r="BF206" i="8"/>
  <c r="BG206" i="5"/>
  <c r="BF121" i="8"/>
  <c r="BG121" i="5"/>
  <c r="BF180" i="8"/>
  <c r="BG180" i="5"/>
  <c r="BF171" i="8"/>
  <c r="BG171" i="5"/>
  <c r="BF175" i="8"/>
  <c r="BG175" i="5"/>
  <c r="BF209" i="8"/>
  <c r="BG209" i="5"/>
  <c r="BF193" i="8"/>
  <c r="BG193" i="5"/>
  <c r="BF214" i="8"/>
  <c r="BG214" i="5"/>
  <c r="BF125" i="8"/>
  <c r="BG125" i="5"/>
  <c r="BF169" i="8"/>
  <c r="BG169" i="5"/>
  <c r="BF211" i="8"/>
  <c r="BG211" i="5"/>
  <c r="BF197" i="8"/>
  <c r="BG197" i="5"/>
  <c r="BF172" i="8"/>
  <c r="BG172" i="5"/>
  <c r="BF33" i="8"/>
  <c r="BG33" i="5"/>
  <c r="BF101" i="8"/>
  <c r="BG101" i="5"/>
  <c r="BF10" i="8"/>
  <c r="BG10" i="5"/>
  <c r="BF28" i="8"/>
  <c r="BG28" i="5"/>
  <c r="BF123" i="8"/>
  <c r="BG123" i="5"/>
  <c r="BF64" i="8"/>
  <c r="BG64" i="5"/>
  <c r="BF116" i="8"/>
  <c r="BG116" i="5"/>
  <c r="BF17" i="8"/>
  <c r="BG17" i="5"/>
  <c r="BF113" i="8"/>
  <c r="BG113" i="5"/>
  <c r="BF53" i="8"/>
  <c r="BG53" i="5"/>
  <c r="BF16" i="8"/>
  <c r="BG16" i="5"/>
  <c r="BF164" i="8"/>
  <c r="BG164" i="5"/>
  <c r="BF170" i="8"/>
  <c r="BG170" i="5"/>
  <c r="BF146" i="8"/>
  <c r="BG146" i="5"/>
  <c r="BF218" i="8"/>
  <c r="BG218" i="5"/>
  <c r="BF57" i="8"/>
  <c r="BG57" i="5"/>
  <c r="BF188" i="8"/>
  <c r="BG188" i="5"/>
  <c r="BF50" i="8"/>
  <c r="BG50" i="5"/>
  <c r="BF49" i="8"/>
  <c r="BG49" i="5"/>
  <c r="BF204" i="8"/>
  <c r="BG204" i="5"/>
  <c r="BF174" i="8"/>
  <c r="BG174" i="5"/>
  <c r="BF103" i="8"/>
  <c r="BG103" i="5"/>
  <c r="BF88" i="8"/>
  <c r="BG88" i="5"/>
  <c r="BF133" i="8"/>
  <c r="BG133" i="5"/>
  <c r="BE20" i="8"/>
  <c r="BF20" i="5"/>
  <c r="BF46" i="8"/>
  <c r="BG46" i="5"/>
  <c r="BF166" i="8"/>
  <c r="BG166" i="5"/>
  <c r="BF148" i="8"/>
  <c r="BG148" i="5"/>
  <c r="BF176" i="8"/>
  <c r="BG176" i="5"/>
  <c r="BF66" i="8"/>
  <c r="BG66" i="5"/>
  <c r="BF15" i="8"/>
  <c r="BG15" i="5"/>
  <c r="BF131" i="8"/>
  <c r="BG131" i="5"/>
  <c r="BF147" i="8"/>
  <c r="BG147" i="5"/>
  <c r="BF161" i="8"/>
  <c r="BG161" i="5"/>
  <c r="BF69" i="8"/>
  <c r="BG69" i="5"/>
  <c r="BF89" i="8"/>
  <c r="BG89" i="5"/>
  <c r="BE36" i="8"/>
  <c r="BF36" i="5"/>
  <c r="BF109" i="8"/>
  <c r="BG109" i="5"/>
  <c r="BF124" i="8"/>
  <c r="BG124" i="5"/>
  <c r="BF94" i="8"/>
  <c r="BG94" i="5"/>
  <c r="BF23" i="8"/>
  <c r="BG23" i="5"/>
  <c r="BF45" i="8"/>
  <c r="BG45" i="5"/>
  <c r="BF153" i="8"/>
  <c r="BG153" i="5"/>
  <c r="BF38" i="8"/>
  <c r="BG38" i="5"/>
  <c r="BF56" i="8"/>
  <c r="BG56" i="5"/>
  <c r="BF178" i="8"/>
  <c r="BG178" i="5"/>
  <c r="BE111" i="8"/>
  <c r="BF111" i="5"/>
  <c r="BF86" i="8"/>
  <c r="BG86" i="5"/>
  <c r="BF198" i="8"/>
  <c r="BG198" i="5"/>
  <c r="BF105" i="8"/>
  <c r="BG105" i="5"/>
  <c r="BF12" i="8"/>
  <c r="BG12" i="5"/>
  <c r="BF37" i="8"/>
  <c r="BG37" i="5"/>
  <c r="BF67" i="8"/>
  <c r="BG67" i="5"/>
  <c r="BF201" i="8"/>
  <c r="BG201" i="5"/>
  <c r="BF14" i="8"/>
  <c r="BG14" i="5"/>
  <c r="BF84" i="8"/>
  <c r="BG84" i="5"/>
  <c r="BF11" i="8"/>
  <c r="BG11" i="5"/>
  <c r="BF19" i="8"/>
  <c r="BG19" i="5"/>
  <c r="BF9" i="8"/>
  <c r="BG9" i="5"/>
  <c r="BF77" i="8"/>
  <c r="BG77" i="5"/>
  <c r="BF220" i="8"/>
  <c r="BG220" i="5"/>
  <c r="BF160" i="8"/>
  <c r="BG160" i="5"/>
  <c r="BF18" i="8"/>
  <c r="BG18" i="5"/>
  <c r="BE6" i="8"/>
  <c r="BF6" i="5"/>
  <c r="BE70" i="8"/>
  <c r="BF70" i="5"/>
  <c r="BF187" i="8"/>
  <c r="BG187" i="5"/>
  <c r="BF32" i="8"/>
  <c r="BG32" i="5"/>
  <c r="BF179" i="8"/>
  <c r="BG179" i="5"/>
  <c r="BF167" i="8"/>
  <c r="BG167" i="5"/>
  <c r="BF91" i="8"/>
  <c r="BG91" i="5"/>
  <c r="BF127" i="8"/>
  <c r="BG127" i="5"/>
  <c r="BF85" i="8"/>
  <c r="BG85" i="5"/>
  <c r="BF92" i="8"/>
  <c r="BG92" i="5"/>
  <c r="BF215" i="8"/>
  <c r="BG215" i="5"/>
  <c r="BE47" i="8"/>
  <c r="BF47" i="5"/>
  <c r="BF25" i="8"/>
  <c r="BG25" i="5"/>
  <c r="BF87" i="8"/>
  <c r="BG87" i="5"/>
  <c r="BF29" i="8"/>
  <c r="BG29" i="5"/>
  <c r="BF96" i="8"/>
  <c r="BG96" i="5"/>
  <c r="BF173" i="8"/>
  <c r="BG173" i="5"/>
  <c r="BF128" i="8"/>
  <c r="BG128" i="5"/>
  <c r="BF117" i="8"/>
  <c r="BG117" i="5"/>
  <c r="BF138" i="8"/>
  <c r="BG138" i="5"/>
  <c r="BF60" i="8"/>
  <c r="BG60" i="5"/>
  <c r="BF203" i="8"/>
  <c r="BG203" i="5"/>
  <c r="BE71" i="8"/>
  <c r="BF71" i="5"/>
  <c r="BF119" i="8"/>
  <c r="BG119" i="5"/>
  <c r="BF139" i="8"/>
  <c r="BG139" i="5"/>
  <c r="BF210" i="8"/>
  <c r="BG210" i="5"/>
  <c r="BF44" i="8"/>
  <c r="BG44" i="5"/>
  <c r="BE51" i="8"/>
  <c r="BF51" i="5"/>
  <c r="BF120" i="8"/>
  <c r="BG120" i="5"/>
  <c r="BF55" i="8"/>
  <c r="BG55" i="5"/>
  <c r="BF80" i="8"/>
  <c r="BG80" i="5"/>
  <c r="BF58" i="8"/>
  <c r="BG58" i="5"/>
  <c r="BF143" i="8"/>
  <c r="BG143" i="5"/>
  <c r="BF21" i="8"/>
  <c r="BG21" i="5"/>
  <c r="BF35" i="8"/>
  <c r="BG35" i="5"/>
  <c r="BF122" i="8"/>
  <c r="BG122" i="5"/>
  <c r="BF27" i="8"/>
  <c r="BG27" i="5"/>
  <c r="BF162" i="8"/>
  <c r="BG162" i="5"/>
  <c r="BF104" i="8"/>
  <c r="BG104" i="5"/>
  <c r="BF126" i="8"/>
  <c r="BG126" i="5"/>
  <c r="BF136" i="8"/>
  <c r="BG136" i="5"/>
  <c r="BF82" i="8"/>
  <c r="BG82" i="5"/>
  <c r="BF155" i="8"/>
  <c r="BG155" i="5"/>
  <c r="BE5" i="8"/>
  <c r="BF5" i="5"/>
  <c r="BF93" i="8"/>
  <c r="BG93" i="5"/>
  <c r="BF191" i="8"/>
  <c r="BG191" i="5"/>
  <c r="BF61" i="8"/>
  <c r="BG61" i="5"/>
  <c r="BF216" i="8"/>
  <c r="BG216" i="5"/>
  <c r="BF74" i="8"/>
  <c r="BG74" i="5"/>
  <c r="BF140" i="8"/>
  <c r="BG140" i="5"/>
  <c r="BF196" i="8"/>
  <c r="BG196" i="5"/>
  <c r="BF95" i="8"/>
  <c r="BG95" i="5"/>
  <c r="BF130" i="8"/>
  <c r="BG130" i="5"/>
  <c r="BF200" i="8"/>
  <c r="BG200" i="5"/>
  <c r="BF62" i="8"/>
  <c r="BG62" i="5"/>
  <c r="BF135" i="8"/>
  <c r="BG135" i="5"/>
  <c r="BF72" i="8"/>
  <c r="BG72" i="5"/>
  <c r="BF151" i="8"/>
  <c r="BG151" i="5"/>
  <c r="BF202" i="8"/>
  <c r="BG202" i="5"/>
  <c r="BF141" i="8"/>
  <c r="BG141" i="5"/>
  <c r="BE26" i="8"/>
  <c r="BF26" i="5"/>
  <c r="BF99" i="8"/>
  <c r="BG99" i="5"/>
  <c r="BE4" i="8"/>
  <c r="BF4" i="5"/>
  <c r="BF59" i="8"/>
  <c r="BG59" i="5"/>
  <c r="BF165" i="8"/>
  <c r="BG165" i="5"/>
  <c r="BF132" i="8"/>
  <c r="BG132" i="5"/>
  <c r="BF100" i="8"/>
  <c r="BG100" i="5"/>
  <c r="BF213" i="8"/>
  <c r="BG213" i="5"/>
  <c r="BF137" i="8"/>
  <c r="BG137" i="5"/>
  <c r="BF152" i="8"/>
  <c r="BG152" i="5"/>
  <c r="BF208" i="8"/>
  <c r="BG208" i="5"/>
  <c r="BF110" i="8"/>
  <c r="BG110" i="5"/>
  <c r="BF90" i="8"/>
  <c r="BG90" i="5"/>
  <c r="BF190" i="8"/>
  <c r="BG190" i="5"/>
  <c r="BF184" i="8"/>
  <c r="BG184" i="5"/>
  <c r="BE75" i="8"/>
  <c r="BF75" i="5"/>
  <c r="BF40" i="8"/>
  <c r="BG40" i="5"/>
  <c r="BF78" i="8"/>
  <c r="BG78" i="5"/>
  <c r="BF114" i="8"/>
  <c r="BG114" i="5"/>
  <c r="BE34" i="8"/>
  <c r="BF34" i="5"/>
  <c r="BE102" i="8"/>
  <c r="BF102" i="5"/>
  <c r="BF177" i="8"/>
  <c r="BG177" i="5"/>
  <c r="BF22" i="8"/>
  <c r="BG22" i="5"/>
  <c r="BF163" i="8"/>
  <c r="BG163" i="5"/>
  <c r="BE115" i="8"/>
  <c r="BF115" i="5"/>
  <c r="BF157" i="8"/>
  <c r="BG157" i="5"/>
  <c r="BF158" i="8"/>
  <c r="BG158" i="5"/>
  <c r="BF183" i="8"/>
  <c r="BG183" i="5"/>
  <c r="BF149" i="8"/>
  <c r="BG149" i="5"/>
  <c r="BF39" i="8"/>
  <c r="BG39" i="5"/>
  <c r="BF13" i="8"/>
  <c r="BG13" i="5"/>
  <c r="BF154" i="8"/>
  <c r="BG154" i="5"/>
  <c r="BF145" i="8"/>
  <c r="BG145" i="5"/>
  <c r="BF182" i="8"/>
  <c r="BG182" i="5"/>
  <c r="BF63" i="8"/>
  <c r="BG63" i="5"/>
  <c r="BE221" i="8"/>
  <c r="BF221" i="5"/>
  <c r="BF30" i="8"/>
  <c r="BG30" i="5"/>
  <c r="BF142" i="8"/>
  <c r="BG142" i="5"/>
  <c r="BF73" i="8"/>
  <c r="BG73" i="5"/>
  <c r="BF54" i="8"/>
  <c r="BG54" i="5"/>
  <c r="BF207" i="8"/>
  <c r="BG207" i="5"/>
  <c r="BF98" i="8"/>
  <c r="BG98" i="5"/>
  <c r="BE189" i="8"/>
  <c r="BF189" i="5"/>
  <c r="BF199" i="8"/>
  <c r="BG199" i="5"/>
  <c r="BF68" i="8"/>
  <c r="BG68" i="5"/>
  <c r="BE24" i="8"/>
  <c r="BF24" i="5"/>
  <c r="BF48" i="8"/>
  <c r="BG48" i="5"/>
  <c r="BF24" i="8" l="1"/>
  <c r="BG24" i="5"/>
  <c r="BG39" i="8"/>
  <c r="BH39" i="5"/>
  <c r="BG213" i="8"/>
  <c r="BH213" i="5"/>
  <c r="BG122" i="8"/>
  <c r="BH122" i="5"/>
  <c r="BG12" i="8"/>
  <c r="BH12" i="5"/>
  <c r="BG129" i="8"/>
  <c r="BH129" i="5"/>
  <c r="BG54" i="8"/>
  <c r="BH54" i="5"/>
  <c r="BF221" i="8"/>
  <c r="BG221" i="5"/>
  <c r="BG154" i="8"/>
  <c r="BH154" i="5"/>
  <c r="BG157" i="8"/>
  <c r="BH157" i="5"/>
  <c r="BG177" i="8"/>
  <c r="BH177" i="5"/>
  <c r="BG78" i="8"/>
  <c r="BH78" i="5"/>
  <c r="BG190" i="8"/>
  <c r="BH190" i="5"/>
  <c r="BG152" i="8"/>
  <c r="BH152" i="5"/>
  <c r="BG59" i="8"/>
  <c r="BH59" i="5"/>
  <c r="BG141" i="8"/>
  <c r="BH141" i="5"/>
  <c r="BG135" i="8"/>
  <c r="BH135" i="5"/>
  <c r="BG95" i="8"/>
  <c r="BH95" i="5"/>
  <c r="BG216" i="8"/>
  <c r="BH216" i="5"/>
  <c r="BF5" i="8"/>
  <c r="BG5" i="5"/>
  <c r="BG126" i="8"/>
  <c r="BH126" i="5"/>
  <c r="BG21" i="8"/>
  <c r="BH21" i="5"/>
  <c r="BG55" i="8"/>
  <c r="BH55" i="5"/>
  <c r="BG210" i="8"/>
  <c r="BH210" i="5"/>
  <c r="BG203" i="8"/>
  <c r="BH203" i="5"/>
  <c r="BG128" i="8"/>
  <c r="BH128" i="5"/>
  <c r="BG87" i="8"/>
  <c r="BH87" i="5"/>
  <c r="BG92" i="8"/>
  <c r="BH92" i="5"/>
  <c r="BG167" i="8"/>
  <c r="BH167" i="5"/>
  <c r="BF70" i="8"/>
  <c r="BG70" i="5"/>
  <c r="BG220" i="8"/>
  <c r="BH220" i="5"/>
  <c r="BG11" i="8"/>
  <c r="BH11" i="5"/>
  <c r="BG67" i="8"/>
  <c r="BH67" i="5"/>
  <c r="BF111" i="8"/>
  <c r="BG111" i="5"/>
  <c r="BG153" i="8"/>
  <c r="BH153" i="5"/>
  <c r="BG124" i="8"/>
  <c r="BH124" i="5"/>
  <c r="BG69" i="8"/>
  <c r="BH69" i="5"/>
  <c r="BG15" i="8"/>
  <c r="BH15" i="5"/>
  <c r="BG166" i="8"/>
  <c r="BH166" i="5"/>
  <c r="BG88" i="8"/>
  <c r="BH88" i="5"/>
  <c r="BG49" i="8"/>
  <c r="BH49" i="5"/>
  <c r="BG218" i="8"/>
  <c r="BH218" i="5"/>
  <c r="BG16" i="8"/>
  <c r="BH16" i="5"/>
  <c r="BG116" i="8"/>
  <c r="BH116" i="5"/>
  <c r="BG33" i="8"/>
  <c r="BH33" i="5"/>
  <c r="BG209" i="8"/>
  <c r="BH209" i="5"/>
  <c r="BG76" i="8"/>
  <c r="BH76" i="5"/>
  <c r="BG199" i="8"/>
  <c r="BH199" i="5"/>
  <c r="BG142" i="8"/>
  <c r="BH142" i="5"/>
  <c r="BG182" i="8"/>
  <c r="BH182" i="5"/>
  <c r="BG183" i="8"/>
  <c r="BH183" i="5"/>
  <c r="BG163" i="8"/>
  <c r="BH163" i="5"/>
  <c r="BF34" i="8"/>
  <c r="BG34" i="5"/>
  <c r="BF75" i="8"/>
  <c r="BG75" i="5"/>
  <c r="BG110" i="8"/>
  <c r="BH110" i="5"/>
  <c r="BG132" i="8"/>
  <c r="BH132" i="5"/>
  <c r="BG99" i="8"/>
  <c r="BH99" i="5"/>
  <c r="BG151" i="8"/>
  <c r="BH151" i="5"/>
  <c r="BG200" i="8"/>
  <c r="BH200" i="5"/>
  <c r="BG140" i="8"/>
  <c r="BH140" i="5"/>
  <c r="BG191" i="8"/>
  <c r="BH191" i="5"/>
  <c r="BG82" i="8"/>
  <c r="BH82" i="5"/>
  <c r="BG162" i="8"/>
  <c r="BH162" i="5"/>
  <c r="BG58" i="8"/>
  <c r="BH58" i="5"/>
  <c r="BF51" i="8"/>
  <c r="BG51" i="5"/>
  <c r="BG119" i="8"/>
  <c r="BH119" i="5"/>
  <c r="BG138" i="8"/>
  <c r="BH138" i="5"/>
  <c r="BG96" i="8"/>
  <c r="BH96" i="5"/>
  <c r="BF47" i="8"/>
  <c r="BG47" i="5"/>
  <c r="BG127" i="8"/>
  <c r="BH127" i="5"/>
  <c r="BG32" i="8"/>
  <c r="BH32" i="5"/>
  <c r="BG18" i="8"/>
  <c r="BH18" i="5"/>
  <c r="BG9" i="8"/>
  <c r="BH9" i="5"/>
  <c r="BG14" i="8"/>
  <c r="BH14" i="5"/>
  <c r="BG198" i="8"/>
  <c r="BH198" i="5"/>
  <c r="BG56" i="8"/>
  <c r="BH56" i="5"/>
  <c r="BG23" i="8"/>
  <c r="BH23" i="5"/>
  <c r="BF36" i="8"/>
  <c r="BG36" i="5"/>
  <c r="BG147" i="8"/>
  <c r="BH147" i="5"/>
  <c r="BG176" i="8"/>
  <c r="BH176" i="5"/>
  <c r="BF20" i="8"/>
  <c r="BG20" i="5"/>
  <c r="BG174" i="8"/>
  <c r="BH174" i="5"/>
  <c r="BG188" i="8"/>
  <c r="BH188" i="5"/>
  <c r="BG170" i="8"/>
  <c r="BH170" i="5"/>
  <c r="BG113" i="8"/>
  <c r="BH113" i="5"/>
  <c r="BG123" i="8"/>
  <c r="BH123" i="5"/>
  <c r="BG10" i="8"/>
  <c r="BH10" i="5"/>
  <c r="BG197" i="8"/>
  <c r="BH197" i="5"/>
  <c r="BG169" i="8"/>
  <c r="BH169" i="5"/>
  <c r="BG214" i="8"/>
  <c r="BH214" i="5"/>
  <c r="BG171" i="8"/>
  <c r="BH171" i="5"/>
  <c r="BG121" i="8"/>
  <c r="BH121" i="5"/>
  <c r="BG42" i="8"/>
  <c r="BH42" i="5"/>
  <c r="BG41" i="8"/>
  <c r="BH41" i="5"/>
  <c r="BG106" i="8"/>
  <c r="BH106" i="5"/>
  <c r="BG212" i="8"/>
  <c r="BH212" i="5"/>
  <c r="BF97" i="8"/>
  <c r="BG97" i="5"/>
  <c r="BG48" i="8"/>
  <c r="BH48" i="5"/>
  <c r="BG68" i="8"/>
  <c r="BH68" i="5"/>
  <c r="BF189" i="8"/>
  <c r="BG189" i="5"/>
  <c r="BG207" i="8"/>
  <c r="BH207" i="5"/>
  <c r="BG73" i="8"/>
  <c r="BH73" i="5"/>
  <c r="BG30" i="8"/>
  <c r="BH30" i="5"/>
  <c r="BG63" i="8"/>
  <c r="BH63" i="5"/>
  <c r="BG145" i="8"/>
  <c r="BH145" i="5"/>
  <c r="BG13" i="8"/>
  <c r="BH13" i="5"/>
  <c r="BG149" i="8"/>
  <c r="BH149" i="5"/>
  <c r="BG158" i="8"/>
  <c r="BH158" i="5"/>
  <c r="BF115" i="8"/>
  <c r="BG115" i="5"/>
  <c r="BG22" i="8"/>
  <c r="BH22" i="5"/>
  <c r="BF102" i="8"/>
  <c r="BG102" i="5"/>
  <c r="BG114" i="8"/>
  <c r="BH114" i="5"/>
  <c r="BG40" i="8"/>
  <c r="BH40" i="5"/>
  <c r="BG184" i="8"/>
  <c r="BH184" i="5"/>
  <c r="BG90" i="8"/>
  <c r="BH90" i="5"/>
  <c r="BG208" i="8"/>
  <c r="BH208" i="5"/>
  <c r="BG137" i="8"/>
  <c r="BH137" i="5"/>
  <c r="BG100" i="8"/>
  <c r="BH100" i="5"/>
  <c r="BG165" i="8"/>
  <c r="BH165" i="5"/>
  <c r="BF4" i="8"/>
  <c r="BG4" i="5"/>
  <c r="BF26" i="8"/>
  <c r="BG26" i="5"/>
  <c r="BG202" i="8"/>
  <c r="BH202" i="5"/>
  <c r="BG72" i="8"/>
  <c r="BH72" i="5"/>
  <c r="BG62" i="8"/>
  <c r="BH62" i="5"/>
  <c r="BG130" i="8"/>
  <c r="BH130" i="5"/>
  <c r="BG196" i="8"/>
  <c r="BH196" i="5"/>
  <c r="BG74" i="8"/>
  <c r="BH74" i="5"/>
  <c r="BG61" i="8"/>
  <c r="BH61" i="5"/>
  <c r="BG93" i="8"/>
  <c r="BH93" i="5"/>
  <c r="BG155" i="8"/>
  <c r="BH155" i="5"/>
  <c r="BG136" i="8"/>
  <c r="BH136" i="5"/>
  <c r="BG104" i="8"/>
  <c r="BH104" i="5"/>
  <c r="BG27" i="8"/>
  <c r="BH27" i="5"/>
  <c r="BG35" i="8"/>
  <c r="BH35" i="5"/>
  <c r="BG143" i="8"/>
  <c r="BH143" i="5"/>
  <c r="BG80" i="8"/>
  <c r="BH80" i="5"/>
  <c r="BG120" i="8"/>
  <c r="BH120" i="5"/>
  <c r="BG44" i="8"/>
  <c r="BH44" i="5"/>
  <c r="BG139" i="8"/>
  <c r="BH139" i="5"/>
  <c r="BF71" i="8"/>
  <c r="BG71" i="5"/>
  <c r="BG60" i="8"/>
  <c r="BH60" i="5"/>
  <c r="BG117" i="8"/>
  <c r="BH117" i="5"/>
  <c r="BG173" i="8"/>
  <c r="BH173" i="5"/>
  <c r="BG29" i="8"/>
  <c r="BH29" i="5"/>
  <c r="BG25" i="8"/>
  <c r="BH25" i="5"/>
  <c r="BG215" i="8"/>
  <c r="BH215" i="5"/>
  <c r="BG85" i="8"/>
  <c r="BH85" i="5"/>
  <c r="BG91" i="8"/>
  <c r="BH91" i="5"/>
  <c r="BG179" i="8"/>
  <c r="BH179" i="5"/>
  <c r="BG187" i="8"/>
  <c r="BH187" i="5"/>
  <c r="BF6" i="8"/>
  <c r="BG6" i="5"/>
  <c r="BG160" i="8"/>
  <c r="BH160" i="5"/>
  <c r="BG77" i="8"/>
  <c r="BH77" i="5"/>
  <c r="BG19" i="8"/>
  <c r="BH19" i="5"/>
  <c r="BG84" i="8"/>
  <c r="BH84" i="5"/>
  <c r="BG201" i="8"/>
  <c r="BH201" i="5"/>
  <c r="BG37" i="8"/>
  <c r="BH37" i="5"/>
  <c r="BG105" i="8"/>
  <c r="BH105" i="5"/>
  <c r="BG86" i="8"/>
  <c r="BH86" i="5"/>
  <c r="BG178" i="8"/>
  <c r="BH178" i="5"/>
  <c r="BG38" i="8"/>
  <c r="BH38" i="5"/>
  <c r="BG45" i="8"/>
  <c r="BH45" i="5"/>
  <c r="BG94" i="8"/>
  <c r="BH94" i="5"/>
  <c r="BG109" i="8"/>
  <c r="BH109" i="5"/>
  <c r="BG89" i="8"/>
  <c r="BH89" i="5"/>
  <c r="BG161" i="8"/>
  <c r="BH161" i="5"/>
  <c r="BG131" i="8"/>
  <c r="BH131" i="5"/>
  <c r="BG66" i="8"/>
  <c r="BH66" i="5"/>
  <c r="BG148" i="8"/>
  <c r="BH148" i="5"/>
  <c r="BG46" i="8"/>
  <c r="BH46" i="5"/>
  <c r="BG133" i="8"/>
  <c r="BH133" i="5"/>
  <c r="BG103" i="8"/>
  <c r="BH103" i="5"/>
  <c r="BG204" i="8"/>
  <c r="BH204" i="5"/>
  <c r="BG50" i="8"/>
  <c r="BH50" i="5"/>
  <c r="BG57" i="8"/>
  <c r="BH57" i="5"/>
  <c r="BG146" i="8"/>
  <c r="BH146" i="5"/>
  <c r="BG164" i="8"/>
  <c r="BH164" i="5"/>
  <c r="BG53" i="8"/>
  <c r="BH53" i="5"/>
  <c r="BG17" i="8"/>
  <c r="BH17" i="5"/>
  <c r="BG64" i="8"/>
  <c r="BH64" i="5"/>
  <c r="BG28" i="8"/>
  <c r="BH28" i="5"/>
  <c r="BG101" i="8"/>
  <c r="BH101" i="5"/>
  <c r="BG172" i="8"/>
  <c r="BH172" i="5"/>
  <c r="BG211" i="8"/>
  <c r="BH211" i="5"/>
  <c r="BG125" i="8"/>
  <c r="BH125" i="5"/>
  <c r="BG193" i="8"/>
  <c r="BH193" i="5"/>
  <c r="BG175" i="8"/>
  <c r="BH175" i="5"/>
  <c r="BG180" i="8"/>
  <c r="BH180" i="5"/>
  <c r="BG206" i="8"/>
  <c r="BH206" i="5"/>
  <c r="BG159" i="8"/>
  <c r="BH159" i="5"/>
  <c r="BG185" i="8"/>
  <c r="BH185" i="5"/>
  <c r="BG156" i="8"/>
  <c r="BH156" i="5"/>
  <c r="BG195" i="8"/>
  <c r="BH195" i="5"/>
  <c r="BG108" i="8"/>
  <c r="BH108" i="5"/>
  <c r="BF205" i="8"/>
  <c r="BG205" i="5"/>
  <c r="BG112" i="8"/>
  <c r="BH112" i="5"/>
  <c r="BG98" i="8"/>
  <c r="BH98" i="5"/>
  <c r="BH108" i="8" l="1"/>
  <c r="BI108" i="5"/>
  <c r="BH159" i="8"/>
  <c r="BI159" i="5"/>
  <c r="BH193" i="8"/>
  <c r="BI193" i="5"/>
  <c r="BH101" i="8"/>
  <c r="BI101" i="5"/>
  <c r="BH53" i="8"/>
  <c r="BI53" i="5"/>
  <c r="BH50" i="8"/>
  <c r="BI50" i="5"/>
  <c r="BH46" i="8"/>
  <c r="BI46" i="5"/>
  <c r="BH161" i="8"/>
  <c r="BI161" i="5"/>
  <c r="BH45" i="8"/>
  <c r="BI45" i="5"/>
  <c r="BH105" i="8"/>
  <c r="BI105" i="5"/>
  <c r="BH19" i="8"/>
  <c r="BI19" i="5"/>
  <c r="BH187" i="8"/>
  <c r="BI187" i="5"/>
  <c r="BH215" i="8"/>
  <c r="BI215" i="5"/>
  <c r="BH117" i="8"/>
  <c r="BI117" i="5"/>
  <c r="BH44" i="8"/>
  <c r="BI44" i="5"/>
  <c r="BH35" i="8"/>
  <c r="BI35" i="5"/>
  <c r="BH155" i="8"/>
  <c r="BI155" i="5"/>
  <c r="BH62" i="8"/>
  <c r="BI62" i="5"/>
  <c r="BG4" i="8"/>
  <c r="BH4" i="5"/>
  <c r="BH208" i="8"/>
  <c r="BI208" i="5"/>
  <c r="BH114" i="8"/>
  <c r="BI114" i="5"/>
  <c r="BH158" i="8"/>
  <c r="BI158" i="5"/>
  <c r="BH63" i="8"/>
  <c r="BI63" i="5"/>
  <c r="BG189" i="8"/>
  <c r="BH189" i="5"/>
  <c r="BH212" i="8"/>
  <c r="BI212" i="5"/>
  <c r="BH121" i="8"/>
  <c r="BI121" i="5"/>
  <c r="BH197" i="8"/>
  <c r="BI197" i="5"/>
  <c r="BH170" i="8"/>
  <c r="BI170" i="5"/>
  <c r="BH176" i="8"/>
  <c r="BI176" i="5"/>
  <c r="BH56" i="8"/>
  <c r="BI56" i="5"/>
  <c r="BH18" i="8"/>
  <c r="BI18" i="5"/>
  <c r="BH96" i="8"/>
  <c r="BI96" i="5"/>
  <c r="BH58" i="8"/>
  <c r="BI58" i="5"/>
  <c r="BH140" i="8"/>
  <c r="BI140" i="5"/>
  <c r="BG75" i="8"/>
  <c r="BH75" i="5"/>
  <c r="BH199" i="8"/>
  <c r="BI199" i="5"/>
  <c r="BH15" i="8"/>
  <c r="BI15" i="5"/>
  <c r="BH122" i="8"/>
  <c r="BI122" i="5"/>
  <c r="BH112" i="8"/>
  <c r="BI112" i="5"/>
  <c r="BH156" i="8"/>
  <c r="BI156" i="5"/>
  <c r="BH180" i="8"/>
  <c r="BI180" i="5"/>
  <c r="BH211" i="8"/>
  <c r="BI211" i="5"/>
  <c r="BH64" i="8"/>
  <c r="BI64" i="5"/>
  <c r="BH146" i="8"/>
  <c r="BI146" i="5"/>
  <c r="BH103" i="8"/>
  <c r="BI103" i="5"/>
  <c r="BH66" i="8"/>
  <c r="BI66" i="5"/>
  <c r="BH109" i="8"/>
  <c r="BI109" i="5"/>
  <c r="BH178" i="8"/>
  <c r="BI178" i="5"/>
  <c r="BH201" i="8"/>
  <c r="BI201" i="5"/>
  <c r="BH160" i="8"/>
  <c r="BI160" i="5"/>
  <c r="BH91" i="8"/>
  <c r="BI91" i="5"/>
  <c r="BH29" i="8"/>
  <c r="BI29" i="5"/>
  <c r="BG71" i="8"/>
  <c r="BH71" i="5"/>
  <c r="BH80" i="8"/>
  <c r="BI80" i="5"/>
  <c r="BH104" i="8"/>
  <c r="BI104" i="5"/>
  <c r="BH61" i="8"/>
  <c r="BI61" i="5"/>
  <c r="BH196" i="8"/>
  <c r="BI196" i="5"/>
  <c r="BH202" i="8"/>
  <c r="BI202" i="5"/>
  <c r="BH100" i="8"/>
  <c r="BI100" i="5"/>
  <c r="BH184" i="8"/>
  <c r="BI184" i="5"/>
  <c r="BH22" i="8"/>
  <c r="BI22" i="5"/>
  <c r="BH13" i="8"/>
  <c r="BI13" i="5"/>
  <c r="BH73" i="8"/>
  <c r="BI73" i="5"/>
  <c r="BH48" i="8"/>
  <c r="BI48" i="5"/>
  <c r="BH41" i="8"/>
  <c r="BI41" i="5"/>
  <c r="BH214" i="8"/>
  <c r="BI214" i="5"/>
  <c r="BH123" i="8"/>
  <c r="BI123" i="5"/>
  <c r="BH174" i="8"/>
  <c r="BI174" i="5"/>
  <c r="BG36" i="8"/>
  <c r="BH36" i="5"/>
  <c r="BH14" i="8"/>
  <c r="BI14" i="5"/>
  <c r="BH127" i="8"/>
  <c r="BI127" i="5"/>
  <c r="BH119" i="8"/>
  <c r="BI119" i="5"/>
  <c r="BH82" i="8"/>
  <c r="BI82" i="5"/>
  <c r="BH151" i="8"/>
  <c r="BI151" i="5"/>
  <c r="BH132" i="8"/>
  <c r="BI132" i="5"/>
  <c r="BH163" i="8"/>
  <c r="BI163" i="5"/>
  <c r="BH182" i="8"/>
  <c r="BI182" i="5"/>
  <c r="BH209" i="8"/>
  <c r="BI209" i="5"/>
  <c r="BH116" i="8"/>
  <c r="BI116" i="5"/>
  <c r="BH218" i="8"/>
  <c r="BI218" i="5"/>
  <c r="BH88" i="8"/>
  <c r="BI88" i="5"/>
  <c r="BH124" i="8"/>
  <c r="BI124" i="5"/>
  <c r="BG111" i="8"/>
  <c r="BH111" i="5"/>
  <c r="BH11" i="8"/>
  <c r="BI11" i="5"/>
  <c r="BG70" i="8"/>
  <c r="BH70" i="5"/>
  <c r="BH92" i="8"/>
  <c r="BI92" i="5"/>
  <c r="BH128" i="8"/>
  <c r="BI128" i="5"/>
  <c r="BH210" i="8"/>
  <c r="BI210" i="5"/>
  <c r="BH21" i="8"/>
  <c r="BI21" i="5"/>
  <c r="BG5" i="8"/>
  <c r="BH5" i="5"/>
  <c r="BH95" i="8"/>
  <c r="BI95" i="5"/>
  <c r="BH141" i="8"/>
  <c r="BI141" i="5"/>
  <c r="BH152" i="8"/>
  <c r="BI152" i="5"/>
  <c r="BH78" i="8"/>
  <c r="BI78" i="5"/>
  <c r="BH157" i="8"/>
  <c r="BI157" i="5"/>
  <c r="BG221" i="8"/>
  <c r="BH221" i="5"/>
  <c r="BH129" i="8"/>
  <c r="BI129" i="5"/>
  <c r="BH39" i="8"/>
  <c r="BI39" i="5"/>
  <c r="BH98" i="8"/>
  <c r="BI98" i="5"/>
  <c r="BG205" i="8"/>
  <c r="BH205" i="5"/>
  <c r="BH195" i="8"/>
  <c r="BI195" i="5"/>
  <c r="BH185" i="8"/>
  <c r="BI185" i="5"/>
  <c r="BH206" i="8"/>
  <c r="BI206" i="5"/>
  <c r="BH175" i="8"/>
  <c r="BI175" i="5"/>
  <c r="BH125" i="8"/>
  <c r="BI125" i="5"/>
  <c r="BH172" i="8"/>
  <c r="BI172" i="5"/>
  <c r="BH28" i="8"/>
  <c r="BI28" i="5"/>
  <c r="BH17" i="8"/>
  <c r="BI17" i="5"/>
  <c r="BH164" i="8"/>
  <c r="BI164" i="5"/>
  <c r="BH57" i="8"/>
  <c r="BI57" i="5"/>
  <c r="BH204" i="8"/>
  <c r="BI204" i="5"/>
  <c r="BH133" i="8"/>
  <c r="BI133" i="5"/>
  <c r="BH148" i="8"/>
  <c r="BI148" i="5"/>
  <c r="BH131" i="8"/>
  <c r="BI131" i="5"/>
  <c r="BH89" i="8"/>
  <c r="BI89" i="5"/>
  <c r="BH94" i="8"/>
  <c r="BI94" i="5"/>
  <c r="BH38" i="8"/>
  <c r="BI38" i="5"/>
  <c r="BH86" i="8"/>
  <c r="BI86" i="5"/>
  <c r="BH37" i="8"/>
  <c r="BI37" i="5"/>
  <c r="BH84" i="8"/>
  <c r="BI84" i="5"/>
  <c r="BH77" i="8"/>
  <c r="BI77" i="5"/>
  <c r="BG6" i="8"/>
  <c r="BH6" i="5"/>
  <c r="BH179" i="8"/>
  <c r="BI179" i="5"/>
  <c r="BH85" i="8"/>
  <c r="BI85" i="5"/>
  <c r="BH25" i="8"/>
  <c r="BI25" i="5"/>
  <c r="BH173" i="8"/>
  <c r="BI173" i="5"/>
  <c r="BH60" i="8"/>
  <c r="BI60" i="5"/>
  <c r="BH139" i="8"/>
  <c r="BI139" i="5"/>
  <c r="BH120" i="8"/>
  <c r="BI120" i="5"/>
  <c r="BH143" i="8"/>
  <c r="BI143" i="5"/>
  <c r="BH27" i="8"/>
  <c r="BI27" i="5"/>
  <c r="BH136" i="8"/>
  <c r="BI136" i="5"/>
  <c r="BH93" i="8"/>
  <c r="BI93" i="5"/>
  <c r="BH74" i="8"/>
  <c r="BI74" i="5"/>
  <c r="BH130" i="8"/>
  <c r="BI130" i="5"/>
  <c r="BH72" i="8"/>
  <c r="BI72" i="5"/>
  <c r="BG26" i="8"/>
  <c r="BH26" i="5"/>
  <c r="BH165" i="8"/>
  <c r="BI165" i="5"/>
  <c r="BH137" i="8"/>
  <c r="BI137" i="5"/>
  <c r="BH90" i="8"/>
  <c r="BI90" i="5"/>
  <c r="BH40" i="8"/>
  <c r="BI40" i="5"/>
  <c r="BG102" i="8"/>
  <c r="BH102" i="5"/>
  <c r="BG115" i="8"/>
  <c r="BH115" i="5"/>
  <c r="BH149" i="8"/>
  <c r="BI149" i="5"/>
  <c r="BH145" i="8"/>
  <c r="BI145" i="5"/>
  <c r="BH30" i="8"/>
  <c r="BI30" i="5"/>
  <c r="BH207" i="8"/>
  <c r="BI207" i="5"/>
  <c r="BH68" i="8"/>
  <c r="BI68" i="5"/>
  <c r="BG97" i="8"/>
  <c r="BH97" i="5"/>
  <c r="BH106" i="8"/>
  <c r="BI106" i="5"/>
  <c r="BH42" i="8"/>
  <c r="BI42" i="5"/>
  <c r="BH171" i="8"/>
  <c r="BI171" i="5"/>
  <c r="BH169" i="8"/>
  <c r="BI169" i="5"/>
  <c r="BH10" i="8"/>
  <c r="BI10" i="5"/>
  <c r="BH113" i="8"/>
  <c r="BI113" i="5"/>
  <c r="BH188" i="8"/>
  <c r="BI188" i="5"/>
  <c r="BG20" i="8"/>
  <c r="BH20" i="5"/>
  <c r="BH147" i="8"/>
  <c r="BI147" i="5"/>
  <c r="BH23" i="8"/>
  <c r="BI23" i="5"/>
  <c r="BH198" i="8"/>
  <c r="BI198" i="5"/>
  <c r="BH9" i="8"/>
  <c r="BI9" i="5"/>
  <c r="BH32" i="8"/>
  <c r="BI32" i="5"/>
  <c r="BG47" i="8"/>
  <c r="BH47" i="5"/>
  <c r="BH138" i="8"/>
  <c r="BI138" i="5"/>
  <c r="BG51" i="8"/>
  <c r="BH51" i="5"/>
  <c r="BH162" i="8"/>
  <c r="BI162" i="5"/>
  <c r="BH191" i="8"/>
  <c r="BI191" i="5"/>
  <c r="BH200" i="8"/>
  <c r="BI200" i="5"/>
  <c r="BH99" i="8"/>
  <c r="BI99" i="5"/>
  <c r="BH110" i="8"/>
  <c r="BI110" i="5"/>
  <c r="BG34" i="8"/>
  <c r="BH34" i="5"/>
  <c r="BH183" i="8"/>
  <c r="BI183" i="5"/>
  <c r="BH142" i="8"/>
  <c r="BI142" i="5"/>
  <c r="BH76" i="8"/>
  <c r="BI76" i="5"/>
  <c r="BH33" i="8"/>
  <c r="BI33" i="5"/>
  <c r="BH16" i="8"/>
  <c r="BI16" i="5"/>
  <c r="BH49" i="8"/>
  <c r="BI49" i="5"/>
  <c r="BH166" i="8"/>
  <c r="BI166" i="5"/>
  <c r="BH69" i="8"/>
  <c r="BI69" i="5"/>
  <c r="BH153" i="8"/>
  <c r="BI153" i="5"/>
  <c r="BH67" i="8"/>
  <c r="BI67" i="5"/>
  <c r="BH220" i="8"/>
  <c r="BI220" i="5"/>
  <c r="BH167" i="8"/>
  <c r="BI167" i="5"/>
  <c r="BH87" i="8"/>
  <c r="BI87" i="5"/>
  <c r="BH203" i="8"/>
  <c r="BI203" i="5"/>
  <c r="BH55" i="8"/>
  <c r="BI55" i="5"/>
  <c r="BH126" i="8"/>
  <c r="BI126" i="5"/>
  <c r="BH216" i="8"/>
  <c r="BI216" i="5"/>
  <c r="BH135" i="8"/>
  <c r="BI135" i="5"/>
  <c r="BH59" i="8"/>
  <c r="BI59" i="5"/>
  <c r="BH190" i="8"/>
  <c r="BI190" i="5"/>
  <c r="BH177" i="8"/>
  <c r="BI177" i="5"/>
  <c r="BH154" i="8"/>
  <c r="BI154" i="5"/>
  <c r="BH54" i="8"/>
  <c r="BI54" i="5"/>
  <c r="BH12" i="8"/>
  <c r="BI12" i="5"/>
  <c r="BH213" i="8"/>
  <c r="BI213" i="5"/>
  <c r="BG24" i="8"/>
  <c r="BH24" i="5"/>
  <c r="BI177" i="8" l="1"/>
  <c r="BJ177" i="5"/>
  <c r="BI55" i="8"/>
  <c r="BJ55" i="5"/>
  <c r="BI220" i="8"/>
  <c r="BJ220" i="5"/>
  <c r="BI16" i="8"/>
  <c r="BJ16" i="5"/>
  <c r="BI110" i="8"/>
  <c r="BJ110" i="5"/>
  <c r="BI162" i="8"/>
  <c r="BJ162" i="5"/>
  <c r="BI32" i="8"/>
  <c r="BJ32" i="5"/>
  <c r="BI147" i="8"/>
  <c r="BJ147" i="5"/>
  <c r="BI10" i="8"/>
  <c r="BJ10" i="5"/>
  <c r="BI171" i="8"/>
  <c r="BJ171" i="5"/>
  <c r="BI68" i="8"/>
  <c r="BJ68" i="5"/>
  <c r="BI30" i="8"/>
  <c r="BJ30" i="5"/>
  <c r="BH102" i="8"/>
  <c r="BI102" i="5"/>
  <c r="BI90" i="8"/>
  <c r="BJ90" i="5"/>
  <c r="BI165" i="8"/>
  <c r="BJ165" i="5"/>
  <c r="BI72" i="8"/>
  <c r="BJ72" i="5"/>
  <c r="BI74" i="8"/>
  <c r="BJ74" i="5"/>
  <c r="BI136" i="8"/>
  <c r="BJ136" i="5"/>
  <c r="BI143" i="8"/>
  <c r="BJ143" i="5"/>
  <c r="BI139" i="8"/>
  <c r="BJ139" i="5"/>
  <c r="BI173" i="8"/>
  <c r="BJ173" i="5"/>
  <c r="BI85" i="8"/>
  <c r="BJ85" i="5"/>
  <c r="BH6" i="8"/>
  <c r="BI6" i="5"/>
  <c r="BI84" i="8"/>
  <c r="BJ84" i="5"/>
  <c r="BI86" i="8"/>
  <c r="BJ86" i="5"/>
  <c r="BI94" i="8"/>
  <c r="BJ94" i="5"/>
  <c r="BI133" i="8"/>
  <c r="BJ133" i="5"/>
  <c r="BI57" i="8"/>
  <c r="BJ57" i="5"/>
  <c r="BI17" i="8"/>
  <c r="BJ17" i="5"/>
  <c r="BI172" i="8"/>
  <c r="BJ172" i="5"/>
  <c r="BI175" i="8"/>
  <c r="BJ175" i="5"/>
  <c r="BI185" i="8"/>
  <c r="BJ185" i="5"/>
  <c r="BH205" i="8"/>
  <c r="BI205" i="5"/>
  <c r="BI39" i="8"/>
  <c r="BJ39" i="5"/>
  <c r="BH221" i="8"/>
  <c r="BI221" i="5"/>
  <c r="BI78" i="8"/>
  <c r="BJ78" i="5"/>
  <c r="BI141" i="8"/>
  <c r="BJ141" i="5"/>
  <c r="BH5" i="8"/>
  <c r="BI5" i="5"/>
  <c r="BI210" i="8"/>
  <c r="BJ210" i="5"/>
  <c r="BI92" i="8"/>
  <c r="BJ92" i="5"/>
  <c r="BI11" i="8"/>
  <c r="BJ11" i="5"/>
  <c r="BI124" i="8"/>
  <c r="BJ124" i="5"/>
  <c r="BI218" i="8"/>
  <c r="BJ218" i="5"/>
  <c r="BI209" i="8"/>
  <c r="BJ209" i="5"/>
  <c r="BI163" i="8"/>
  <c r="BJ163" i="5"/>
  <c r="BI151" i="8"/>
  <c r="BJ151" i="5"/>
  <c r="BI119" i="8"/>
  <c r="BJ119" i="5"/>
  <c r="BI14" i="8"/>
  <c r="BJ14" i="5"/>
  <c r="BI174" i="8"/>
  <c r="BJ174" i="5"/>
  <c r="BI214" i="8"/>
  <c r="BJ214" i="5"/>
  <c r="BI48" i="8"/>
  <c r="BJ48" i="5"/>
  <c r="BI13" i="8"/>
  <c r="BJ13" i="5"/>
  <c r="BI184" i="8"/>
  <c r="BJ184" i="5"/>
  <c r="BI202" i="8"/>
  <c r="BJ202" i="5"/>
  <c r="BI61" i="8"/>
  <c r="BJ61" i="5"/>
  <c r="BI80" i="8"/>
  <c r="BJ80" i="5"/>
  <c r="BI29" i="8"/>
  <c r="BJ29" i="5"/>
  <c r="BI160" i="8"/>
  <c r="BJ160" i="5"/>
  <c r="BI178" i="8"/>
  <c r="BJ178" i="5"/>
  <c r="BI66" i="8"/>
  <c r="BJ66" i="5"/>
  <c r="BI146" i="8"/>
  <c r="BJ146" i="5"/>
  <c r="BI211" i="8"/>
  <c r="BJ211" i="5"/>
  <c r="BI156" i="8"/>
  <c r="BJ156" i="5"/>
  <c r="BI122" i="8"/>
  <c r="BJ122" i="5"/>
  <c r="BI199" i="8"/>
  <c r="BJ199" i="5"/>
  <c r="BI140" i="8"/>
  <c r="BJ140" i="5"/>
  <c r="BI96" i="8"/>
  <c r="BJ96" i="5"/>
  <c r="BI56" i="8"/>
  <c r="BJ56" i="5"/>
  <c r="BI170" i="8"/>
  <c r="BJ170" i="5"/>
  <c r="BI121" i="8"/>
  <c r="BJ121" i="5"/>
  <c r="BH189" i="8"/>
  <c r="BI189" i="5"/>
  <c r="BI158" i="8"/>
  <c r="BJ158" i="5"/>
  <c r="BI208" i="8"/>
  <c r="BJ208" i="5"/>
  <c r="BI62" i="8"/>
  <c r="BJ62" i="5"/>
  <c r="BI35" i="8"/>
  <c r="BJ35" i="5"/>
  <c r="BI117" i="8"/>
  <c r="BJ117" i="5"/>
  <c r="BI187" i="8"/>
  <c r="BJ187" i="5"/>
  <c r="BI105" i="8"/>
  <c r="BJ105" i="5"/>
  <c r="BI161" i="8"/>
  <c r="BJ161" i="5"/>
  <c r="BI50" i="8"/>
  <c r="BJ50" i="5"/>
  <c r="BI101" i="8"/>
  <c r="BJ101" i="5"/>
  <c r="BI159" i="8"/>
  <c r="BJ159" i="5"/>
  <c r="BI59" i="8"/>
  <c r="BJ59" i="5"/>
  <c r="BI149" i="8"/>
  <c r="BJ149" i="5"/>
  <c r="BI213" i="8"/>
  <c r="BJ213" i="5"/>
  <c r="BI54" i="8"/>
  <c r="BJ54" i="5"/>
  <c r="BI216" i="8"/>
  <c r="BJ216" i="5"/>
  <c r="BI87" i="8"/>
  <c r="BJ87" i="5"/>
  <c r="BI153" i="8"/>
  <c r="BJ153" i="5"/>
  <c r="BI166" i="8"/>
  <c r="BJ166" i="5"/>
  <c r="BI76" i="8"/>
  <c r="BJ76" i="5"/>
  <c r="BI183" i="8"/>
  <c r="BJ183" i="5"/>
  <c r="BI200" i="8"/>
  <c r="BJ200" i="5"/>
  <c r="BI138" i="8"/>
  <c r="BJ138" i="5"/>
  <c r="BI198" i="8"/>
  <c r="BJ198" i="5"/>
  <c r="BI188" i="8"/>
  <c r="BJ188" i="5"/>
  <c r="BI106" i="8"/>
  <c r="BJ106" i="5"/>
  <c r="BI131" i="8"/>
  <c r="BJ131" i="5"/>
  <c r="BH24" i="8"/>
  <c r="BI24" i="5"/>
  <c r="BI12" i="8"/>
  <c r="BJ12" i="5"/>
  <c r="BI154" i="8"/>
  <c r="BJ154" i="5"/>
  <c r="BI190" i="8"/>
  <c r="BJ190" i="5"/>
  <c r="BI135" i="8"/>
  <c r="BJ135" i="5"/>
  <c r="BI126" i="8"/>
  <c r="BJ126" i="5"/>
  <c r="BI203" i="8"/>
  <c r="BJ203" i="5"/>
  <c r="BI167" i="8"/>
  <c r="BJ167" i="5"/>
  <c r="BI67" i="8"/>
  <c r="BJ67" i="5"/>
  <c r="BI69" i="8"/>
  <c r="BJ69" i="5"/>
  <c r="BI49" i="8"/>
  <c r="BJ49" i="5"/>
  <c r="BI33" i="8"/>
  <c r="BJ33" i="5"/>
  <c r="BI142" i="8"/>
  <c r="BJ142" i="5"/>
  <c r="BH34" i="8"/>
  <c r="BI34" i="5"/>
  <c r="BI99" i="8"/>
  <c r="BJ99" i="5"/>
  <c r="BI191" i="8"/>
  <c r="BJ191" i="5"/>
  <c r="BH51" i="8"/>
  <c r="BI51" i="5"/>
  <c r="BH47" i="8"/>
  <c r="BI47" i="5"/>
  <c r="BI9" i="8"/>
  <c r="BJ9" i="5"/>
  <c r="BI23" i="8"/>
  <c r="BJ23" i="5"/>
  <c r="BH20" i="8"/>
  <c r="BI20" i="5"/>
  <c r="BI113" i="8"/>
  <c r="BJ113" i="5"/>
  <c r="BI169" i="8"/>
  <c r="BJ169" i="5"/>
  <c r="BI42" i="8"/>
  <c r="BJ42" i="5"/>
  <c r="BH97" i="8"/>
  <c r="BI97" i="5"/>
  <c r="BI207" i="8"/>
  <c r="BJ207" i="5"/>
  <c r="BI145" i="8"/>
  <c r="BJ145" i="5"/>
  <c r="BH115" i="8"/>
  <c r="BI115" i="5"/>
  <c r="BI40" i="8"/>
  <c r="BJ40" i="5"/>
  <c r="BI137" i="8"/>
  <c r="BJ137" i="5"/>
  <c r="BH26" i="8"/>
  <c r="BI26" i="5"/>
  <c r="BI130" i="8"/>
  <c r="BJ130" i="5"/>
  <c r="BI93" i="8"/>
  <c r="BJ93" i="5"/>
  <c r="BI27" i="8"/>
  <c r="BJ27" i="5"/>
  <c r="BI120" i="8"/>
  <c r="BJ120" i="5"/>
  <c r="BI60" i="8"/>
  <c r="BJ60" i="5"/>
  <c r="BI25" i="8"/>
  <c r="BJ25" i="5"/>
  <c r="BI179" i="8"/>
  <c r="BJ179" i="5"/>
  <c r="BI77" i="8"/>
  <c r="BJ77" i="5"/>
  <c r="BI37" i="8"/>
  <c r="BJ37" i="5"/>
  <c r="BI38" i="8"/>
  <c r="BJ38" i="5"/>
  <c r="BI89" i="8"/>
  <c r="BJ89" i="5"/>
  <c r="BI148" i="8"/>
  <c r="BJ148" i="5"/>
  <c r="BI204" i="8"/>
  <c r="BJ204" i="5"/>
  <c r="BI164" i="8"/>
  <c r="BJ164" i="5"/>
  <c r="BI28" i="8"/>
  <c r="BJ28" i="5"/>
  <c r="BI125" i="8"/>
  <c r="BJ125" i="5"/>
  <c r="BI206" i="8"/>
  <c r="BJ206" i="5"/>
  <c r="BI195" i="8"/>
  <c r="BJ195" i="5"/>
  <c r="BI98" i="8"/>
  <c r="BJ98" i="5"/>
  <c r="BI129" i="8"/>
  <c r="BJ129" i="5"/>
  <c r="BI157" i="8"/>
  <c r="BJ157" i="5"/>
  <c r="BI152" i="8"/>
  <c r="BJ152" i="5"/>
  <c r="BI95" i="8"/>
  <c r="BJ95" i="5"/>
  <c r="BI21" i="8"/>
  <c r="BJ21" i="5"/>
  <c r="BI128" i="8"/>
  <c r="BJ128" i="5"/>
  <c r="BH70" i="8"/>
  <c r="BI70" i="5"/>
  <c r="BH111" i="8"/>
  <c r="BI111" i="5"/>
  <c r="BI88" i="8"/>
  <c r="BJ88" i="5"/>
  <c r="BI116" i="8"/>
  <c r="BJ116" i="5"/>
  <c r="BI182" i="8"/>
  <c r="BJ182" i="5"/>
  <c r="BI132" i="8"/>
  <c r="BJ132" i="5"/>
  <c r="BI82" i="8"/>
  <c r="BJ82" i="5"/>
  <c r="BI127" i="8"/>
  <c r="BJ127" i="5"/>
  <c r="BH36" i="8"/>
  <c r="BI36" i="5"/>
  <c r="BI123" i="8"/>
  <c r="BJ123" i="5"/>
  <c r="BI41" i="8"/>
  <c r="BJ41" i="5"/>
  <c r="BI73" i="8"/>
  <c r="BJ73" i="5"/>
  <c r="BI22" i="8"/>
  <c r="BJ22" i="5"/>
  <c r="BI100" i="8"/>
  <c r="BJ100" i="5"/>
  <c r="BI196" i="8"/>
  <c r="BJ196" i="5"/>
  <c r="BI104" i="8"/>
  <c r="BJ104" i="5"/>
  <c r="BH71" i="8"/>
  <c r="BI71" i="5"/>
  <c r="BI91" i="8"/>
  <c r="BJ91" i="5"/>
  <c r="BI201" i="8"/>
  <c r="BJ201" i="5"/>
  <c r="BI109" i="8"/>
  <c r="BJ109" i="5"/>
  <c r="BI103" i="8"/>
  <c r="BJ103" i="5"/>
  <c r="BI64" i="8"/>
  <c r="BJ64" i="5"/>
  <c r="BI180" i="8"/>
  <c r="BJ180" i="5"/>
  <c r="BI112" i="8"/>
  <c r="BJ112" i="5"/>
  <c r="BI15" i="8"/>
  <c r="BJ15" i="5"/>
  <c r="BH75" i="8"/>
  <c r="BI75" i="5"/>
  <c r="BI58" i="8"/>
  <c r="BJ58" i="5"/>
  <c r="BI18" i="8"/>
  <c r="BJ18" i="5"/>
  <c r="BI176" i="8"/>
  <c r="BJ176" i="5"/>
  <c r="BI197" i="8"/>
  <c r="BJ197" i="5"/>
  <c r="BI212" i="8"/>
  <c r="BJ212" i="5"/>
  <c r="BI63" i="8"/>
  <c r="BJ63" i="5"/>
  <c r="BI114" i="8"/>
  <c r="BJ114" i="5"/>
  <c r="BH4" i="8"/>
  <c r="BI4" i="5"/>
  <c r="BI155" i="8"/>
  <c r="BJ155" i="5"/>
  <c r="BI44" i="8"/>
  <c r="BJ44" i="5"/>
  <c r="BI215" i="8"/>
  <c r="BJ215" i="5"/>
  <c r="BI19" i="8"/>
  <c r="BJ19" i="5"/>
  <c r="BI45" i="8"/>
  <c r="BJ45" i="5"/>
  <c r="BI46" i="8"/>
  <c r="BJ46" i="5"/>
  <c r="BI53" i="8"/>
  <c r="BJ53" i="5"/>
  <c r="BI193" i="8"/>
  <c r="BJ193" i="5"/>
  <c r="BI108" i="8"/>
  <c r="BJ108" i="5"/>
  <c r="BJ193" i="8" l="1"/>
  <c r="BK193" i="5"/>
  <c r="BJ63" i="8"/>
  <c r="BK63" i="5"/>
  <c r="BI75" i="8"/>
  <c r="BJ75" i="5"/>
  <c r="BJ91" i="8"/>
  <c r="BK91" i="5"/>
  <c r="BJ127" i="8"/>
  <c r="BK127" i="5"/>
  <c r="BJ128" i="8"/>
  <c r="BK128" i="5"/>
  <c r="BJ206" i="8"/>
  <c r="BK206" i="5"/>
  <c r="BJ204" i="8"/>
  <c r="BK204" i="5"/>
  <c r="BJ60" i="8"/>
  <c r="BK60" i="5"/>
  <c r="BJ137" i="8"/>
  <c r="BK137" i="5"/>
  <c r="BJ42" i="8"/>
  <c r="BK42" i="5"/>
  <c r="BJ191" i="8"/>
  <c r="BK191" i="5"/>
  <c r="BJ33" i="8"/>
  <c r="BK33" i="5"/>
  <c r="BJ167" i="8"/>
  <c r="BK167" i="5"/>
  <c r="BJ12" i="8"/>
  <c r="BK12" i="5"/>
  <c r="BJ188" i="8"/>
  <c r="BK188" i="5"/>
  <c r="BJ183" i="8"/>
  <c r="BK183" i="5"/>
  <c r="BJ166" i="8"/>
  <c r="BK166" i="5"/>
  <c r="BJ87" i="8"/>
  <c r="BK87" i="5"/>
  <c r="BJ149" i="8"/>
  <c r="BK149" i="5"/>
  <c r="BJ159" i="8"/>
  <c r="BK159" i="5"/>
  <c r="BJ50" i="8"/>
  <c r="BK50" i="5"/>
  <c r="BJ105" i="8"/>
  <c r="BK105" i="5"/>
  <c r="BJ117" i="8"/>
  <c r="BK117" i="5"/>
  <c r="BJ62" i="8"/>
  <c r="BK62" i="5"/>
  <c r="BJ158" i="8"/>
  <c r="BK158" i="5"/>
  <c r="BJ121" i="8"/>
  <c r="BK121" i="5"/>
  <c r="BJ56" i="8"/>
  <c r="BK56" i="5"/>
  <c r="BJ140" i="8"/>
  <c r="BK140" i="5"/>
  <c r="BJ122" i="8"/>
  <c r="BK122" i="5"/>
  <c r="BJ211" i="8"/>
  <c r="BK211" i="5"/>
  <c r="BJ66" i="8"/>
  <c r="BK66" i="5"/>
  <c r="BJ160" i="8"/>
  <c r="BK160" i="5"/>
  <c r="BJ80" i="8"/>
  <c r="BK80" i="5"/>
  <c r="BJ202" i="8"/>
  <c r="BK202" i="5"/>
  <c r="BJ13" i="8"/>
  <c r="BK13" i="5"/>
  <c r="BJ14" i="8"/>
  <c r="BK14" i="5"/>
  <c r="BJ151" i="8"/>
  <c r="BK151" i="5"/>
  <c r="BJ209" i="8"/>
  <c r="BK209" i="5"/>
  <c r="BJ124" i="8"/>
  <c r="BK124" i="5"/>
  <c r="BJ92" i="8"/>
  <c r="BK92" i="5"/>
  <c r="BI5" i="8"/>
  <c r="BJ5" i="5"/>
  <c r="BJ78" i="8"/>
  <c r="BK78" i="5"/>
  <c r="BJ39" i="8"/>
  <c r="BK39" i="5"/>
  <c r="BJ172" i="8"/>
  <c r="BK172" i="5"/>
  <c r="BJ57" i="8"/>
  <c r="BK57" i="5"/>
  <c r="BJ94" i="8"/>
  <c r="BK94" i="5"/>
  <c r="BJ84" i="8"/>
  <c r="BK84" i="5"/>
  <c r="BJ85" i="8"/>
  <c r="BK85" i="5"/>
  <c r="BJ139" i="8"/>
  <c r="BK139" i="5"/>
  <c r="BJ136" i="8"/>
  <c r="BK136" i="5"/>
  <c r="BJ72" i="8"/>
  <c r="BK72" i="5"/>
  <c r="BJ90" i="8"/>
  <c r="BK90" i="5"/>
  <c r="BJ30" i="8"/>
  <c r="BK30" i="5"/>
  <c r="BJ171" i="8"/>
  <c r="BK171" i="5"/>
  <c r="BJ147" i="8"/>
  <c r="BK147" i="5"/>
  <c r="BJ162" i="8"/>
  <c r="BK162" i="5"/>
  <c r="BJ16" i="8"/>
  <c r="BK16" i="5"/>
  <c r="BJ55" i="8"/>
  <c r="BK55" i="5"/>
  <c r="BJ19" i="8"/>
  <c r="BK19" i="5"/>
  <c r="BI4" i="8"/>
  <c r="BJ4" i="5"/>
  <c r="BJ18" i="8"/>
  <c r="BK18" i="5"/>
  <c r="BJ64" i="8"/>
  <c r="BK64" i="5"/>
  <c r="BJ104" i="8"/>
  <c r="BK104" i="5"/>
  <c r="BJ123" i="8"/>
  <c r="BK123" i="5"/>
  <c r="BJ116" i="8"/>
  <c r="BK116" i="5"/>
  <c r="BJ157" i="8"/>
  <c r="BK157" i="5"/>
  <c r="BJ37" i="8"/>
  <c r="BK37" i="5"/>
  <c r="BJ113" i="8"/>
  <c r="BK113" i="5"/>
  <c r="BJ214" i="8"/>
  <c r="BK214" i="5"/>
  <c r="BJ46" i="8"/>
  <c r="BK46" i="5"/>
  <c r="BJ44" i="8"/>
  <c r="BK44" i="5"/>
  <c r="BJ197" i="8"/>
  <c r="BK197" i="5"/>
  <c r="BJ112" i="8"/>
  <c r="BK112" i="5"/>
  <c r="BJ109" i="8"/>
  <c r="BK109" i="5"/>
  <c r="BJ100" i="8"/>
  <c r="BK100" i="5"/>
  <c r="BJ73" i="8"/>
  <c r="BK73" i="5"/>
  <c r="BJ132" i="8"/>
  <c r="BK132" i="5"/>
  <c r="BI111" i="8"/>
  <c r="BJ111" i="5"/>
  <c r="BJ95" i="8"/>
  <c r="BK95" i="5"/>
  <c r="BJ98" i="8"/>
  <c r="BK98" i="5"/>
  <c r="BJ28" i="8"/>
  <c r="BK28" i="5"/>
  <c r="BJ89" i="8"/>
  <c r="BK89" i="5"/>
  <c r="BJ179" i="8"/>
  <c r="BK179" i="5"/>
  <c r="BJ27" i="8"/>
  <c r="BK27" i="5"/>
  <c r="BJ130" i="8"/>
  <c r="BK130" i="5"/>
  <c r="BI115" i="8"/>
  <c r="BJ115" i="5"/>
  <c r="BJ207" i="8"/>
  <c r="BK207" i="5"/>
  <c r="BJ23" i="8"/>
  <c r="BK23" i="5"/>
  <c r="BI47" i="8"/>
  <c r="BJ47" i="5"/>
  <c r="BI34" i="8"/>
  <c r="BJ34" i="5"/>
  <c r="BJ69" i="8"/>
  <c r="BK69" i="5"/>
  <c r="BJ126" i="8"/>
  <c r="BK126" i="5"/>
  <c r="BJ190" i="8"/>
  <c r="BK190" i="5"/>
  <c r="BJ131" i="8"/>
  <c r="BK131" i="5"/>
  <c r="BJ138" i="8"/>
  <c r="BK138" i="5"/>
  <c r="BJ54" i="8"/>
  <c r="BK54" i="5"/>
  <c r="BJ185" i="8"/>
  <c r="BK185" i="5"/>
  <c r="BJ108" i="8"/>
  <c r="BK108" i="5"/>
  <c r="BJ53" i="8"/>
  <c r="BK53" i="5"/>
  <c r="BJ45" i="8"/>
  <c r="BK45" i="5"/>
  <c r="BJ215" i="8"/>
  <c r="BK215" i="5"/>
  <c r="BJ155" i="8"/>
  <c r="BK155" i="5"/>
  <c r="BJ114" i="8"/>
  <c r="BK114" i="5"/>
  <c r="BJ212" i="8"/>
  <c r="BK212" i="5"/>
  <c r="BJ176" i="8"/>
  <c r="BK176" i="5"/>
  <c r="BJ58" i="8"/>
  <c r="BK58" i="5"/>
  <c r="BJ15" i="8"/>
  <c r="BK15" i="5"/>
  <c r="BJ180" i="8"/>
  <c r="BK180" i="5"/>
  <c r="BJ103" i="8"/>
  <c r="BK103" i="5"/>
  <c r="BJ201" i="8"/>
  <c r="BK201" i="5"/>
  <c r="BI71" i="8"/>
  <c r="BJ71" i="5"/>
  <c r="BJ196" i="8"/>
  <c r="BK196" i="5"/>
  <c r="BJ22" i="8"/>
  <c r="BK22" i="5"/>
  <c r="BJ41" i="8"/>
  <c r="BK41" i="5"/>
  <c r="BI36" i="8"/>
  <c r="BJ36" i="5"/>
  <c r="BJ82" i="8"/>
  <c r="BK82" i="5"/>
  <c r="BJ182" i="8"/>
  <c r="BK182" i="5"/>
  <c r="BJ88" i="8"/>
  <c r="BK88" i="5"/>
  <c r="BI70" i="8"/>
  <c r="BJ70" i="5"/>
  <c r="BJ21" i="8"/>
  <c r="BK21" i="5"/>
  <c r="BJ152" i="8"/>
  <c r="BK152" i="5"/>
  <c r="BJ129" i="8"/>
  <c r="BK129" i="5"/>
  <c r="BJ195" i="8"/>
  <c r="BK195" i="5"/>
  <c r="BJ125" i="8"/>
  <c r="BK125" i="5"/>
  <c r="BJ164" i="8"/>
  <c r="BK164" i="5"/>
  <c r="BJ148" i="8"/>
  <c r="BK148" i="5"/>
  <c r="BJ38" i="8"/>
  <c r="BK38" i="5"/>
  <c r="BJ77" i="8"/>
  <c r="BK77" i="5"/>
  <c r="BJ25" i="8"/>
  <c r="BK25" i="5"/>
  <c r="BJ120" i="8"/>
  <c r="BK120" i="5"/>
  <c r="BJ93" i="8"/>
  <c r="BK93" i="5"/>
  <c r="BI26" i="8"/>
  <c r="BJ26" i="5"/>
  <c r="BJ40" i="8"/>
  <c r="BK40" i="5"/>
  <c r="BJ145" i="8"/>
  <c r="BK145" i="5"/>
  <c r="BI97" i="8"/>
  <c r="BJ97" i="5"/>
  <c r="BJ169" i="8"/>
  <c r="BK169" i="5"/>
  <c r="BI20" i="8"/>
  <c r="BJ20" i="5"/>
  <c r="BJ9" i="8"/>
  <c r="BK9" i="5"/>
  <c r="BI51" i="8"/>
  <c r="BJ51" i="5"/>
  <c r="BJ99" i="8"/>
  <c r="BK99" i="5"/>
  <c r="BJ142" i="8"/>
  <c r="BK142" i="5"/>
  <c r="BJ49" i="8"/>
  <c r="BK49" i="5"/>
  <c r="BJ67" i="8"/>
  <c r="BK67" i="5"/>
  <c r="BJ203" i="8"/>
  <c r="BK203" i="5"/>
  <c r="BJ135" i="8"/>
  <c r="BK135" i="5"/>
  <c r="BJ154" i="8"/>
  <c r="BK154" i="5"/>
  <c r="BI24" i="8"/>
  <c r="BJ24" i="5"/>
  <c r="BJ106" i="8"/>
  <c r="BK106" i="5"/>
  <c r="BJ198" i="8"/>
  <c r="BK198" i="5"/>
  <c r="BJ200" i="8"/>
  <c r="BK200" i="5"/>
  <c r="BJ76" i="8"/>
  <c r="BK76" i="5"/>
  <c r="BJ153" i="8"/>
  <c r="BK153" i="5"/>
  <c r="BJ216" i="8"/>
  <c r="BK216" i="5"/>
  <c r="BJ213" i="8"/>
  <c r="BK213" i="5"/>
  <c r="BJ59" i="8"/>
  <c r="BK59" i="5"/>
  <c r="BJ101" i="8"/>
  <c r="BK101" i="5"/>
  <c r="BJ161" i="8"/>
  <c r="BK161" i="5"/>
  <c r="BJ187" i="8"/>
  <c r="BK187" i="5"/>
  <c r="BJ35" i="8"/>
  <c r="BK35" i="5"/>
  <c r="BJ208" i="8"/>
  <c r="BK208" i="5"/>
  <c r="BI189" i="8"/>
  <c r="BJ189" i="5"/>
  <c r="BJ170" i="8"/>
  <c r="BK170" i="5"/>
  <c r="BJ96" i="8"/>
  <c r="BK96" i="5"/>
  <c r="BJ199" i="8"/>
  <c r="BK199" i="5"/>
  <c r="BJ156" i="8"/>
  <c r="BK156" i="5"/>
  <c r="BJ146" i="8"/>
  <c r="BK146" i="5"/>
  <c r="BJ178" i="8"/>
  <c r="BK178" i="5"/>
  <c r="BJ29" i="8"/>
  <c r="BK29" i="5"/>
  <c r="BJ61" i="8"/>
  <c r="BK61" i="5"/>
  <c r="BJ184" i="8"/>
  <c r="BK184" i="5"/>
  <c r="BJ48" i="8"/>
  <c r="BK48" i="5"/>
  <c r="BJ174" i="8"/>
  <c r="BK174" i="5"/>
  <c r="BJ119" i="8"/>
  <c r="BK119" i="5"/>
  <c r="BJ163" i="8"/>
  <c r="BK163" i="5"/>
  <c r="BJ218" i="8"/>
  <c r="BK218" i="5"/>
  <c r="BJ11" i="8"/>
  <c r="BK11" i="5"/>
  <c r="BJ210" i="8"/>
  <c r="BK210" i="5"/>
  <c r="BJ141" i="8"/>
  <c r="BK141" i="5"/>
  <c r="BI221" i="8"/>
  <c r="BJ221" i="5"/>
  <c r="BI205" i="8"/>
  <c r="BJ205" i="5"/>
  <c r="BJ175" i="8"/>
  <c r="BK175" i="5"/>
  <c r="BJ17" i="8"/>
  <c r="BK17" i="5"/>
  <c r="BJ133" i="8"/>
  <c r="BK133" i="5"/>
  <c r="BJ86" i="8"/>
  <c r="BK86" i="5"/>
  <c r="BI6" i="8"/>
  <c r="BJ6" i="5"/>
  <c r="BJ173" i="8"/>
  <c r="BK173" i="5"/>
  <c r="BJ143" i="8"/>
  <c r="BK143" i="5"/>
  <c r="BJ74" i="8"/>
  <c r="BK74" i="5"/>
  <c r="BJ165" i="8"/>
  <c r="BK165" i="5"/>
  <c r="BI102" i="8"/>
  <c r="BJ102" i="5"/>
  <c r="BJ68" i="8"/>
  <c r="BK68" i="5"/>
  <c r="BJ10" i="8"/>
  <c r="BK10" i="5"/>
  <c r="BJ32" i="8"/>
  <c r="BK32" i="5"/>
  <c r="BJ110" i="8"/>
  <c r="BK110" i="5"/>
  <c r="BJ220" i="8"/>
  <c r="BK220" i="5"/>
  <c r="BJ177" i="8"/>
  <c r="BK177" i="5"/>
  <c r="BK220" i="8" l="1"/>
  <c r="BL220" i="5"/>
  <c r="BK32" i="8"/>
  <c r="BL32" i="5"/>
  <c r="BK68" i="8"/>
  <c r="BL68" i="5"/>
  <c r="BK165" i="8"/>
  <c r="BL165" i="5"/>
  <c r="BK143" i="8"/>
  <c r="BL143" i="5"/>
  <c r="BJ6" i="8"/>
  <c r="BK6" i="5"/>
  <c r="BK133" i="8"/>
  <c r="BL133" i="5"/>
  <c r="BK175" i="8"/>
  <c r="BL175" i="5"/>
  <c r="BJ221" i="8"/>
  <c r="BK221" i="5"/>
  <c r="BK210" i="8"/>
  <c r="BL210" i="5"/>
  <c r="BK218" i="8"/>
  <c r="BL218" i="5"/>
  <c r="BK119" i="8"/>
  <c r="BL119" i="5"/>
  <c r="BK48" i="8"/>
  <c r="BL48" i="5"/>
  <c r="BK61" i="8"/>
  <c r="BL61" i="5"/>
  <c r="BK178" i="8"/>
  <c r="BL178" i="5"/>
  <c r="BK156" i="8"/>
  <c r="BL156" i="5"/>
  <c r="BK96" i="8"/>
  <c r="BL96" i="5"/>
  <c r="BJ189" i="8"/>
  <c r="BK189" i="5"/>
  <c r="BK35" i="8"/>
  <c r="BL35" i="5"/>
  <c r="BK161" i="8"/>
  <c r="BL161" i="5"/>
  <c r="BK59" i="8"/>
  <c r="BL59" i="5"/>
  <c r="BK216" i="8"/>
  <c r="BL216" i="5"/>
  <c r="BK76" i="8"/>
  <c r="BL76" i="5"/>
  <c r="BK198" i="8"/>
  <c r="BL198" i="5"/>
  <c r="BJ24" i="8"/>
  <c r="BK24" i="5"/>
  <c r="BK135" i="8"/>
  <c r="BL135" i="5"/>
  <c r="BK67" i="8"/>
  <c r="BL67" i="5"/>
  <c r="BK142" i="8"/>
  <c r="BL142" i="5"/>
  <c r="BJ51" i="8"/>
  <c r="BK51" i="5"/>
  <c r="BJ20" i="8"/>
  <c r="BK20" i="5"/>
  <c r="BJ97" i="8"/>
  <c r="BK97" i="5"/>
  <c r="BK40" i="8"/>
  <c r="BL40" i="5"/>
  <c r="BK93" i="8"/>
  <c r="BL93" i="5"/>
  <c r="BK25" i="8"/>
  <c r="BL25" i="5"/>
  <c r="BK38" i="8"/>
  <c r="BL38" i="5"/>
  <c r="BK164" i="8"/>
  <c r="BL164" i="5"/>
  <c r="BK195" i="8"/>
  <c r="BL195" i="5"/>
  <c r="BK152" i="8"/>
  <c r="BL152" i="5"/>
  <c r="BJ70" i="8"/>
  <c r="BK70" i="5"/>
  <c r="BK182" i="8"/>
  <c r="BL182" i="5"/>
  <c r="BJ36" i="8"/>
  <c r="BK36" i="5"/>
  <c r="BK22" i="8"/>
  <c r="BL22" i="5"/>
  <c r="BJ71" i="8"/>
  <c r="BK71" i="5"/>
  <c r="BK103" i="8"/>
  <c r="BL103" i="5"/>
  <c r="BK15" i="8"/>
  <c r="BL15" i="5"/>
  <c r="BK176" i="8"/>
  <c r="BL176" i="5"/>
  <c r="BK114" i="8"/>
  <c r="BL114" i="5"/>
  <c r="BK215" i="8"/>
  <c r="BL215" i="5"/>
  <c r="BK53" i="8"/>
  <c r="BL53" i="5"/>
  <c r="BK185" i="8"/>
  <c r="BL185" i="5"/>
  <c r="BK138" i="8"/>
  <c r="BL138" i="5"/>
  <c r="BK190" i="8"/>
  <c r="BL190" i="5"/>
  <c r="BK69" i="8"/>
  <c r="BL69" i="5"/>
  <c r="BJ47" i="8"/>
  <c r="BK47" i="5"/>
  <c r="BK207" i="8"/>
  <c r="BL207" i="5"/>
  <c r="BK130" i="8"/>
  <c r="BL130" i="5"/>
  <c r="BK179" i="8"/>
  <c r="BL179" i="5"/>
  <c r="BK28" i="8"/>
  <c r="BL28" i="5"/>
  <c r="BK95" i="8"/>
  <c r="BL95" i="5"/>
  <c r="BK132" i="8"/>
  <c r="BL132" i="5"/>
  <c r="BK100" i="8"/>
  <c r="BL100" i="5"/>
  <c r="BK112" i="8"/>
  <c r="BL112" i="5"/>
  <c r="BK44" i="8"/>
  <c r="BL44" i="5"/>
  <c r="BK214" i="8"/>
  <c r="BL214" i="5"/>
  <c r="BK37" i="8"/>
  <c r="BL37" i="5"/>
  <c r="BK116" i="8"/>
  <c r="BL116" i="5"/>
  <c r="BK104" i="8"/>
  <c r="BL104" i="5"/>
  <c r="BK18" i="8"/>
  <c r="BL18" i="5"/>
  <c r="BK19" i="8"/>
  <c r="BL19" i="5"/>
  <c r="BK16" i="8"/>
  <c r="BL16" i="5"/>
  <c r="BK147" i="8"/>
  <c r="BL147" i="5"/>
  <c r="BK30" i="8"/>
  <c r="BL30" i="5"/>
  <c r="BK72" i="8"/>
  <c r="BL72" i="5"/>
  <c r="BK139" i="8"/>
  <c r="BL139" i="5"/>
  <c r="BK84" i="8"/>
  <c r="BL84" i="5"/>
  <c r="BK57" i="8"/>
  <c r="BL57" i="5"/>
  <c r="BK39" i="8"/>
  <c r="BL39" i="5"/>
  <c r="BJ5" i="8"/>
  <c r="BK5" i="5"/>
  <c r="BK124" i="8"/>
  <c r="BL124" i="5"/>
  <c r="BK151" i="8"/>
  <c r="BL151" i="5"/>
  <c r="BK13" i="8"/>
  <c r="BL13" i="5"/>
  <c r="BK80" i="8"/>
  <c r="BL80" i="5"/>
  <c r="BK66" i="8"/>
  <c r="BL66" i="5"/>
  <c r="BK122" i="8"/>
  <c r="BL122" i="5"/>
  <c r="BK56" i="8"/>
  <c r="BL56" i="5"/>
  <c r="BK158" i="8"/>
  <c r="BL158" i="5"/>
  <c r="BK117" i="8"/>
  <c r="BL117" i="5"/>
  <c r="BK50" i="8"/>
  <c r="BL50" i="5"/>
  <c r="BK149" i="8"/>
  <c r="BL149" i="5"/>
  <c r="BK166" i="8"/>
  <c r="BL166" i="5"/>
  <c r="BK188" i="8"/>
  <c r="BL188" i="5"/>
  <c r="BK167" i="8"/>
  <c r="BL167" i="5"/>
  <c r="BK191" i="8"/>
  <c r="BL191" i="5"/>
  <c r="BK137" i="8"/>
  <c r="BL137" i="5"/>
  <c r="BK204" i="8"/>
  <c r="BL204" i="5"/>
  <c r="BK128" i="8"/>
  <c r="BL128" i="5"/>
  <c r="BK91" i="8"/>
  <c r="BL91" i="5"/>
  <c r="BK63" i="8"/>
  <c r="BL63" i="5"/>
  <c r="BK177" i="8"/>
  <c r="BL177" i="5"/>
  <c r="BK110" i="8"/>
  <c r="BL110" i="5"/>
  <c r="BK10" i="8"/>
  <c r="BL10" i="5"/>
  <c r="BJ102" i="8"/>
  <c r="BK102" i="5"/>
  <c r="BK74" i="8"/>
  <c r="BL74" i="5"/>
  <c r="BK173" i="8"/>
  <c r="BL173" i="5"/>
  <c r="BK86" i="8"/>
  <c r="BL86" i="5"/>
  <c r="BK17" i="8"/>
  <c r="BL17" i="5"/>
  <c r="BJ205" i="8"/>
  <c r="BK205" i="5"/>
  <c r="BK141" i="8"/>
  <c r="BL141" i="5"/>
  <c r="BK11" i="8"/>
  <c r="BL11" i="5"/>
  <c r="BK163" i="8"/>
  <c r="BL163" i="5"/>
  <c r="BK174" i="8"/>
  <c r="BL174" i="5"/>
  <c r="BK184" i="8"/>
  <c r="BL184" i="5"/>
  <c r="BK29" i="8"/>
  <c r="BL29" i="5"/>
  <c r="BK146" i="8"/>
  <c r="BL146" i="5"/>
  <c r="BK199" i="8"/>
  <c r="BL199" i="5"/>
  <c r="BK170" i="8"/>
  <c r="BL170" i="5"/>
  <c r="BK208" i="8"/>
  <c r="BL208" i="5"/>
  <c r="BK187" i="8"/>
  <c r="BL187" i="5"/>
  <c r="BK101" i="8"/>
  <c r="BL101" i="5"/>
  <c r="BK213" i="8"/>
  <c r="BL213" i="5"/>
  <c r="BK153" i="8"/>
  <c r="BL153" i="5"/>
  <c r="BK200" i="8"/>
  <c r="BL200" i="5"/>
  <c r="BK106" i="8"/>
  <c r="BL106" i="5"/>
  <c r="BK154" i="8"/>
  <c r="BL154" i="5"/>
  <c r="BK203" i="8"/>
  <c r="BL203" i="5"/>
  <c r="BK49" i="8"/>
  <c r="BL49" i="5"/>
  <c r="BK99" i="8"/>
  <c r="BL99" i="5"/>
  <c r="BK9" i="8"/>
  <c r="BL9" i="5"/>
  <c r="BK169" i="8"/>
  <c r="BL169" i="5"/>
  <c r="BK145" i="8"/>
  <c r="BL145" i="5"/>
  <c r="BJ26" i="8"/>
  <c r="BK26" i="5"/>
  <c r="BK120" i="8"/>
  <c r="BL120" i="5"/>
  <c r="BK77" i="8"/>
  <c r="BL77" i="5"/>
  <c r="BK148" i="8"/>
  <c r="BL148" i="5"/>
  <c r="BK125" i="8"/>
  <c r="BL125" i="5"/>
  <c r="BK129" i="8"/>
  <c r="BL129" i="5"/>
  <c r="BK21" i="8"/>
  <c r="BL21" i="5"/>
  <c r="BK88" i="8"/>
  <c r="BL88" i="5"/>
  <c r="BK82" i="8"/>
  <c r="BL82" i="5"/>
  <c r="BK41" i="8"/>
  <c r="BL41" i="5"/>
  <c r="BK196" i="8"/>
  <c r="BL196" i="5"/>
  <c r="BK201" i="8"/>
  <c r="BL201" i="5"/>
  <c r="BK180" i="8"/>
  <c r="BL180" i="5"/>
  <c r="BK58" i="8"/>
  <c r="BL58" i="5"/>
  <c r="BK212" i="8"/>
  <c r="BL212" i="5"/>
  <c r="BK155" i="8"/>
  <c r="BL155" i="5"/>
  <c r="BK45" i="8"/>
  <c r="BL45" i="5"/>
  <c r="BK108" i="8"/>
  <c r="BL108" i="5"/>
  <c r="BK54" i="8"/>
  <c r="BL54" i="5"/>
  <c r="BK131" i="8"/>
  <c r="BL131" i="5"/>
  <c r="BK126" i="8"/>
  <c r="BL126" i="5"/>
  <c r="BJ34" i="8"/>
  <c r="BK34" i="5"/>
  <c r="BK23" i="8"/>
  <c r="BL23" i="5"/>
  <c r="BJ115" i="8"/>
  <c r="BK115" i="5"/>
  <c r="BK27" i="8"/>
  <c r="BL27" i="5"/>
  <c r="BK89" i="8"/>
  <c r="BL89" i="5"/>
  <c r="BK98" i="8"/>
  <c r="BL98" i="5"/>
  <c r="BJ111" i="8"/>
  <c r="BK111" i="5"/>
  <c r="BK73" i="8"/>
  <c r="BL73" i="5"/>
  <c r="BK109" i="8"/>
  <c r="BL109" i="5"/>
  <c r="BK197" i="8"/>
  <c r="BL197" i="5"/>
  <c r="BK46" i="8"/>
  <c r="BL46" i="5"/>
  <c r="BK113" i="8"/>
  <c r="BL113" i="5"/>
  <c r="BK157" i="8"/>
  <c r="BL157" i="5"/>
  <c r="BK123" i="8"/>
  <c r="BL123" i="5"/>
  <c r="BK64" i="8"/>
  <c r="BL64" i="5"/>
  <c r="BJ4" i="8"/>
  <c r="BK4" i="5"/>
  <c r="BK55" i="8"/>
  <c r="BL55" i="5"/>
  <c r="BK162" i="8"/>
  <c r="BL162" i="5"/>
  <c r="BK171" i="8"/>
  <c r="BL171" i="5"/>
  <c r="BK90" i="8"/>
  <c r="BL90" i="5"/>
  <c r="BK136" i="8"/>
  <c r="BL136" i="5"/>
  <c r="BK85" i="8"/>
  <c r="BL85" i="5"/>
  <c r="BK94" i="8"/>
  <c r="BL94" i="5"/>
  <c r="BK172" i="8"/>
  <c r="BL172" i="5"/>
  <c r="BK78" i="8"/>
  <c r="BL78" i="5"/>
  <c r="BK92" i="8"/>
  <c r="BL92" i="5"/>
  <c r="BK209" i="8"/>
  <c r="BL209" i="5"/>
  <c r="BK14" i="8"/>
  <c r="BL14" i="5"/>
  <c r="BK202" i="8"/>
  <c r="BL202" i="5"/>
  <c r="BK160" i="8"/>
  <c r="BL160" i="5"/>
  <c r="BK211" i="8"/>
  <c r="BL211" i="5"/>
  <c r="BK140" i="8"/>
  <c r="BL140" i="5"/>
  <c r="BK121" i="8"/>
  <c r="BL121" i="5"/>
  <c r="BK62" i="8"/>
  <c r="BL62" i="5"/>
  <c r="BK105" i="8"/>
  <c r="BL105" i="5"/>
  <c r="BK159" i="8"/>
  <c r="BL159" i="5"/>
  <c r="BK87" i="8"/>
  <c r="BL87" i="5"/>
  <c r="BK183" i="8"/>
  <c r="BL183" i="5"/>
  <c r="BK12" i="8"/>
  <c r="BL12" i="5"/>
  <c r="BK33" i="8"/>
  <c r="BL33" i="5"/>
  <c r="BK42" i="8"/>
  <c r="BL42" i="5"/>
  <c r="BK60" i="8"/>
  <c r="BL60" i="5"/>
  <c r="BK206" i="8"/>
  <c r="BL206" i="5"/>
  <c r="BK127" i="8"/>
  <c r="BL127" i="5"/>
  <c r="BJ75" i="8"/>
  <c r="BK75" i="5"/>
  <c r="BK193" i="8"/>
  <c r="BL193" i="5"/>
  <c r="BK75" i="8" l="1"/>
  <c r="BL75" i="5"/>
  <c r="BL42" i="8"/>
  <c r="BM42" i="5"/>
  <c r="BL87" i="8"/>
  <c r="BM87" i="5"/>
  <c r="BL121" i="8"/>
  <c r="BM121" i="5"/>
  <c r="BL202" i="8"/>
  <c r="BM202" i="5"/>
  <c r="BL78" i="8"/>
  <c r="BM78" i="5"/>
  <c r="BL171" i="8"/>
  <c r="BM171" i="5"/>
  <c r="BL64" i="8"/>
  <c r="BM64" i="5"/>
  <c r="BL46" i="8"/>
  <c r="BM46" i="5"/>
  <c r="BK111" i="8"/>
  <c r="BL111" i="5"/>
  <c r="BK115" i="8"/>
  <c r="BL115" i="5"/>
  <c r="BL131" i="8"/>
  <c r="BM131" i="5"/>
  <c r="BL155" i="8"/>
  <c r="BM155" i="5"/>
  <c r="BL201" i="8"/>
  <c r="BM201" i="5"/>
  <c r="BL88" i="8"/>
  <c r="BM88" i="5"/>
  <c r="BL148" i="8"/>
  <c r="BM148" i="5"/>
  <c r="BL145" i="8"/>
  <c r="BM145" i="5"/>
  <c r="BL49" i="8"/>
  <c r="BM49" i="5"/>
  <c r="BL200" i="8"/>
  <c r="BM200" i="5"/>
  <c r="BL187" i="8"/>
  <c r="BM187" i="5"/>
  <c r="BL146" i="8"/>
  <c r="BM146" i="5"/>
  <c r="BL163" i="8"/>
  <c r="BM163" i="5"/>
  <c r="BL17" i="8"/>
  <c r="BM17" i="5"/>
  <c r="BK102" i="8"/>
  <c r="BL102" i="5"/>
  <c r="BL63" i="8"/>
  <c r="BM63" i="5"/>
  <c r="BL137" i="8"/>
  <c r="BM137" i="5"/>
  <c r="BL166" i="8"/>
  <c r="BM166" i="5"/>
  <c r="BL158" i="8"/>
  <c r="BM158" i="5"/>
  <c r="BL80" i="8"/>
  <c r="BM80" i="5"/>
  <c r="BK5" i="8"/>
  <c r="BL5" i="5"/>
  <c r="BL139" i="8"/>
  <c r="BM139" i="5"/>
  <c r="BL16" i="8"/>
  <c r="BM16" i="5"/>
  <c r="BL116" i="8"/>
  <c r="BM116" i="5"/>
  <c r="BL112" i="8"/>
  <c r="BM112" i="5"/>
  <c r="BL28" i="8"/>
  <c r="BM28" i="5"/>
  <c r="BL190" i="8"/>
  <c r="BM190" i="5"/>
  <c r="BL176" i="8"/>
  <c r="BM176" i="5"/>
  <c r="BL164" i="8"/>
  <c r="BM164" i="5"/>
  <c r="BL165" i="8"/>
  <c r="BM165" i="5"/>
  <c r="BL206" i="8"/>
  <c r="BM206" i="5"/>
  <c r="BL12" i="8"/>
  <c r="BM12" i="5"/>
  <c r="BL105" i="8"/>
  <c r="BM105" i="5"/>
  <c r="BL211" i="8"/>
  <c r="BM211" i="5"/>
  <c r="BL209" i="8"/>
  <c r="BM209" i="5"/>
  <c r="BL94" i="8"/>
  <c r="BM94" i="5"/>
  <c r="BL136" i="8"/>
  <c r="BM136" i="5"/>
  <c r="BL55" i="8"/>
  <c r="BM55" i="5"/>
  <c r="BL157" i="8"/>
  <c r="BM157" i="5"/>
  <c r="BL109" i="8"/>
  <c r="BM109" i="5"/>
  <c r="BL89" i="8"/>
  <c r="BM89" i="5"/>
  <c r="BK34" i="8"/>
  <c r="BL34" i="5"/>
  <c r="BL108" i="8"/>
  <c r="BM108" i="5"/>
  <c r="BL58" i="8"/>
  <c r="BM58" i="5"/>
  <c r="BL41" i="8"/>
  <c r="BM41" i="5"/>
  <c r="BL129" i="8"/>
  <c r="BM129" i="5"/>
  <c r="BL120" i="8"/>
  <c r="BM120" i="5"/>
  <c r="BL9" i="8"/>
  <c r="BM9" i="5"/>
  <c r="BL154" i="8"/>
  <c r="BM154" i="5"/>
  <c r="BL213" i="8"/>
  <c r="BM213" i="5"/>
  <c r="BL170" i="8"/>
  <c r="BM170" i="5"/>
  <c r="BL184" i="8"/>
  <c r="BM184" i="5"/>
  <c r="BL141" i="8"/>
  <c r="BM141" i="5"/>
  <c r="BL173" i="8"/>
  <c r="BM173" i="5"/>
  <c r="BL110" i="8"/>
  <c r="BM110" i="5"/>
  <c r="BL128" i="8"/>
  <c r="BM128" i="5"/>
  <c r="BL167" i="8"/>
  <c r="BM167" i="5"/>
  <c r="BL50" i="8"/>
  <c r="BM50" i="5"/>
  <c r="BL122" i="8"/>
  <c r="BM122" i="5"/>
  <c r="BL151" i="8"/>
  <c r="BM151" i="5"/>
  <c r="BL57" i="8"/>
  <c r="BM57" i="5"/>
  <c r="BL30" i="8"/>
  <c r="BM30" i="5"/>
  <c r="BL18" i="8"/>
  <c r="BM18" i="5"/>
  <c r="BL214" i="8"/>
  <c r="BM214" i="5"/>
  <c r="BL132" i="8"/>
  <c r="BM132" i="5"/>
  <c r="BL130" i="8"/>
  <c r="BM130" i="5"/>
  <c r="BK47" i="8"/>
  <c r="BL47" i="5"/>
  <c r="BL185" i="8"/>
  <c r="BM185" i="5"/>
  <c r="BL215" i="8"/>
  <c r="BM215" i="5"/>
  <c r="BL103" i="8"/>
  <c r="BM103" i="5"/>
  <c r="BL22" i="8"/>
  <c r="BM22" i="5"/>
  <c r="BL182" i="8"/>
  <c r="BM182" i="5"/>
  <c r="BL152" i="8"/>
  <c r="BM152" i="5"/>
  <c r="BL25" i="8"/>
  <c r="BM25" i="5"/>
  <c r="BL40" i="8"/>
  <c r="BM40" i="5"/>
  <c r="BK20" i="8"/>
  <c r="BL20" i="5"/>
  <c r="BL142" i="8"/>
  <c r="BM142" i="5"/>
  <c r="BL135" i="8"/>
  <c r="BM135" i="5"/>
  <c r="BL198" i="8"/>
  <c r="BM198" i="5"/>
  <c r="BL216" i="8"/>
  <c r="BM216" i="5"/>
  <c r="BL161" i="8"/>
  <c r="BM161" i="5"/>
  <c r="BK189" i="8"/>
  <c r="BL189" i="5"/>
  <c r="BL156" i="8"/>
  <c r="BM156" i="5"/>
  <c r="BL61" i="8"/>
  <c r="BM61" i="5"/>
  <c r="BL119" i="8"/>
  <c r="BM119" i="5"/>
  <c r="BL210" i="8"/>
  <c r="BM210" i="5"/>
  <c r="BL175" i="8"/>
  <c r="BM175" i="5"/>
  <c r="BK6" i="8"/>
  <c r="BL6" i="5"/>
  <c r="BL32" i="8"/>
  <c r="BM32" i="5"/>
  <c r="BL193" i="8"/>
  <c r="BM193" i="5"/>
  <c r="BL127" i="8"/>
  <c r="BM127" i="5"/>
  <c r="BL60" i="8"/>
  <c r="BM60" i="5"/>
  <c r="BL33" i="8"/>
  <c r="BM33" i="5"/>
  <c r="BL183" i="8"/>
  <c r="BM183" i="5"/>
  <c r="BL159" i="8"/>
  <c r="BM159" i="5"/>
  <c r="BL62" i="8"/>
  <c r="BM62" i="5"/>
  <c r="BL140" i="8"/>
  <c r="BM140" i="5"/>
  <c r="BL160" i="8"/>
  <c r="BM160" i="5"/>
  <c r="BL14" i="8"/>
  <c r="BM14" i="5"/>
  <c r="BL92" i="8"/>
  <c r="BM92" i="5"/>
  <c r="BL172" i="8"/>
  <c r="BM172" i="5"/>
  <c r="BL85" i="8"/>
  <c r="BM85" i="5"/>
  <c r="BL90" i="8"/>
  <c r="BM90" i="5"/>
  <c r="BL162" i="8"/>
  <c r="BM162" i="5"/>
  <c r="BK4" i="8"/>
  <c r="BL4" i="5"/>
  <c r="BL123" i="8"/>
  <c r="BM123" i="5"/>
  <c r="BL113" i="8"/>
  <c r="BM113" i="5"/>
  <c r="BL197" i="8"/>
  <c r="BM197" i="5"/>
  <c r="BL73" i="8"/>
  <c r="BM73" i="5"/>
  <c r="BL98" i="8"/>
  <c r="BM98" i="5"/>
  <c r="BL27" i="8"/>
  <c r="BM27" i="5"/>
  <c r="BL23" i="8"/>
  <c r="BM23" i="5"/>
  <c r="BL126" i="8"/>
  <c r="BM126" i="5"/>
  <c r="BL54" i="8"/>
  <c r="BM54" i="5"/>
  <c r="BL45" i="8"/>
  <c r="BM45" i="5"/>
  <c r="BL212" i="8"/>
  <c r="BM212" i="5"/>
  <c r="BL180" i="8"/>
  <c r="BM180" i="5"/>
  <c r="BL196" i="8"/>
  <c r="BM196" i="5"/>
  <c r="BL82" i="8"/>
  <c r="BM82" i="5"/>
  <c r="BL21" i="8"/>
  <c r="BM21" i="5"/>
  <c r="BL125" i="8"/>
  <c r="BM125" i="5"/>
  <c r="BL77" i="8"/>
  <c r="BM77" i="5"/>
  <c r="BK26" i="8"/>
  <c r="BL26" i="5"/>
  <c r="BL169" i="8"/>
  <c r="BM169" i="5"/>
  <c r="BL99" i="8"/>
  <c r="BM99" i="5"/>
  <c r="BL203" i="8"/>
  <c r="BM203" i="5"/>
  <c r="BL106" i="8"/>
  <c r="BM106" i="5"/>
  <c r="BL153" i="8"/>
  <c r="BM153" i="5"/>
  <c r="BL101" i="8"/>
  <c r="BM101" i="5"/>
  <c r="BL208" i="8"/>
  <c r="BM208" i="5"/>
  <c r="BL199" i="8"/>
  <c r="BM199" i="5"/>
  <c r="BL29" i="8"/>
  <c r="BM29" i="5"/>
  <c r="BL174" i="8"/>
  <c r="BM174" i="5"/>
  <c r="BL11" i="8"/>
  <c r="BM11" i="5"/>
  <c r="BK205" i="8"/>
  <c r="BL205" i="5"/>
  <c r="BL86" i="8"/>
  <c r="BM86" i="5"/>
  <c r="BL74" i="8"/>
  <c r="BM74" i="5"/>
  <c r="BL10" i="8"/>
  <c r="BM10" i="5"/>
  <c r="BL177" i="8"/>
  <c r="BM177" i="5"/>
  <c r="BL91" i="8"/>
  <c r="BM91" i="5"/>
  <c r="BL204" i="8"/>
  <c r="BM204" i="5"/>
  <c r="BL191" i="8"/>
  <c r="BM191" i="5"/>
  <c r="BL188" i="8"/>
  <c r="BM188" i="5"/>
  <c r="BL149" i="8"/>
  <c r="BM149" i="5"/>
  <c r="BL117" i="8"/>
  <c r="BM117" i="5"/>
  <c r="BL56" i="8"/>
  <c r="BM56" i="5"/>
  <c r="BL66" i="8"/>
  <c r="BM66" i="5"/>
  <c r="BL13" i="8"/>
  <c r="BM13" i="5"/>
  <c r="BL124" i="8"/>
  <c r="BM124" i="5"/>
  <c r="BL39" i="8"/>
  <c r="BM39" i="5"/>
  <c r="BL84" i="8"/>
  <c r="BM84" i="5"/>
  <c r="BL72" i="8"/>
  <c r="BM72" i="5"/>
  <c r="BL147" i="8"/>
  <c r="BM147" i="5"/>
  <c r="BL19" i="8"/>
  <c r="BM19" i="5"/>
  <c r="BL104" i="8"/>
  <c r="BM104" i="5"/>
  <c r="BL37" i="8"/>
  <c r="BM37" i="5"/>
  <c r="BL44" i="8"/>
  <c r="BM44" i="5"/>
  <c r="BL100" i="8"/>
  <c r="BM100" i="5"/>
  <c r="BL95" i="8"/>
  <c r="BM95" i="5"/>
  <c r="BL179" i="8"/>
  <c r="BM179" i="5"/>
  <c r="BL207" i="8"/>
  <c r="BM207" i="5"/>
  <c r="BL69" i="8"/>
  <c r="BM69" i="5"/>
  <c r="BL138" i="8"/>
  <c r="BM138" i="5"/>
  <c r="BL53" i="8"/>
  <c r="BM53" i="5"/>
  <c r="BL114" i="8"/>
  <c r="BM114" i="5"/>
  <c r="BL15" i="8"/>
  <c r="BM15" i="5"/>
  <c r="BK71" i="8"/>
  <c r="BL71" i="5"/>
  <c r="BK36" i="8"/>
  <c r="BL36" i="5"/>
  <c r="BK70" i="8"/>
  <c r="BL70" i="5"/>
  <c r="BL195" i="8"/>
  <c r="BM195" i="5"/>
  <c r="BL38" i="8"/>
  <c r="BM38" i="5"/>
  <c r="BL93" i="8"/>
  <c r="BM93" i="5"/>
  <c r="BK97" i="8"/>
  <c r="BL97" i="5"/>
  <c r="BK51" i="8"/>
  <c r="BL51" i="5"/>
  <c r="BL67" i="8"/>
  <c r="BM67" i="5"/>
  <c r="BK24" i="8"/>
  <c r="BL24" i="5"/>
  <c r="BL76" i="8"/>
  <c r="BM76" i="5"/>
  <c r="BL59" i="8"/>
  <c r="BM59" i="5"/>
  <c r="BL35" i="8"/>
  <c r="BM35" i="5"/>
  <c r="BL96" i="8"/>
  <c r="BM96" i="5"/>
  <c r="BL178" i="8"/>
  <c r="BM178" i="5"/>
  <c r="BL48" i="8"/>
  <c r="BM48" i="5"/>
  <c r="BL218" i="8"/>
  <c r="BM218" i="5"/>
  <c r="BK221" i="8"/>
  <c r="BL221" i="5"/>
  <c r="BL133" i="8"/>
  <c r="BM133" i="5"/>
  <c r="BL143" i="8"/>
  <c r="BM143" i="5"/>
  <c r="BL68" i="8"/>
  <c r="BM68" i="5"/>
  <c r="BL220" i="8"/>
  <c r="BM220" i="5"/>
  <c r="BM68" i="8" l="1"/>
  <c r="BN68" i="5"/>
  <c r="BM133" i="8"/>
  <c r="BN133" i="5"/>
  <c r="BM218" i="8"/>
  <c r="BN218" i="5"/>
  <c r="BM178" i="8"/>
  <c r="BN178" i="5"/>
  <c r="BM35" i="8"/>
  <c r="BN35" i="5"/>
  <c r="BM76" i="8"/>
  <c r="BN76" i="5"/>
  <c r="BM67" i="8"/>
  <c r="BN67" i="5"/>
  <c r="BL97" i="8"/>
  <c r="BM97" i="5"/>
  <c r="BM38" i="8"/>
  <c r="BN38" i="5"/>
  <c r="BL70" i="8"/>
  <c r="BM70" i="5"/>
  <c r="BL71" i="8"/>
  <c r="BM71" i="5"/>
  <c r="BM114" i="8"/>
  <c r="BN114" i="5"/>
  <c r="BM138" i="8"/>
  <c r="BN138" i="5"/>
  <c r="BM207" i="8"/>
  <c r="BN207" i="5"/>
  <c r="BM95" i="8"/>
  <c r="BN95" i="5"/>
  <c r="BM44" i="8"/>
  <c r="BN44" i="5"/>
  <c r="BM104" i="8"/>
  <c r="BN104" i="5"/>
  <c r="BM147" i="8"/>
  <c r="BN147" i="5"/>
  <c r="BM84" i="8"/>
  <c r="BN84" i="5"/>
  <c r="BM124" i="8"/>
  <c r="BN124" i="5"/>
  <c r="BM66" i="8"/>
  <c r="BN66" i="5"/>
  <c r="BM117" i="8"/>
  <c r="BN117" i="5"/>
  <c r="BM188" i="8"/>
  <c r="BN188" i="5"/>
  <c r="BM204" i="8"/>
  <c r="BN204" i="5"/>
  <c r="BM177" i="8"/>
  <c r="BN177" i="5"/>
  <c r="BM74" i="8"/>
  <c r="BN74" i="5"/>
  <c r="BL205" i="8"/>
  <c r="BM205" i="5"/>
  <c r="BM174" i="8"/>
  <c r="BN174" i="5"/>
  <c r="BM199" i="8"/>
  <c r="BN199" i="5"/>
  <c r="BM101" i="8"/>
  <c r="BN101" i="5"/>
  <c r="BM106" i="8"/>
  <c r="BN106" i="5"/>
  <c r="BM99" i="8"/>
  <c r="BN99" i="5"/>
  <c r="BL26" i="8"/>
  <c r="BM26" i="5"/>
  <c r="BM125" i="8"/>
  <c r="BN125" i="5"/>
  <c r="BM82" i="8"/>
  <c r="BN82" i="5"/>
  <c r="BM180" i="8"/>
  <c r="BN180" i="5"/>
  <c r="BM45" i="8"/>
  <c r="BN45" i="5"/>
  <c r="BM126" i="8"/>
  <c r="BN126" i="5"/>
  <c r="BM27" i="8"/>
  <c r="BN27" i="5"/>
  <c r="BM73" i="8"/>
  <c r="BN73" i="5"/>
  <c r="BM113" i="8"/>
  <c r="BN113" i="5"/>
  <c r="BL4" i="8"/>
  <c r="BM4" i="5"/>
  <c r="BM90" i="8"/>
  <c r="BN90" i="5"/>
  <c r="BM172" i="8"/>
  <c r="BN172" i="5"/>
  <c r="BM14" i="8"/>
  <c r="BN14" i="5"/>
  <c r="BM140" i="8"/>
  <c r="BN140" i="5"/>
  <c r="BM159" i="8"/>
  <c r="BN159" i="5"/>
  <c r="BM33" i="8"/>
  <c r="BN33" i="5"/>
  <c r="BM127" i="8"/>
  <c r="BN127" i="5"/>
  <c r="BM32" i="8"/>
  <c r="BN32" i="5"/>
  <c r="BM175" i="8"/>
  <c r="BN175" i="5"/>
  <c r="BM119" i="8"/>
  <c r="BN119" i="5"/>
  <c r="BM156" i="8"/>
  <c r="BN156" i="5"/>
  <c r="BM161" i="8"/>
  <c r="BN161" i="5"/>
  <c r="BM198" i="8"/>
  <c r="BN198" i="5"/>
  <c r="BM142" i="8"/>
  <c r="BN142" i="5"/>
  <c r="BM40" i="8"/>
  <c r="BN40" i="5"/>
  <c r="BM152" i="8"/>
  <c r="BN152" i="5"/>
  <c r="BM22" i="8"/>
  <c r="BN22" i="5"/>
  <c r="BM215" i="8"/>
  <c r="BN215" i="5"/>
  <c r="BL47" i="8"/>
  <c r="BM47" i="5"/>
  <c r="BM132" i="8"/>
  <c r="BN132" i="5"/>
  <c r="BM18" i="8"/>
  <c r="BN18" i="5"/>
  <c r="BM57" i="8"/>
  <c r="BN57" i="5"/>
  <c r="BM122" i="8"/>
  <c r="BN122" i="5"/>
  <c r="BM167" i="8"/>
  <c r="BN167" i="5"/>
  <c r="BM110" i="8"/>
  <c r="BN110" i="5"/>
  <c r="BM141" i="8"/>
  <c r="BN141" i="5"/>
  <c r="BM170" i="8"/>
  <c r="BN170" i="5"/>
  <c r="BM154" i="8"/>
  <c r="BN154" i="5"/>
  <c r="BM120" i="8"/>
  <c r="BN120" i="5"/>
  <c r="BM41" i="8"/>
  <c r="BN41" i="5"/>
  <c r="BM108" i="8"/>
  <c r="BN108" i="5"/>
  <c r="BM89" i="8"/>
  <c r="BN89" i="5"/>
  <c r="BM157" i="8"/>
  <c r="BN157" i="5"/>
  <c r="BM136" i="8"/>
  <c r="BN136" i="5"/>
  <c r="BM209" i="8"/>
  <c r="BN209" i="5"/>
  <c r="BM105" i="8"/>
  <c r="BN105" i="5"/>
  <c r="BM206" i="8"/>
  <c r="BN206" i="5"/>
  <c r="BM164" i="8"/>
  <c r="BN164" i="5"/>
  <c r="BM190" i="8"/>
  <c r="BN190" i="5"/>
  <c r="BM112" i="8"/>
  <c r="BN112" i="5"/>
  <c r="BM16" i="8"/>
  <c r="BN16" i="5"/>
  <c r="BL5" i="8"/>
  <c r="BM5" i="5"/>
  <c r="BM158" i="8"/>
  <c r="BN158" i="5"/>
  <c r="BM137" i="8"/>
  <c r="BN137" i="5"/>
  <c r="BL102" i="8"/>
  <c r="BM102" i="5"/>
  <c r="BM163" i="8"/>
  <c r="BN163" i="5"/>
  <c r="BM187" i="8"/>
  <c r="BN187" i="5"/>
  <c r="BM49" i="8"/>
  <c r="BN49" i="5"/>
  <c r="BM148" i="8"/>
  <c r="BN148" i="5"/>
  <c r="BM201" i="8"/>
  <c r="BN201" i="5"/>
  <c r="BM131" i="8"/>
  <c r="BN131" i="5"/>
  <c r="BL111" i="8"/>
  <c r="BM111" i="5"/>
  <c r="BM64" i="8"/>
  <c r="BN64" i="5"/>
  <c r="BM78" i="8"/>
  <c r="BN78" i="5"/>
  <c r="BM121" i="8"/>
  <c r="BN121" i="5"/>
  <c r="BM42" i="8"/>
  <c r="BN42" i="5"/>
  <c r="BM220" i="8"/>
  <c r="BN220" i="5"/>
  <c r="BM143" i="8"/>
  <c r="BN143" i="5"/>
  <c r="BL221" i="8"/>
  <c r="BM221" i="5"/>
  <c r="BM48" i="8"/>
  <c r="BN48" i="5"/>
  <c r="BM96" i="8"/>
  <c r="BN96" i="5"/>
  <c r="BM59" i="8"/>
  <c r="BN59" i="5"/>
  <c r="BL24" i="8"/>
  <c r="BM24" i="5"/>
  <c r="BL51" i="8"/>
  <c r="BM51" i="5"/>
  <c r="BM93" i="8"/>
  <c r="BN93" i="5"/>
  <c r="BM195" i="8"/>
  <c r="BN195" i="5"/>
  <c r="BL36" i="8"/>
  <c r="BM36" i="5"/>
  <c r="BM15" i="8"/>
  <c r="BN15" i="5"/>
  <c r="BM53" i="8"/>
  <c r="BN53" i="5"/>
  <c r="BM69" i="8"/>
  <c r="BN69" i="5"/>
  <c r="BM179" i="8"/>
  <c r="BN179" i="5"/>
  <c r="BM100" i="8"/>
  <c r="BN100" i="5"/>
  <c r="BM37" i="8"/>
  <c r="BN37" i="5"/>
  <c r="BM19" i="8"/>
  <c r="BN19" i="5"/>
  <c r="BM72" i="8"/>
  <c r="BN72" i="5"/>
  <c r="BM39" i="8"/>
  <c r="BN39" i="5"/>
  <c r="BM13" i="8"/>
  <c r="BN13" i="5"/>
  <c r="BM56" i="8"/>
  <c r="BN56" i="5"/>
  <c r="BM149" i="8"/>
  <c r="BN149" i="5"/>
  <c r="BM191" i="8"/>
  <c r="BN191" i="5"/>
  <c r="BM91" i="8"/>
  <c r="BN91" i="5"/>
  <c r="BM10" i="8"/>
  <c r="BN10" i="5"/>
  <c r="BM86" i="8"/>
  <c r="BN86" i="5"/>
  <c r="BM11" i="8"/>
  <c r="BN11" i="5"/>
  <c r="BM29" i="8"/>
  <c r="BN29" i="5"/>
  <c r="BM208" i="8"/>
  <c r="BN208" i="5"/>
  <c r="BM153" i="8"/>
  <c r="BN153" i="5"/>
  <c r="BM203" i="8"/>
  <c r="BN203" i="5"/>
  <c r="BM169" i="8"/>
  <c r="BN169" i="5"/>
  <c r="BM77" i="8"/>
  <c r="BN77" i="5"/>
  <c r="BM21" i="8"/>
  <c r="BN21" i="5"/>
  <c r="BM196" i="8"/>
  <c r="BN196" i="5"/>
  <c r="BM212" i="8"/>
  <c r="BN212" i="5"/>
  <c r="BM54" i="8"/>
  <c r="BN54" i="5"/>
  <c r="BM23" i="8"/>
  <c r="BN23" i="5"/>
  <c r="BM98" i="8"/>
  <c r="BN98" i="5"/>
  <c r="BM197" i="8"/>
  <c r="BN197" i="5"/>
  <c r="BM123" i="8"/>
  <c r="BN123" i="5"/>
  <c r="BM162" i="8"/>
  <c r="BN162" i="5"/>
  <c r="BM85" i="8"/>
  <c r="BN85" i="5"/>
  <c r="BM92" i="8"/>
  <c r="BN92" i="5"/>
  <c r="BM160" i="8"/>
  <c r="BN160" i="5"/>
  <c r="BM62" i="8"/>
  <c r="BN62" i="5"/>
  <c r="BM183" i="8"/>
  <c r="BN183" i="5"/>
  <c r="BM60" i="8"/>
  <c r="BN60" i="5"/>
  <c r="BM193" i="8"/>
  <c r="BN193" i="5"/>
  <c r="BL6" i="8"/>
  <c r="BM6" i="5"/>
  <c r="BM210" i="8"/>
  <c r="BN210" i="5"/>
  <c r="BM61" i="8"/>
  <c r="BN61" i="5"/>
  <c r="BL189" i="8"/>
  <c r="BM189" i="5"/>
  <c r="BM216" i="8"/>
  <c r="BN216" i="5"/>
  <c r="BM135" i="8"/>
  <c r="BN135" i="5"/>
  <c r="BL20" i="8"/>
  <c r="BM20" i="5"/>
  <c r="BM25" i="8"/>
  <c r="BN25" i="5"/>
  <c r="BM182" i="8"/>
  <c r="BN182" i="5"/>
  <c r="BM103" i="8"/>
  <c r="BN103" i="5"/>
  <c r="BM185" i="8"/>
  <c r="BN185" i="5"/>
  <c r="BM130" i="8"/>
  <c r="BN130" i="5"/>
  <c r="BM214" i="8"/>
  <c r="BN214" i="5"/>
  <c r="BM30" i="8"/>
  <c r="BN30" i="5"/>
  <c r="BM151" i="8"/>
  <c r="BN151" i="5"/>
  <c r="BM50" i="8"/>
  <c r="BN50" i="5"/>
  <c r="BM128" i="8"/>
  <c r="BN128" i="5"/>
  <c r="BM173" i="8"/>
  <c r="BN173" i="5"/>
  <c r="BM184" i="8"/>
  <c r="BN184" i="5"/>
  <c r="BM213" i="8"/>
  <c r="BN213" i="5"/>
  <c r="BM9" i="8"/>
  <c r="BN9" i="5"/>
  <c r="BM129" i="8"/>
  <c r="BN129" i="5"/>
  <c r="BM58" i="8"/>
  <c r="BN58" i="5"/>
  <c r="BL34" i="8"/>
  <c r="BM34" i="5"/>
  <c r="BM109" i="8"/>
  <c r="BN109" i="5"/>
  <c r="BM55" i="8"/>
  <c r="BN55" i="5"/>
  <c r="BM94" i="8"/>
  <c r="BN94" i="5"/>
  <c r="BM211" i="8"/>
  <c r="BN211" i="5"/>
  <c r="BM12" i="8"/>
  <c r="BN12" i="5"/>
  <c r="BM165" i="8"/>
  <c r="BN165" i="5"/>
  <c r="BM176" i="8"/>
  <c r="BN176" i="5"/>
  <c r="BM28" i="8"/>
  <c r="BN28" i="5"/>
  <c r="BM116" i="8"/>
  <c r="BN116" i="5"/>
  <c r="BM139" i="8"/>
  <c r="BN139" i="5"/>
  <c r="BM80" i="8"/>
  <c r="BN80" i="5"/>
  <c r="BM166" i="8"/>
  <c r="BN166" i="5"/>
  <c r="BM63" i="8"/>
  <c r="BN63" i="5"/>
  <c r="BM17" i="8"/>
  <c r="BN17" i="5"/>
  <c r="BM146" i="8"/>
  <c r="BN146" i="5"/>
  <c r="BM200" i="8"/>
  <c r="BN200" i="5"/>
  <c r="BM145" i="8"/>
  <c r="BN145" i="5"/>
  <c r="BM88" i="8"/>
  <c r="BN88" i="5"/>
  <c r="BM155" i="8"/>
  <c r="BN155" i="5"/>
  <c r="BL115" i="8"/>
  <c r="BM115" i="5"/>
  <c r="BM46" i="8"/>
  <c r="BN46" i="5"/>
  <c r="BM171" i="8"/>
  <c r="BN171" i="5"/>
  <c r="BM202" i="8"/>
  <c r="BN202" i="5"/>
  <c r="BM87" i="8"/>
  <c r="BN87" i="5"/>
  <c r="BL75" i="8"/>
  <c r="BM75" i="5"/>
  <c r="BN171" i="8" l="1"/>
  <c r="BO171" i="5"/>
  <c r="BN88" i="8"/>
  <c r="BO88" i="5"/>
  <c r="BN17" i="8"/>
  <c r="BO17" i="5"/>
  <c r="BN139" i="8"/>
  <c r="BO139" i="5"/>
  <c r="BN165" i="8"/>
  <c r="BO165" i="5"/>
  <c r="BN55" i="8"/>
  <c r="BO55" i="5"/>
  <c r="BN129" i="8"/>
  <c r="BO129" i="5"/>
  <c r="BN173" i="8"/>
  <c r="BO173" i="5"/>
  <c r="BN30" i="8"/>
  <c r="BO30" i="5"/>
  <c r="BN25" i="8"/>
  <c r="BO25" i="5"/>
  <c r="BM189" i="8"/>
  <c r="BN189" i="5"/>
  <c r="BN193" i="8"/>
  <c r="BO193" i="5"/>
  <c r="BN160" i="8"/>
  <c r="BO160" i="5"/>
  <c r="BN123" i="8"/>
  <c r="BO123" i="5"/>
  <c r="BN54" i="8"/>
  <c r="BO54" i="5"/>
  <c r="BN196" i="8"/>
  <c r="BO196" i="5"/>
  <c r="BN203" i="8"/>
  <c r="BO203" i="5"/>
  <c r="BN11" i="8"/>
  <c r="BO11" i="5"/>
  <c r="BN191" i="8"/>
  <c r="BO191" i="5"/>
  <c r="BN39" i="8"/>
  <c r="BO39" i="5"/>
  <c r="BN100" i="8"/>
  <c r="BO100" i="5"/>
  <c r="BN15" i="8"/>
  <c r="BO15" i="5"/>
  <c r="BM51" i="8"/>
  <c r="BN51" i="5"/>
  <c r="BN48" i="8"/>
  <c r="BO48" i="5"/>
  <c r="BN42" i="8"/>
  <c r="BO42" i="5"/>
  <c r="BM111" i="8"/>
  <c r="BN111" i="5"/>
  <c r="BN49" i="8"/>
  <c r="BO49" i="5"/>
  <c r="BN137" i="8"/>
  <c r="BO137" i="5"/>
  <c r="BN112" i="8"/>
  <c r="BO112" i="5"/>
  <c r="BN105" i="8"/>
  <c r="BO105" i="5"/>
  <c r="BN89" i="8"/>
  <c r="BO89" i="5"/>
  <c r="BN154" i="8"/>
  <c r="BO154" i="5"/>
  <c r="BN167" i="8"/>
  <c r="BO167" i="5"/>
  <c r="BN132" i="8"/>
  <c r="BO132" i="5"/>
  <c r="BN152" i="8"/>
  <c r="BO152" i="5"/>
  <c r="BN161" i="8"/>
  <c r="BO161" i="5"/>
  <c r="BN32" i="8"/>
  <c r="BO32" i="5"/>
  <c r="BN140" i="8"/>
  <c r="BO140" i="5"/>
  <c r="BN73" i="8"/>
  <c r="BO73" i="5"/>
  <c r="BN180" i="8"/>
  <c r="BO180" i="5"/>
  <c r="BN174" i="8"/>
  <c r="BO174" i="5"/>
  <c r="BN178" i="8"/>
  <c r="BO178" i="5"/>
  <c r="BN87" i="8"/>
  <c r="BO87" i="5"/>
  <c r="BM115" i="8"/>
  <c r="BN115" i="5"/>
  <c r="BN200" i="8"/>
  <c r="BO200" i="5"/>
  <c r="BN166" i="8"/>
  <c r="BO166" i="5"/>
  <c r="BN28" i="8"/>
  <c r="BO28" i="5"/>
  <c r="BN211" i="8"/>
  <c r="BO211" i="5"/>
  <c r="BM34" i="8"/>
  <c r="BN34" i="5"/>
  <c r="BN213" i="8"/>
  <c r="BO213" i="5"/>
  <c r="BN50" i="8"/>
  <c r="BO50" i="5"/>
  <c r="BN103" i="8"/>
  <c r="BO103" i="5"/>
  <c r="BN135" i="8"/>
  <c r="BO135" i="5"/>
  <c r="BN210" i="8"/>
  <c r="BO210" i="5"/>
  <c r="BN183" i="8"/>
  <c r="BO183" i="5"/>
  <c r="BN85" i="8"/>
  <c r="BO85" i="5"/>
  <c r="BN98" i="8"/>
  <c r="BO98" i="5"/>
  <c r="BN77" i="8"/>
  <c r="BO77" i="5"/>
  <c r="BN208" i="8"/>
  <c r="BO208" i="5"/>
  <c r="BN10" i="8"/>
  <c r="BO10" i="5"/>
  <c r="BN56" i="8"/>
  <c r="BO56" i="5"/>
  <c r="BN19" i="8"/>
  <c r="BO19" i="5"/>
  <c r="BN69" i="8"/>
  <c r="BO69" i="5"/>
  <c r="BN195" i="8"/>
  <c r="BO195" i="5"/>
  <c r="BN59" i="8"/>
  <c r="BO59" i="5"/>
  <c r="BN143" i="8"/>
  <c r="BO143" i="5"/>
  <c r="BN78" i="8"/>
  <c r="BO78" i="5"/>
  <c r="BN201" i="8"/>
  <c r="BO201" i="5"/>
  <c r="BN163" i="8"/>
  <c r="BO163" i="5"/>
  <c r="BM5" i="8"/>
  <c r="BN5" i="5"/>
  <c r="BN164" i="8"/>
  <c r="BO164" i="5"/>
  <c r="BN136" i="8"/>
  <c r="BO136" i="5"/>
  <c r="BN41" i="8"/>
  <c r="BO41" i="5"/>
  <c r="BN141" i="8"/>
  <c r="BO141" i="5"/>
  <c r="BN57" i="8"/>
  <c r="BO57" i="5"/>
  <c r="BN215" i="8"/>
  <c r="BO215" i="5"/>
  <c r="BN142" i="8"/>
  <c r="BO142" i="5"/>
  <c r="BN119" i="8"/>
  <c r="BO119" i="5"/>
  <c r="BN33" i="8"/>
  <c r="BO33" i="5"/>
  <c r="BN172" i="8"/>
  <c r="BO172" i="5"/>
  <c r="BM4" i="8"/>
  <c r="BN4" i="5"/>
  <c r="BN126" i="8"/>
  <c r="BO126" i="5"/>
  <c r="BN125" i="8"/>
  <c r="BO125" i="5"/>
  <c r="BN99" i="8"/>
  <c r="BO99" i="5"/>
  <c r="BN101" i="8"/>
  <c r="BO101" i="5"/>
  <c r="BN74" i="8"/>
  <c r="BO74" i="5"/>
  <c r="BN204" i="8"/>
  <c r="BO204" i="5"/>
  <c r="BN117" i="8"/>
  <c r="BO117" i="5"/>
  <c r="BN124" i="8"/>
  <c r="BO124" i="5"/>
  <c r="BN147" i="8"/>
  <c r="BO147" i="5"/>
  <c r="BN44" i="8"/>
  <c r="BO44" i="5"/>
  <c r="BN207" i="8"/>
  <c r="BO207" i="5"/>
  <c r="BN114" i="8"/>
  <c r="BO114" i="5"/>
  <c r="BM70" i="8"/>
  <c r="BN70" i="5"/>
  <c r="BM97" i="8"/>
  <c r="BN97" i="5"/>
  <c r="BN76" i="8"/>
  <c r="BO76" i="5"/>
  <c r="BN133" i="8"/>
  <c r="BO133" i="5"/>
  <c r="BM75" i="8"/>
  <c r="BN75" i="5"/>
  <c r="BN202" i="8"/>
  <c r="BO202" i="5"/>
  <c r="BN46" i="8"/>
  <c r="BO46" i="5"/>
  <c r="BN155" i="8"/>
  <c r="BO155" i="5"/>
  <c r="BN145" i="8"/>
  <c r="BO145" i="5"/>
  <c r="BN146" i="8"/>
  <c r="BO146" i="5"/>
  <c r="BN63" i="8"/>
  <c r="BO63" i="5"/>
  <c r="BN80" i="8"/>
  <c r="BO80" i="5"/>
  <c r="BN116" i="8"/>
  <c r="BO116" i="5"/>
  <c r="BN176" i="8"/>
  <c r="BO176" i="5"/>
  <c r="BN12" i="8"/>
  <c r="BO12" i="5"/>
  <c r="BN94" i="8"/>
  <c r="BO94" i="5"/>
  <c r="BN109" i="8"/>
  <c r="BO109" i="5"/>
  <c r="BN58" i="8"/>
  <c r="BO58" i="5"/>
  <c r="BN9" i="8"/>
  <c r="BO9" i="5"/>
  <c r="BN184" i="8"/>
  <c r="BO184" i="5"/>
  <c r="BN128" i="8"/>
  <c r="BO128" i="5"/>
  <c r="BN151" i="8"/>
  <c r="BO151" i="5"/>
  <c r="BN214" i="8"/>
  <c r="BO214" i="5"/>
  <c r="BN185" i="8"/>
  <c r="BO185" i="5"/>
  <c r="BN182" i="8"/>
  <c r="BO182" i="5"/>
  <c r="BM20" i="8"/>
  <c r="BN20" i="5"/>
  <c r="BN216" i="8"/>
  <c r="BO216" i="5"/>
  <c r="BN61" i="8"/>
  <c r="BO61" i="5"/>
  <c r="BM6" i="8"/>
  <c r="BN6" i="5"/>
  <c r="BN60" i="8"/>
  <c r="BO60" i="5"/>
  <c r="BN62" i="8"/>
  <c r="BO62" i="5"/>
  <c r="BN92" i="8"/>
  <c r="BO92" i="5"/>
  <c r="BN162" i="8"/>
  <c r="BO162" i="5"/>
  <c r="BN197" i="8"/>
  <c r="BO197" i="5"/>
  <c r="BN23" i="8"/>
  <c r="BO23" i="5"/>
  <c r="BN212" i="8"/>
  <c r="BO212" i="5"/>
  <c r="BN21" i="8"/>
  <c r="BO21" i="5"/>
  <c r="BN169" i="8"/>
  <c r="BO169" i="5"/>
  <c r="BN153" i="8"/>
  <c r="BO153" i="5"/>
  <c r="BN29" i="8"/>
  <c r="BO29" i="5"/>
  <c r="BN86" i="8"/>
  <c r="BO86" i="5"/>
  <c r="BN91" i="8"/>
  <c r="BO91" i="5"/>
  <c r="BN149" i="8"/>
  <c r="BO149" i="5"/>
  <c r="BN13" i="8"/>
  <c r="BO13" i="5"/>
  <c r="BN72" i="8"/>
  <c r="BO72" i="5"/>
  <c r="BN37" i="8"/>
  <c r="BO37" i="5"/>
  <c r="BN179" i="8"/>
  <c r="BO179" i="5"/>
  <c r="BN53" i="8"/>
  <c r="BO53" i="5"/>
  <c r="BM36" i="8"/>
  <c r="BN36" i="5"/>
  <c r="BN93" i="8"/>
  <c r="BO93" i="5"/>
  <c r="BM24" i="8"/>
  <c r="BN24" i="5"/>
  <c r="BN96" i="8"/>
  <c r="BO96" i="5"/>
  <c r="BM221" i="8"/>
  <c r="BN221" i="5"/>
  <c r="BN220" i="8"/>
  <c r="BO220" i="5"/>
  <c r="BN121" i="8"/>
  <c r="BO121" i="5"/>
  <c r="BN64" i="8"/>
  <c r="BO64" i="5"/>
  <c r="BN131" i="8"/>
  <c r="BO131" i="5"/>
  <c r="BN148" i="8"/>
  <c r="BO148" i="5"/>
  <c r="BN187" i="8"/>
  <c r="BO187" i="5"/>
  <c r="BM102" i="8"/>
  <c r="BN102" i="5"/>
  <c r="BN158" i="8"/>
  <c r="BO158" i="5"/>
  <c r="BN16" i="8"/>
  <c r="BO16" i="5"/>
  <c r="BN190" i="8"/>
  <c r="BO190" i="5"/>
  <c r="BN206" i="8"/>
  <c r="BO206" i="5"/>
  <c r="BN209" i="8"/>
  <c r="BO209" i="5"/>
  <c r="BN157" i="8"/>
  <c r="BO157" i="5"/>
  <c r="BN108" i="8"/>
  <c r="BO108" i="5"/>
  <c r="BN120" i="8"/>
  <c r="BO120" i="5"/>
  <c r="BN170" i="8"/>
  <c r="BO170" i="5"/>
  <c r="BN110" i="8"/>
  <c r="BO110" i="5"/>
  <c r="BN122" i="8"/>
  <c r="BO122" i="5"/>
  <c r="BN18" i="8"/>
  <c r="BO18" i="5"/>
  <c r="BM47" i="8"/>
  <c r="BN47" i="5"/>
  <c r="BN22" i="8"/>
  <c r="BO22" i="5"/>
  <c r="BN40" i="8"/>
  <c r="BO40" i="5"/>
  <c r="BN198" i="8"/>
  <c r="BO198" i="5"/>
  <c r="BN156" i="8"/>
  <c r="BO156" i="5"/>
  <c r="BN175" i="8"/>
  <c r="BO175" i="5"/>
  <c r="BN127" i="8"/>
  <c r="BO127" i="5"/>
  <c r="BN159" i="8"/>
  <c r="BO159" i="5"/>
  <c r="BN14" i="8"/>
  <c r="BO14" i="5"/>
  <c r="BN90" i="8"/>
  <c r="BO90" i="5"/>
  <c r="BN113" i="8"/>
  <c r="BO113" i="5"/>
  <c r="BN27" i="8"/>
  <c r="BO27" i="5"/>
  <c r="BN45" i="8"/>
  <c r="BO45" i="5"/>
  <c r="BN82" i="8"/>
  <c r="BO82" i="5"/>
  <c r="BM26" i="8"/>
  <c r="BN26" i="5"/>
  <c r="BN106" i="8"/>
  <c r="BO106" i="5"/>
  <c r="BN199" i="8"/>
  <c r="BO199" i="5"/>
  <c r="BM205" i="8"/>
  <c r="BN205" i="5"/>
  <c r="BN177" i="8"/>
  <c r="BO177" i="5"/>
  <c r="BN188" i="8"/>
  <c r="BO188" i="5"/>
  <c r="BN66" i="8"/>
  <c r="BO66" i="5"/>
  <c r="BN84" i="8"/>
  <c r="BO84" i="5"/>
  <c r="BN104" i="8"/>
  <c r="BO104" i="5"/>
  <c r="BN95" i="8"/>
  <c r="BO95" i="5"/>
  <c r="BN138" i="8"/>
  <c r="BO138" i="5"/>
  <c r="BM71" i="8"/>
  <c r="BN71" i="5"/>
  <c r="BN38" i="8"/>
  <c r="BO38" i="5"/>
  <c r="BN67" i="8"/>
  <c r="BO67" i="5"/>
  <c r="BN35" i="8"/>
  <c r="BO35" i="5"/>
  <c r="BN218" i="8"/>
  <c r="BO218" i="5"/>
  <c r="BN68" i="8"/>
  <c r="BO68" i="5"/>
  <c r="BN130" i="8"/>
  <c r="BO130" i="5"/>
  <c r="BO68" i="8" l="1"/>
  <c r="BP68" i="5"/>
  <c r="BO35" i="8"/>
  <c r="BP35" i="5"/>
  <c r="BO38" i="8"/>
  <c r="BP38" i="5"/>
  <c r="BO138" i="8"/>
  <c r="BP138" i="5"/>
  <c r="BO104" i="8"/>
  <c r="BP104" i="5"/>
  <c r="BO66" i="8"/>
  <c r="BP66" i="5"/>
  <c r="BO177" i="8"/>
  <c r="BP177" i="5"/>
  <c r="BO199" i="8"/>
  <c r="BP199" i="5"/>
  <c r="BN26" i="8"/>
  <c r="BO26" i="5"/>
  <c r="BO45" i="8"/>
  <c r="BP45" i="5"/>
  <c r="BO113" i="8"/>
  <c r="BP113" i="5"/>
  <c r="BO14" i="8"/>
  <c r="BP14" i="5"/>
  <c r="BO127" i="8"/>
  <c r="BP127" i="5"/>
  <c r="BO156" i="8"/>
  <c r="BP156" i="5"/>
  <c r="BO40" i="8"/>
  <c r="BP40" i="5"/>
  <c r="BN47" i="8"/>
  <c r="BO47" i="5"/>
  <c r="BO122" i="8"/>
  <c r="BP122" i="5"/>
  <c r="BO170" i="8"/>
  <c r="BP170" i="5"/>
  <c r="BO108" i="8"/>
  <c r="BP108" i="5"/>
  <c r="BO209" i="8"/>
  <c r="BP209" i="5"/>
  <c r="BO190" i="8"/>
  <c r="BP190" i="5"/>
  <c r="BO158" i="8"/>
  <c r="BP158" i="5"/>
  <c r="BO187" i="8"/>
  <c r="BP187" i="5"/>
  <c r="BO131" i="8"/>
  <c r="BP131" i="5"/>
  <c r="BO121" i="8"/>
  <c r="BP121" i="5"/>
  <c r="BN221" i="8"/>
  <c r="BO221" i="5"/>
  <c r="BN24" i="8"/>
  <c r="BO24" i="5"/>
  <c r="BN36" i="8"/>
  <c r="BO36" i="5"/>
  <c r="BO179" i="8"/>
  <c r="BP179" i="5"/>
  <c r="BO72" i="8"/>
  <c r="BP72" i="5"/>
  <c r="BO149" i="8"/>
  <c r="BP149" i="5"/>
  <c r="BO86" i="8"/>
  <c r="BP86" i="5"/>
  <c r="BO153" i="8"/>
  <c r="BP153" i="5"/>
  <c r="BO21" i="8"/>
  <c r="BP21" i="5"/>
  <c r="BO23" i="8"/>
  <c r="BP23" i="5"/>
  <c r="BO162" i="8"/>
  <c r="BP162" i="5"/>
  <c r="BO62" i="8"/>
  <c r="BP62" i="5"/>
  <c r="BN6" i="8"/>
  <c r="BO6" i="5"/>
  <c r="BO216" i="8"/>
  <c r="BP216" i="5"/>
  <c r="BO182" i="8"/>
  <c r="BP182" i="5"/>
  <c r="BO214" i="8"/>
  <c r="BP214" i="5"/>
  <c r="BO128" i="8"/>
  <c r="BP128" i="5"/>
  <c r="BO9" i="8"/>
  <c r="BP9" i="5"/>
  <c r="BO109" i="8"/>
  <c r="BP109" i="5"/>
  <c r="BO12" i="8"/>
  <c r="BP12" i="5"/>
  <c r="BO116" i="8"/>
  <c r="BP116" i="5"/>
  <c r="BO63" i="8"/>
  <c r="BP63" i="5"/>
  <c r="BO145" i="8"/>
  <c r="BP145" i="5"/>
  <c r="BO46" i="8"/>
  <c r="BP46" i="5"/>
  <c r="BN75" i="8"/>
  <c r="BO75" i="5"/>
  <c r="BO76" i="8"/>
  <c r="BP76" i="5"/>
  <c r="BN70" i="8"/>
  <c r="BO70" i="5"/>
  <c r="BO207" i="8"/>
  <c r="BP207" i="5"/>
  <c r="BO147" i="8"/>
  <c r="BP147" i="5"/>
  <c r="BO117" i="8"/>
  <c r="BP117" i="5"/>
  <c r="BO74" i="8"/>
  <c r="BP74" i="5"/>
  <c r="BO99" i="8"/>
  <c r="BP99" i="5"/>
  <c r="BO126" i="8"/>
  <c r="BP126" i="5"/>
  <c r="BO172" i="8"/>
  <c r="BP172" i="5"/>
  <c r="BO119" i="8"/>
  <c r="BP119" i="5"/>
  <c r="BO215" i="8"/>
  <c r="BP215" i="5"/>
  <c r="BO141" i="8"/>
  <c r="BP141" i="5"/>
  <c r="BO136" i="8"/>
  <c r="BP136" i="5"/>
  <c r="BN5" i="8"/>
  <c r="BO5" i="5"/>
  <c r="BO201" i="8"/>
  <c r="BP201" i="5"/>
  <c r="BO143" i="8"/>
  <c r="BP143" i="5"/>
  <c r="BO195" i="8"/>
  <c r="BP195" i="5"/>
  <c r="BO19" i="8"/>
  <c r="BP19" i="5"/>
  <c r="BO10" i="8"/>
  <c r="BP10" i="5"/>
  <c r="BO77" i="8"/>
  <c r="BP77" i="5"/>
  <c r="BO85" i="8"/>
  <c r="BP85" i="5"/>
  <c r="BO210" i="8"/>
  <c r="BP210" i="5"/>
  <c r="BO103" i="8"/>
  <c r="BP103" i="5"/>
  <c r="BO213" i="8"/>
  <c r="BP213" i="5"/>
  <c r="BO211" i="8"/>
  <c r="BP211" i="5"/>
  <c r="BO166" i="8"/>
  <c r="BP166" i="5"/>
  <c r="BN115" i="8"/>
  <c r="BO115" i="5"/>
  <c r="BO178" i="8"/>
  <c r="BP178" i="5"/>
  <c r="BO180" i="8"/>
  <c r="BP180" i="5"/>
  <c r="BO140" i="8"/>
  <c r="BP140" i="5"/>
  <c r="BO161" i="8"/>
  <c r="BP161" i="5"/>
  <c r="BO132" i="8"/>
  <c r="BP132" i="5"/>
  <c r="BO154" i="8"/>
  <c r="BP154" i="5"/>
  <c r="BO105" i="8"/>
  <c r="BP105" i="5"/>
  <c r="BO137" i="8"/>
  <c r="BP137" i="5"/>
  <c r="BN111" i="8"/>
  <c r="BO111" i="5"/>
  <c r="BO48" i="8"/>
  <c r="BP48" i="5"/>
  <c r="BO15" i="8"/>
  <c r="BP15" i="5"/>
  <c r="BO39" i="8"/>
  <c r="BP39" i="5"/>
  <c r="BO11" i="8"/>
  <c r="BP11" i="5"/>
  <c r="BO196" i="8"/>
  <c r="BP196" i="5"/>
  <c r="BO123" i="8"/>
  <c r="BP123" i="5"/>
  <c r="BO193" i="8"/>
  <c r="BP193" i="5"/>
  <c r="BO25" i="8"/>
  <c r="BP25" i="5"/>
  <c r="BO173" i="8"/>
  <c r="BP173" i="5"/>
  <c r="BO55" i="8"/>
  <c r="BP55" i="5"/>
  <c r="BO139" i="8"/>
  <c r="BP139" i="5"/>
  <c r="BO88" i="8"/>
  <c r="BP88" i="5"/>
  <c r="BO130" i="8"/>
  <c r="BP130" i="5"/>
  <c r="BO218" i="8"/>
  <c r="BP218" i="5"/>
  <c r="BO67" i="8"/>
  <c r="BP67" i="5"/>
  <c r="BN71" i="8"/>
  <c r="BO71" i="5"/>
  <c r="BO95" i="8"/>
  <c r="BP95" i="5"/>
  <c r="BO84" i="8"/>
  <c r="BP84" i="5"/>
  <c r="BO188" i="8"/>
  <c r="BP188" i="5"/>
  <c r="BN205" i="8"/>
  <c r="BO205" i="5"/>
  <c r="BO106" i="8"/>
  <c r="BP106" i="5"/>
  <c r="BO82" i="8"/>
  <c r="BP82" i="5"/>
  <c r="BO27" i="8"/>
  <c r="BP27" i="5"/>
  <c r="BO90" i="8"/>
  <c r="BP90" i="5"/>
  <c r="BO159" i="8"/>
  <c r="BP159" i="5"/>
  <c r="BO175" i="8"/>
  <c r="BP175" i="5"/>
  <c r="BO198" i="8"/>
  <c r="BP198" i="5"/>
  <c r="BO22" i="8"/>
  <c r="BP22" i="5"/>
  <c r="BO18" i="8"/>
  <c r="BP18" i="5"/>
  <c r="BO110" i="8"/>
  <c r="BP110" i="5"/>
  <c r="BO120" i="8"/>
  <c r="BP120" i="5"/>
  <c r="BO157" i="8"/>
  <c r="BP157" i="5"/>
  <c r="BO206" i="8"/>
  <c r="BP206" i="5"/>
  <c r="BO16" i="8"/>
  <c r="BP16" i="5"/>
  <c r="BN102" i="8"/>
  <c r="BO102" i="5"/>
  <c r="BO148" i="8"/>
  <c r="BP148" i="5"/>
  <c r="BO64" i="8"/>
  <c r="BP64" i="5"/>
  <c r="BO220" i="8"/>
  <c r="BP220" i="5"/>
  <c r="BO96" i="8"/>
  <c r="BP96" i="5"/>
  <c r="BO93" i="8"/>
  <c r="BP93" i="5"/>
  <c r="BO53" i="8"/>
  <c r="BP53" i="5"/>
  <c r="BO37" i="8"/>
  <c r="BP37" i="5"/>
  <c r="BO13" i="8"/>
  <c r="BP13" i="5"/>
  <c r="BO91" i="8"/>
  <c r="BP91" i="5"/>
  <c r="BO29" i="8"/>
  <c r="BP29" i="5"/>
  <c r="BO169" i="8"/>
  <c r="BP169" i="5"/>
  <c r="BO212" i="8"/>
  <c r="BP212" i="5"/>
  <c r="BO197" i="8"/>
  <c r="BP197" i="5"/>
  <c r="BO92" i="8"/>
  <c r="BP92" i="5"/>
  <c r="BO60" i="8"/>
  <c r="BP60" i="5"/>
  <c r="BO61" i="8"/>
  <c r="BP61" i="5"/>
  <c r="BN20" i="8"/>
  <c r="BO20" i="5"/>
  <c r="BO185" i="8"/>
  <c r="BP185" i="5"/>
  <c r="BO151" i="8"/>
  <c r="BP151" i="5"/>
  <c r="BO184" i="8"/>
  <c r="BP184" i="5"/>
  <c r="BO58" i="8"/>
  <c r="BP58" i="5"/>
  <c r="BO94" i="8"/>
  <c r="BP94" i="5"/>
  <c r="BO176" i="8"/>
  <c r="BP176" i="5"/>
  <c r="BO80" i="8"/>
  <c r="BP80" i="5"/>
  <c r="BO146" i="8"/>
  <c r="BP146" i="5"/>
  <c r="BO155" i="8"/>
  <c r="BP155" i="5"/>
  <c r="BO202" i="8"/>
  <c r="BP202" i="5"/>
  <c r="BO133" i="8"/>
  <c r="BP133" i="5"/>
  <c r="BN97" i="8"/>
  <c r="BO97" i="5"/>
  <c r="BO114" i="8"/>
  <c r="BP114" i="5"/>
  <c r="BO44" i="8"/>
  <c r="BP44" i="5"/>
  <c r="BO124" i="8"/>
  <c r="BP124" i="5"/>
  <c r="BO204" i="8"/>
  <c r="BP204" i="5"/>
  <c r="BO101" i="8"/>
  <c r="BP101" i="5"/>
  <c r="BO125" i="8"/>
  <c r="BP125" i="5"/>
  <c r="BN4" i="8"/>
  <c r="BO4" i="5"/>
  <c r="BO33" i="8"/>
  <c r="BP33" i="5"/>
  <c r="BO142" i="8"/>
  <c r="BP142" i="5"/>
  <c r="BO57" i="8"/>
  <c r="BP57" i="5"/>
  <c r="BO41" i="8"/>
  <c r="BP41" i="5"/>
  <c r="BO164" i="8"/>
  <c r="BP164" i="5"/>
  <c r="BO163" i="8"/>
  <c r="BP163" i="5"/>
  <c r="BO78" i="8"/>
  <c r="BP78" i="5"/>
  <c r="BO59" i="8"/>
  <c r="BP59" i="5"/>
  <c r="BO69" i="8"/>
  <c r="BP69" i="5"/>
  <c r="BO56" i="8"/>
  <c r="BP56" i="5"/>
  <c r="BO208" i="8"/>
  <c r="BP208" i="5"/>
  <c r="BO98" i="8"/>
  <c r="BP98" i="5"/>
  <c r="BO183" i="8"/>
  <c r="BP183" i="5"/>
  <c r="BO135" i="8"/>
  <c r="BP135" i="5"/>
  <c r="BO50" i="8"/>
  <c r="BP50" i="5"/>
  <c r="BN34" i="8"/>
  <c r="BO34" i="5"/>
  <c r="BO28" i="8"/>
  <c r="BP28" i="5"/>
  <c r="BO200" i="8"/>
  <c r="BP200" i="5"/>
  <c r="BO87" i="8"/>
  <c r="BP87" i="5"/>
  <c r="BO174" i="8"/>
  <c r="BP174" i="5"/>
  <c r="BO73" i="8"/>
  <c r="BP73" i="5"/>
  <c r="BO32" i="8"/>
  <c r="BP32" i="5"/>
  <c r="BO152" i="8"/>
  <c r="BP152" i="5"/>
  <c r="BO167" i="8"/>
  <c r="BP167" i="5"/>
  <c r="BO89" i="8"/>
  <c r="BP89" i="5"/>
  <c r="BO112" i="8"/>
  <c r="BP112" i="5"/>
  <c r="BO49" i="8"/>
  <c r="BP49" i="5"/>
  <c r="BO42" i="8"/>
  <c r="BP42" i="5"/>
  <c r="BN51" i="8"/>
  <c r="BO51" i="5"/>
  <c r="BO100" i="8"/>
  <c r="BP100" i="5"/>
  <c r="BO191" i="8"/>
  <c r="BP191" i="5"/>
  <c r="BO203" i="8"/>
  <c r="BP203" i="5"/>
  <c r="BO54" i="8"/>
  <c r="BP54" i="5"/>
  <c r="BO160" i="8"/>
  <c r="BP160" i="5"/>
  <c r="BN189" i="8"/>
  <c r="BO189" i="5"/>
  <c r="BO30" i="8"/>
  <c r="BP30" i="5"/>
  <c r="BO129" i="8"/>
  <c r="BP129" i="5"/>
  <c r="BO165" i="8"/>
  <c r="BP165" i="5"/>
  <c r="BO17" i="8"/>
  <c r="BP17" i="5"/>
  <c r="BO171" i="8"/>
  <c r="BP171" i="5"/>
  <c r="BO189" i="8" l="1"/>
  <c r="BP189" i="5"/>
  <c r="BO51" i="8"/>
  <c r="BP51" i="5"/>
  <c r="BP73" i="8"/>
  <c r="BQ73" i="5"/>
  <c r="BP183" i="8"/>
  <c r="BQ183" i="5"/>
  <c r="BP164" i="8"/>
  <c r="BQ164" i="5"/>
  <c r="BP44" i="8"/>
  <c r="BQ44" i="5"/>
  <c r="BP58" i="8"/>
  <c r="BQ58" i="5"/>
  <c r="BP169" i="8"/>
  <c r="BQ169" i="5"/>
  <c r="BP220" i="8"/>
  <c r="BQ220" i="5"/>
  <c r="BP110" i="8"/>
  <c r="BQ110" i="5"/>
  <c r="BO205" i="8"/>
  <c r="BP205" i="5"/>
  <c r="BP88" i="8"/>
  <c r="BQ88" i="5"/>
  <c r="BP123" i="8"/>
  <c r="BQ123" i="5"/>
  <c r="BO111" i="8"/>
  <c r="BP111" i="5"/>
  <c r="BP132" i="8"/>
  <c r="BQ132" i="5"/>
  <c r="BP140" i="8"/>
  <c r="BQ140" i="5"/>
  <c r="BP178" i="8"/>
  <c r="BQ178" i="5"/>
  <c r="BP166" i="8"/>
  <c r="BQ166" i="5"/>
  <c r="BP210" i="8"/>
  <c r="BQ210" i="5"/>
  <c r="BP77" i="8"/>
  <c r="BQ77" i="5"/>
  <c r="BP19" i="8"/>
  <c r="BQ19" i="5"/>
  <c r="BP143" i="8"/>
  <c r="BQ143" i="5"/>
  <c r="BO5" i="8"/>
  <c r="BP5" i="5"/>
  <c r="BP141" i="8"/>
  <c r="BQ141" i="5"/>
  <c r="BP119" i="8"/>
  <c r="BQ119" i="5"/>
  <c r="BP126" i="8"/>
  <c r="BQ126" i="5"/>
  <c r="BP74" i="8"/>
  <c r="BQ74" i="5"/>
  <c r="BP147" i="8"/>
  <c r="BQ147" i="5"/>
  <c r="BO70" i="8"/>
  <c r="BP70" i="5"/>
  <c r="BO75" i="8"/>
  <c r="BP75" i="5"/>
  <c r="BP145" i="8"/>
  <c r="BQ145" i="5"/>
  <c r="BP116" i="8"/>
  <c r="BQ116" i="5"/>
  <c r="BP109" i="8"/>
  <c r="BQ109" i="5"/>
  <c r="BP128" i="8"/>
  <c r="BQ128" i="5"/>
  <c r="BP182" i="8"/>
  <c r="BQ182" i="5"/>
  <c r="BO6" i="8"/>
  <c r="BP6" i="5"/>
  <c r="BP162" i="8"/>
  <c r="BQ162" i="5"/>
  <c r="BP86" i="8"/>
  <c r="BQ86" i="5"/>
  <c r="BP72" i="8"/>
  <c r="BQ72" i="5"/>
  <c r="BO36" i="8"/>
  <c r="BP36" i="5"/>
  <c r="BO221" i="8"/>
  <c r="BP221" i="5"/>
  <c r="BP131" i="8"/>
  <c r="BQ131" i="5"/>
  <c r="BP158" i="8"/>
  <c r="BQ158" i="5"/>
  <c r="BP209" i="8"/>
  <c r="BQ209" i="5"/>
  <c r="BO47" i="8"/>
  <c r="BP47" i="5"/>
  <c r="BP156" i="8"/>
  <c r="BQ156" i="5"/>
  <c r="BP14" i="8"/>
  <c r="BQ14" i="5"/>
  <c r="BP45" i="8"/>
  <c r="BQ45" i="5"/>
  <c r="BP199" i="8"/>
  <c r="BQ199" i="5"/>
  <c r="BP66" i="8"/>
  <c r="BQ66" i="5"/>
  <c r="BP138" i="8"/>
  <c r="BQ138" i="5"/>
  <c r="BP35" i="8"/>
  <c r="BQ35" i="5"/>
  <c r="BP17" i="8"/>
  <c r="BQ17" i="5"/>
  <c r="BP54" i="8"/>
  <c r="BQ54" i="5"/>
  <c r="BP49" i="8"/>
  <c r="BQ49" i="5"/>
  <c r="BP152" i="8"/>
  <c r="BQ152" i="5"/>
  <c r="BP28" i="8"/>
  <c r="BQ28" i="5"/>
  <c r="BP208" i="8"/>
  <c r="BQ208" i="5"/>
  <c r="BP78" i="8"/>
  <c r="BQ78" i="5"/>
  <c r="BP33" i="8"/>
  <c r="BQ33" i="5"/>
  <c r="BP204" i="8"/>
  <c r="BQ204" i="5"/>
  <c r="BP202" i="8"/>
  <c r="BQ202" i="5"/>
  <c r="BP176" i="8"/>
  <c r="BQ176" i="5"/>
  <c r="BO20" i="8"/>
  <c r="BP20" i="5"/>
  <c r="BP197" i="8"/>
  <c r="BQ197" i="5"/>
  <c r="BP37" i="8"/>
  <c r="BQ37" i="5"/>
  <c r="BP148" i="8"/>
  <c r="BQ148" i="5"/>
  <c r="BP157" i="8"/>
  <c r="BQ157" i="5"/>
  <c r="BP175" i="8"/>
  <c r="BQ175" i="5"/>
  <c r="BP82" i="8"/>
  <c r="BQ82" i="5"/>
  <c r="BP218" i="8"/>
  <c r="BQ218" i="5"/>
  <c r="BP15" i="8"/>
  <c r="BQ15" i="5"/>
  <c r="BP21" i="8"/>
  <c r="BQ21" i="5"/>
  <c r="BP129" i="8"/>
  <c r="BQ129" i="5"/>
  <c r="BP191" i="8"/>
  <c r="BQ191" i="5"/>
  <c r="BP89" i="8"/>
  <c r="BQ89" i="5"/>
  <c r="BP87" i="8"/>
  <c r="BQ87" i="5"/>
  <c r="BP50" i="8"/>
  <c r="BQ50" i="5"/>
  <c r="BP69" i="8"/>
  <c r="BQ69" i="5"/>
  <c r="BP57" i="8"/>
  <c r="BQ57" i="5"/>
  <c r="BP125" i="8"/>
  <c r="BQ125" i="5"/>
  <c r="BO97" i="8"/>
  <c r="BP97" i="5"/>
  <c r="BP146" i="8"/>
  <c r="BQ146" i="5"/>
  <c r="BP151" i="8"/>
  <c r="BQ151" i="5"/>
  <c r="BP60" i="8"/>
  <c r="BQ60" i="5"/>
  <c r="BP91" i="8"/>
  <c r="BQ91" i="5"/>
  <c r="BP93" i="8"/>
  <c r="BQ93" i="5"/>
  <c r="BP16" i="8"/>
  <c r="BQ16" i="5"/>
  <c r="BP22" i="8"/>
  <c r="BQ22" i="5"/>
  <c r="BP90" i="8"/>
  <c r="BQ90" i="5"/>
  <c r="BP84" i="8"/>
  <c r="BQ84" i="5"/>
  <c r="BO71" i="8"/>
  <c r="BP71" i="5"/>
  <c r="BP55" i="8"/>
  <c r="BQ55" i="5"/>
  <c r="BP25" i="8"/>
  <c r="BQ25" i="5"/>
  <c r="BP11" i="8"/>
  <c r="BQ11" i="5"/>
  <c r="BP105" i="8"/>
  <c r="BQ105" i="5"/>
  <c r="BP213" i="8"/>
  <c r="BQ213" i="5"/>
  <c r="BP170" i="8"/>
  <c r="BQ170" i="5"/>
  <c r="BP171" i="8"/>
  <c r="BQ171" i="5"/>
  <c r="BP165" i="8"/>
  <c r="BQ165" i="5"/>
  <c r="BP30" i="8"/>
  <c r="BQ30" i="5"/>
  <c r="BP160" i="8"/>
  <c r="BQ160" i="5"/>
  <c r="BP203" i="8"/>
  <c r="BQ203" i="5"/>
  <c r="BP100" i="8"/>
  <c r="BQ100" i="5"/>
  <c r="BP42" i="8"/>
  <c r="BQ42" i="5"/>
  <c r="BP112" i="8"/>
  <c r="BQ112" i="5"/>
  <c r="BP167" i="8"/>
  <c r="BQ167" i="5"/>
  <c r="BP32" i="8"/>
  <c r="BQ32" i="5"/>
  <c r="BP174" i="8"/>
  <c r="BQ174" i="5"/>
  <c r="BP200" i="8"/>
  <c r="BQ200" i="5"/>
  <c r="BO34" i="8"/>
  <c r="BP34" i="5"/>
  <c r="BP135" i="8"/>
  <c r="BQ135" i="5"/>
  <c r="BP98" i="8"/>
  <c r="BQ98" i="5"/>
  <c r="BP56" i="8"/>
  <c r="BQ56" i="5"/>
  <c r="BP59" i="8"/>
  <c r="BQ59" i="5"/>
  <c r="BP163" i="8"/>
  <c r="BQ163" i="5"/>
  <c r="BP41" i="8"/>
  <c r="BQ41" i="5"/>
  <c r="BP142" i="8"/>
  <c r="BQ142" i="5"/>
  <c r="BO4" i="8"/>
  <c r="BP4" i="5"/>
  <c r="BP101" i="8"/>
  <c r="BQ101" i="5"/>
  <c r="BP124" i="8"/>
  <c r="BQ124" i="5"/>
  <c r="BP114" i="8"/>
  <c r="BQ114" i="5"/>
  <c r="BP133" i="8"/>
  <c r="BQ133" i="5"/>
  <c r="BP155" i="8"/>
  <c r="BQ155" i="5"/>
  <c r="BP80" i="8"/>
  <c r="BQ80" i="5"/>
  <c r="BP94" i="8"/>
  <c r="BQ94" i="5"/>
  <c r="BP184" i="8"/>
  <c r="BQ184" i="5"/>
  <c r="BP185" i="8"/>
  <c r="BQ185" i="5"/>
  <c r="BP61" i="8"/>
  <c r="BQ61" i="5"/>
  <c r="BP92" i="8"/>
  <c r="BQ92" i="5"/>
  <c r="BP212" i="8"/>
  <c r="BQ212" i="5"/>
  <c r="BP29" i="8"/>
  <c r="BQ29" i="5"/>
  <c r="BP13" i="8"/>
  <c r="BQ13" i="5"/>
  <c r="BP53" i="8"/>
  <c r="BQ53" i="5"/>
  <c r="BP96" i="8"/>
  <c r="BQ96" i="5"/>
  <c r="BP64" i="8"/>
  <c r="BQ64" i="5"/>
  <c r="BO102" i="8"/>
  <c r="BP102" i="5"/>
  <c r="BP206" i="8"/>
  <c r="BQ206" i="5"/>
  <c r="BP120" i="8"/>
  <c r="BQ120" i="5"/>
  <c r="BP18" i="8"/>
  <c r="BQ18" i="5"/>
  <c r="BP198" i="8"/>
  <c r="BQ198" i="5"/>
  <c r="BP159" i="8"/>
  <c r="BQ159" i="5"/>
  <c r="BP27" i="8"/>
  <c r="BQ27" i="5"/>
  <c r="BP106" i="8"/>
  <c r="BQ106" i="5"/>
  <c r="BP188" i="8"/>
  <c r="BQ188" i="5"/>
  <c r="BP95" i="8"/>
  <c r="BQ95" i="5"/>
  <c r="BP67" i="8"/>
  <c r="BQ67" i="5"/>
  <c r="BP130" i="8"/>
  <c r="BQ130" i="5"/>
  <c r="BP139" i="8"/>
  <c r="BQ139" i="5"/>
  <c r="BP173" i="8"/>
  <c r="BQ173" i="5"/>
  <c r="BP193" i="8"/>
  <c r="BQ193" i="5"/>
  <c r="BP196" i="8"/>
  <c r="BQ196" i="5"/>
  <c r="BP39" i="8"/>
  <c r="BQ39" i="5"/>
  <c r="BP48" i="8"/>
  <c r="BQ48" i="5"/>
  <c r="BP137" i="8"/>
  <c r="BQ137" i="5"/>
  <c r="BP154" i="8"/>
  <c r="BQ154" i="5"/>
  <c r="BP161" i="8"/>
  <c r="BQ161" i="5"/>
  <c r="BP180" i="8"/>
  <c r="BQ180" i="5"/>
  <c r="BO115" i="8"/>
  <c r="BP115" i="5"/>
  <c r="BP211" i="8"/>
  <c r="BQ211" i="5"/>
  <c r="BP103" i="8"/>
  <c r="BQ103" i="5"/>
  <c r="BP85" i="8"/>
  <c r="BQ85" i="5"/>
  <c r="BP10" i="8"/>
  <c r="BQ10" i="5"/>
  <c r="BP195" i="8"/>
  <c r="BQ195" i="5"/>
  <c r="BP201" i="8"/>
  <c r="BQ201" i="5"/>
  <c r="BP136" i="8"/>
  <c r="BQ136" i="5"/>
  <c r="BP215" i="8"/>
  <c r="BQ215" i="5"/>
  <c r="BP172" i="8"/>
  <c r="BQ172" i="5"/>
  <c r="BP99" i="8"/>
  <c r="BQ99" i="5"/>
  <c r="BP117" i="8"/>
  <c r="BQ117" i="5"/>
  <c r="BP207" i="8"/>
  <c r="BQ207" i="5"/>
  <c r="BP76" i="8"/>
  <c r="BQ76" i="5"/>
  <c r="BP46" i="8"/>
  <c r="BQ46" i="5"/>
  <c r="BP63" i="8"/>
  <c r="BQ63" i="5"/>
  <c r="BP12" i="8"/>
  <c r="BQ12" i="5"/>
  <c r="BP9" i="8"/>
  <c r="BQ9" i="5"/>
  <c r="BP214" i="8"/>
  <c r="BQ214" i="5"/>
  <c r="BP216" i="8"/>
  <c r="BQ216" i="5"/>
  <c r="BP62" i="8"/>
  <c r="BQ62" i="5"/>
  <c r="BP23" i="8"/>
  <c r="BQ23" i="5"/>
  <c r="BP153" i="8"/>
  <c r="BQ153" i="5"/>
  <c r="BP149" i="8"/>
  <c r="BQ149" i="5"/>
  <c r="BP179" i="8"/>
  <c r="BQ179" i="5"/>
  <c r="BO24" i="8"/>
  <c r="BP24" i="5"/>
  <c r="BP121" i="8"/>
  <c r="BQ121" i="5"/>
  <c r="BP187" i="8"/>
  <c r="BQ187" i="5"/>
  <c r="BP190" i="8"/>
  <c r="BQ190" i="5"/>
  <c r="BP108" i="8"/>
  <c r="BQ108" i="5"/>
  <c r="BP122" i="8"/>
  <c r="BQ122" i="5"/>
  <c r="BP40" i="8"/>
  <c r="BQ40" i="5"/>
  <c r="BP127" i="8"/>
  <c r="BQ127" i="5"/>
  <c r="BP113" i="8"/>
  <c r="BQ113" i="5"/>
  <c r="BO26" i="8"/>
  <c r="BP26" i="5"/>
  <c r="BP177" i="8"/>
  <c r="BQ177" i="5"/>
  <c r="BP104" i="8"/>
  <c r="BQ104" i="5"/>
  <c r="BP38" i="8"/>
  <c r="BQ38" i="5"/>
  <c r="BP68" i="8"/>
  <c r="BQ68" i="5"/>
  <c r="BQ177" i="8" l="1"/>
  <c r="BR177" i="5"/>
  <c r="BQ40" i="8"/>
  <c r="BR40" i="5"/>
  <c r="BQ187" i="8"/>
  <c r="BR187" i="5"/>
  <c r="BQ149" i="8"/>
  <c r="BR149" i="5"/>
  <c r="BQ216" i="8"/>
  <c r="BR216" i="5"/>
  <c r="BQ63" i="8"/>
  <c r="BR63" i="5"/>
  <c r="BQ117" i="8"/>
  <c r="BR117" i="5"/>
  <c r="BQ136" i="8"/>
  <c r="BR136" i="5"/>
  <c r="BQ85" i="8"/>
  <c r="BR85" i="5"/>
  <c r="BQ180" i="8"/>
  <c r="BR180" i="5"/>
  <c r="BQ48" i="8"/>
  <c r="BR48" i="5"/>
  <c r="BQ173" i="8"/>
  <c r="BR173" i="5"/>
  <c r="BQ95" i="8"/>
  <c r="BR95" i="5"/>
  <c r="BQ159" i="8"/>
  <c r="BR159" i="5"/>
  <c r="BQ206" i="8"/>
  <c r="BR206" i="5"/>
  <c r="BQ53" i="8"/>
  <c r="BR53" i="5"/>
  <c r="BQ92" i="8"/>
  <c r="BR92" i="5"/>
  <c r="BQ94" i="8"/>
  <c r="BR94" i="5"/>
  <c r="BQ101" i="8"/>
  <c r="BR101" i="5"/>
  <c r="BQ163" i="8"/>
  <c r="BR163" i="5"/>
  <c r="BQ135" i="8"/>
  <c r="BR135" i="5"/>
  <c r="BQ32" i="8"/>
  <c r="BR32" i="5"/>
  <c r="BQ112" i="8"/>
  <c r="BR112" i="5"/>
  <c r="BQ160" i="8"/>
  <c r="BR160" i="5"/>
  <c r="BQ170" i="8"/>
  <c r="BR170" i="5"/>
  <c r="BQ25" i="8"/>
  <c r="BR25" i="5"/>
  <c r="BQ90" i="8"/>
  <c r="BR90" i="5"/>
  <c r="BQ91" i="8"/>
  <c r="BR91" i="5"/>
  <c r="BP97" i="8"/>
  <c r="BQ97" i="5"/>
  <c r="BQ50" i="8"/>
  <c r="BR50" i="5"/>
  <c r="BQ129" i="8"/>
  <c r="BR129" i="5"/>
  <c r="BQ82" i="8"/>
  <c r="BR82" i="5"/>
  <c r="BQ37" i="8"/>
  <c r="BR37" i="5"/>
  <c r="BQ202" i="8"/>
  <c r="BR202" i="5"/>
  <c r="BQ208" i="8"/>
  <c r="BR208" i="5"/>
  <c r="BQ152" i="8"/>
  <c r="BR152" i="5"/>
  <c r="BQ35" i="8"/>
  <c r="BR35" i="5"/>
  <c r="BQ45" i="8"/>
  <c r="BR45" i="5"/>
  <c r="BQ209" i="8"/>
  <c r="BR209" i="5"/>
  <c r="BP36" i="8"/>
  <c r="BQ36" i="5"/>
  <c r="BP6" i="8"/>
  <c r="BQ6" i="5"/>
  <c r="BQ116" i="8"/>
  <c r="BR116" i="5"/>
  <c r="BQ147" i="8"/>
  <c r="BR147" i="5"/>
  <c r="BQ141" i="8"/>
  <c r="BR141" i="5"/>
  <c r="BQ166" i="8"/>
  <c r="BR166" i="5"/>
  <c r="BQ183" i="8"/>
  <c r="BR183" i="5"/>
  <c r="BQ38" i="8"/>
  <c r="BR38" i="5"/>
  <c r="BQ113" i="8"/>
  <c r="BR113" i="5"/>
  <c r="BQ108" i="8"/>
  <c r="BR108" i="5"/>
  <c r="BP24" i="8"/>
  <c r="BQ24" i="5"/>
  <c r="BQ23" i="8"/>
  <c r="BR23" i="5"/>
  <c r="BQ9" i="8"/>
  <c r="BR9" i="5"/>
  <c r="BQ76" i="8"/>
  <c r="BR76" i="5"/>
  <c r="BQ172" i="8"/>
  <c r="BR172" i="5"/>
  <c r="BQ195" i="8"/>
  <c r="BR195" i="5"/>
  <c r="BQ211" i="8"/>
  <c r="BR211" i="5"/>
  <c r="BQ154" i="8"/>
  <c r="BR154" i="5"/>
  <c r="BQ196" i="8"/>
  <c r="BR196" i="5"/>
  <c r="BQ130" i="8"/>
  <c r="BR130" i="5"/>
  <c r="BQ106" i="8"/>
  <c r="BR106" i="5"/>
  <c r="BQ18" i="8"/>
  <c r="BR18" i="5"/>
  <c r="BQ64" i="8"/>
  <c r="BR64" i="5"/>
  <c r="BQ29" i="8"/>
  <c r="BR29" i="5"/>
  <c r="BQ185" i="8"/>
  <c r="BR185" i="5"/>
  <c r="BQ155" i="8"/>
  <c r="BR155" i="5"/>
  <c r="BQ114" i="8"/>
  <c r="BR114" i="5"/>
  <c r="BQ142" i="8"/>
  <c r="BR142" i="5"/>
  <c r="BQ56" i="8"/>
  <c r="BR56" i="5"/>
  <c r="BQ200" i="8"/>
  <c r="BR200" i="5"/>
  <c r="BQ100" i="8"/>
  <c r="BR100" i="5"/>
  <c r="BQ165" i="8"/>
  <c r="BR165" i="5"/>
  <c r="BQ105" i="8"/>
  <c r="BR105" i="5"/>
  <c r="BP71" i="8"/>
  <c r="BQ71" i="5"/>
  <c r="BQ16" i="8"/>
  <c r="BR16" i="5"/>
  <c r="BQ151" i="8"/>
  <c r="BR151" i="5"/>
  <c r="BQ57" i="8"/>
  <c r="BR57" i="5"/>
  <c r="BQ89" i="8"/>
  <c r="BR89" i="5"/>
  <c r="BQ15" i="8"/>
  <c r="BR15" i="5"/>
  <c r="BQ157" i="8"/>
  <c r="BR157" i="5"/>
  <c r="BP20" i="8"/>
  <c r="BQ20" i="5"/>
  <c r="BQ33" i="8"/>
  <c r="BR33" i="5"/>
  <c r="BQ54" i="8"/>
  <c r="BR54" i="5"/>
  <c r="BQ66" i="8"/>
  <c r="BR66" i="5"/>
  <c r="BQ156" i="8"/>
  <c r="BR156" i="5"/>
  <c r="BQ131" i="8"/>
  <c r="BR131" i="5"/>
  <c r="BQ86" i="8"/>
  <c r="BR86" i="5"/>
  <c r="BQ128" i="8"/>
  <c r="BR128" i="5"/>
  <c r="BP75" i="8"/>
  <c r="BQ75" i="5"/>
  <c r="BQ126" i="8"/>
  <c r="BR126" i="5"/>
  <c r="BQ143" i="8"/>
  <c r="BR143" i="5"/>
  <c r="BQ77" i="8"/>
  <c r="BR77" i="5"/>
  <c r="BQ140" i="8"/>
  <c r="BR140" i="5"/>
  <c r="BP111" i="8"/>
  <c r="BQ111" i="5"/>
  <c r="BQ88" i="8"/>
  <c r="BR88" i="5"/>
  <c r="BQ110" i="8"/>
  <c r="BR110" i="5"/>
  <c r="BQ169" i="8"/>
  <c r="BR169" i="5"/>
  <c r="BQ44" i="8"/>
  <c r="BR44" i="5"/>
  <c r="BP51" i="8"/>
  <c r="BQ51" i="5"/>
  <c r="BQ68" i="8"/>
  <c r="BR68" i="5"/>
  <c r="BQ104" i="8"/>
  <c r="BR104" i="5"/>
  <c r="BP26" i="8"/>
  <c r="BQ26" i="5"/>
  <c r="BQ127" i="8"/>
  <c r="BR127" i="5"/>
  <c r="BQ122" i="8"/>
  <c r="BR122" i="5"/>
  <c r="BQ190" i="8"/>
  <c r="BR190" i="5"/>
  <c r="BQ121" i="8"/>
  <c r="BR121" i="5"/>
  <c r="BQ179" i="8"/>
  <c r="BR179" i="5"/>
  <c r="BQ153" i="8"/>
  <c r="BR153" i="5"/>
  <c r="BQ62" i="8"/>
  <c r="BR62" i="5"/>
  <c r="BQ214" i="8"/>
  <c r="BR214" i="5"/>
  <c r="BQ12" i="8"/>
  <c r="BR12" i="5"/>
  <c r="BQ46" i="8"/>
  <c r="BR46" i="5"/>
  <c r="BQ207" i="8"/>
  <c r="BR207" i="5"/>
  <c r="BQ99" i="8"/>
  <c r="BR99" i="5"/>
  <c r="BQ215" i="8"/>
  <c r="BR215" i="5"/>
  <c r="BQ201" i="8"/>
  <c r="BR201" i="5"/>
  <c r="BQ10" i="8"/>
  <c r="BR10" i="5"/>
  <c r="BQ103" i="8"/>
  <c r="BR103" i="5"/>
  <c r="BP115" i="8"/>
  <c r="BQ115" i="5"/>
  <c r="BQ161" i="8"/>
  <c r="BR161" i="5"/>
  <c r="BQ137" i="8"/>
  <c r="BR137" i="5"/>
  <c r="BQ39" i="8"/>
  <c r="BR39" i="5"/>
  <c r="BQ193" i="8"/>
  <c r="BR193" i="5"/>
  <c r="BQ139" i="8"/>
  <c r="BR139" i="5"/>
  <c r="BQ67" i="8"/>
  <c r="BR67" i="5"/>
  <c r="BQ188" i="8"/>
  <c r="BR188" i="5"/>
  <c r="BQ27" i="8"/>
  <c r="BR27" i="5"/>
  <c r="BQ198" i="8"/>
  <c r="BR198" i="5"/>
  <c r="BQ120" i="8"/>
  <c r="BR120" i="5"/>
  <c r="BP102" i="8"/>
  <c r="BQ102" i="5"/>
  <c r="BQ96" i="8"/>
  <c r="BR96" i="5"/>
  <c r="BQ13" i="8"/>
  <c r="BR13" i="5"/>
  <c r="BQ212" i="8"/>
  <c r="BR212" i="5"/>
  <c r="BQ61" i="8"/>
  <c r="BR61" i="5"/>
  <c r="BQ184" i="8"/>
  <c r="BR184" i="5"/>
  <c r="BQ80" i="8"/>
  <c r="BR80" i="5"/>
  <c r="BQ133" i="8"/>
  <c r="BR133" i="5"/>
  <c r="BQ124" i="8"/>
  <c r="BR124" i="5"/>
  <c r="BP4" i="8"/>
  <c r="BQ4" i="5"/>
  <c r="BQ41" i="8"/>
  <c r="BR41" i="5"/>
  <c r="BQ59" i="8"/>
  <c r="BR59" i="5"/>
  <c r="BQ98" i="8"/>
  <c r="BR98" i="5"/>
  <c r="BP34" i="8"/>
  <c r="BQ34" i="5"/>
  <c r="BQ174" i="8"/>
  <c r="BR174" i="5"/>
  <c r="BQ167" i="8"/>
  <c r="BR167" i="5"/>
  <c r="BQ42" i="8"/>
  <c r="BR42" i="5"/>
  <c r="BQ203" i="8"/>
  <c r="BR203" i="5"/>
  <c r="BQ30" i="8"/>
  <c r="BR30" i="5"/>
  <c r="BQ171" i="8"/>
  <c r="BR171" i="5"/>
  <c r="BQ213" i="8"/>
  <c r="BR213" i="5"/>
  <c r="BQ11" i="8"/>
  <c r="BR11" i="5"/>
  <c r="BQ55" i="8"/>
  <c r="BR55" i="5"/>
  <c r="BQ84" i="8"/>
  <c r="BR84" i="5"/>
  <c r="BQ22" i="8"/>
  <c r="BR22" i="5"/>
  <c r="BQ93" i="8"/>
  <c r="BR93" i="5"/>
  <c r="BQ60" i="8"/>
  <c r="BR60" i="5"/>
  <c r="BQ146" i="8"/>
  <c r="BR146" i="5"/>
  <c r="BQ125" i="8"/>
  <c r="BR125" i="5"/>
  <c r="BQ69" i="8"/>
  <c r="BR69" i="5"/>
  <c r="BQ87" i="8"/>
  <c r="BR87" i="5"/>
  <c r="BQ191" i="8"/>
  <c r="BR191" i="5"/>
  <c r="BQ21" i="8"/>
  <c r="BR21" i="5"/>
  <c r="BQ218" i="8"/>
  <c r="BR218" i="5"/>
  <c r="BQ175" i="8"/>
  <c r="BR175" i="5"/>
  <c r="BQ148" i="8"/>
  <c r="BR148" i="5"/>
  <c r="BQ197" i="8"/>
  <c r="BR197" i="5"/>
  <c r="BQ176" i="8"/>
  <c r="BR176" i="5"/>
  <c r="BQ204" i="8"/>
  <c r="BR204" i="5"/>
  <c r="BQ78" i="8"/>
  <c r="BR78" i="5"/>
  <c r="BQ28" i="8"/>
  <c r="BR28" i="5"/>
  <c r="BQ49" i="8"/>
  <c r="BR49" i="5"/>
  <c r="BQ17" i="8"/>
  <c r="BR17" i="5"/>
  <c r="BQ138" i="8"/>
  <c r="BR138" i="5"/>
  <c r="BQ199" i="8"/>
  <c r="BR199" i="5"/>
  <c r="BQ14" i="8"/>
  <c r="BR14" i="5"/>
  <c r="BP47" i="8"/>
  <c r="BQ47" i="5"/>
  <c r="BQ158" i="8"/>
  <c r="BR158" i="5"/>
  <c r="BP221" i="8"/>
  <c r="BQ221" i="5"/>
  <c r="BQ72" i="8"/>
  <c r="BR72" i="5"/>
  <c r="BQ162" i="8"/>
  <c r="BR162" i="5"/>
  <c r="BQ182" i="8"/>
  <c r="BR182" i="5"/>
  <c r="BQ109" i="8"/>
  <c r="BR109" i="5"/>
  <c r="BQ145" i="8"/>
  <c r="BR145" i="5"/>
  <c r="BP70" i="8"/>
  <c r="BQ70" i="5"/>
  <c r="BQ74" i="8"/>
  <c r="BR74" i="5"/>
  <c r="BQ119" i="8"/>
  <c r="BR119" i="5"/>
  <c r="BP5" i="8"/>
  <c r="BQ5" i="5"/>
  <c r="BQ19" i="8"/>
  <c r="BR19" i="5"/>
  <c r="BQ210" i="8"/>
  <c r="BR210" i="5"/>
  <c r="BQ178" i="8"/>
  <c r="BR178" i="5"/>
  <c r="BQ132" i="8"/>
  <c r="BR132" i="5"/>
  <c r="BQ123" i="8"/>
  <c r="BR123" i="5"/>
  <c r="BP205" i="8"/>
  <c r="BQ205" i="5"/>
  <c r="BQ220" i="8"/>
  <c r="BR220" i="5"/>
  <c r="BQ58" i="8"/>
  <c r="BR58" i="5"/>
  <c r="BQ164" i="8"/>
  <c r="BR164" i="5"/>
  <c r="BQ73" i="8"/>
  <c r="BR73" i="5"/>
  <c r="BP189" i="8"/>
  <c r="BQ189" i="5"/>
  <c r="BR73" i="8" l="1"/>
  <c r="BS73" i="5"/>
  <c r="BS73" i="8" s="1"/>
  <c r="BQ205" i="8"/>
  <c r="BR205" i="5"/>
  <c r="BR210" i="8"/>
  <c r="BS210" i="5"/>
  <c r="BS210" i="8" s="1"/>
  <c r="BR74" i="8"/>
  <c r="BS74" i="5"/>
  <c r="BS74" i="8" s="1"/>
  <c r="BR182" i="8"/>
  <c r="BS182" i="5"/>
  <c r="BS182" i="8" s="1"/>
  <c r="BR158" i="8"/>
  <c r="BS158" i="5"/>
  <c r="BS158" i="8" s="1"/>
  <c r="BR138" i="8"/>
  <c r="BS138" i="5"/>
  <c r="BS138" i="8" s="1"/>
  <c r="BR78" i="8"/>
  <c r="BS78" i="5"/>
  <c r="BS78" i="8" s="1"/>
  <c r="BR148" i="8"/>
  <c r="BS148" i="5"/>
  <c r="BS148" i="8" s="1"/>
  <c r="BR191" i="8"/>
  <c r="BS191" i="5"/>
  <c r="BS191" i="8" s="1"/>
  <c r="BR146" i="8"/>
  <c r="BS146" i="5"/>
  <c r="BS146" i="8" s="1"/>
  <c r="BR84" i="8"/>
  <c r="BS84" i="5"/>
  <c r="BS84" i="8" s="1"/>
  <c r="BR171" i="8"/>
  <c r="BS171" i="5"/>
  <c r="BS171" i="8" s="1"/>
  <c r="BR167" i="8"/>
  <c r="BS167" i="5"/>
  <c r="BS167" i="8" s="1"/>
  <c r="BR59" i="8"/>
  <c r="BS59" i="5"/>
  <c r="BS59" i="8" s="1"/>
  <c r="BR133" i="8"/>
  <c r="BS133" i="5"/>
  <c r="BS133" i="8" s="1"/>
  <c r="BR212" i="8"/>
  <c r="BS212" i="5"/>
  <c r="BS212" i="8" s="1"/>
  <c r="BR96" i="8"/>
  <c r="BS96" i="5"/>
  <c r="BS96" i="8" s="1"/>
  <c r="BR67" i="8"/>
  <c r="BS67" i="5"/>
  <c r="BS67" i="8" s="1"/>
  <c r="BR137" i="8"/>
  <c r="BS137" i="5"/>
  <c r="BS137" i="8" s="1"/>
  <c r="BR10" i="8"/>
  <c r="BS10" i="5"/>
  <c r="BS10" i="8" s="1"/>
  <c r="BR207" i="8"/>
  <c r="BS207" i="5"/>
  <c r="BS207" i="8" s="1"/>
  <c r="BR62" i="8"/>
  <c r="BS62" i="5"/>
  <c r="BS62" i="8" s="1"/>
  <c r="BR190" i="8"/>
  <c r="BS190" i="5"/>
  <c r="BS190" i="8" s="1"/>
  <c r="BR104" i="8"/>
  <c r="BS104" i="5"/>
  <c r="BS104" i="8" s="1"/>
  <c r="BR169" i="8"/>
  <c r="BS169" i="5"/>
  <c r="BS169" i="8" s="1"/>
  <c r="BR143" i="8"/>
  <c r="BS143" i="5"/>
  <c r="BS143" i="8" s="1"/>
  <c r="BR86" i="8"/>
  <c r="BS86" i="5"/>
  <c r="BS86" i="8" s="1"/>
  <c r="BR156" i="8"/>
  <c r="BS156" i="5"/>
  <c r="BS156" i="8" s="1"/>
  <c r="BQ20" i="8"/>
  <c r="BR20" i="5"/>
  <c r="BR57" i="8"/>
  <c r="BS57" i="5"/>
  <c r="BS57" i="8" s="1"/>
  <c r="BR105" i="8"/>
  <c r="BS105" i="5"/>
  <c r="BS105" i="8" s="1"/>
  <c r="BR56" i="8"/>
  <c r="BS56" i="5"/>
  <c r="BS56" i="8" s="1"/>
  <c r="BR185" i="8"/>
  <c r="BS185" i="5"/>
  <c r="BS185" i="8" s="1"/>
  <c r="BR106" i="8"/>
  <c r="BS106" i="5"/>
  <c r="BS106" i="8" s="1"/>
  <c r="BR211" i="8"/>
  <c r="BS211" i="5"/>
  <c r="BS211" i="8" s="1"/>
  <c r="BR9" i="8"/>
  <c r="BS9" i="5"/>
  <c r="BS9" i="8" s="1"/>
  <c r="BR183" i="8"/>
  <c r="BS183" i="5"/>
  <c r="BS183" i="8" s="1"/>
  <c r="BR152" i="8"/>
  <c r="BS152" i="5"/>
  <c r="BS152" i="8" s="1"/>
  <c r="BR149" i="8"/>
  <c r="BS149" i="5"/>
  <c r="BS149" i="8" s="1"/>
  <c r="BR58" i="8"/>
  <c r="BS58" i="5"/>
  <c r="BS58" i="8" s="1"/>
  <c r="BR132" i="8"/>
  <c r="BS132" i="5"/>
  <c r="BS132" i="8" s="1"/>
  <c r="BQ5" i="8"/>
  <c r="BR5" i="5"/>
  <c r="BR145" i="8"/>
  <c r="BS145" i="5"/>
  <c r="BS145" i="8" s="1"/>
  <c r="BR72" i="8"/>
  <c r="BS72" i="5"/>
  <c r="BS72" i="8" s="1"/>
  <c r="BR14" i="8"/>
  <c r="BS14" i="5"/>
  <c r="BS14" i="8" s="1"/>
  <c r="BR49" i="8"/>
  <c r="BS49" i="5"/>
  <c r="BS49" i="8" s="1"/>
  <c r="BR176" i="8"/>
  <c r="BS176" i="5"/>
  <c r="BS176" i="8" s="1"/>
  <c r="BR218" i="8"/>
  <c r="BS218" i="5"/>
  <c r="BS218" i="8" s="1"/>
  <c r="BR69" i="8"/>
  <c r="BS69" i="5"/>
  <c r="BS69" i="8" s="1"/>
  <c r="BR93" i="8"/>
  <c r="BS93" i="5"/>
  <c r="BS93" i="8" s="1"/>
  <c r="BR11" i="8"/>
  <c r="BS11" i="5"/>
  <c r="BS11" i="8" s="1"/>
  <c r="BR203" i="8"/>
  <c r="BS203" i="5"/>
  <c r="BS203" i="8" s="1"/>
  <c r="BQ34" i="8"/>
  <c r="BR34" i="5"/>
  <c r="BQ4" i="8"/>
  <c r="BR4" i="5"/>
  <c r="BR184" i="8"/>
  <c r="BS184" i="5"/>
  <c r="BS184" i="8" s="1"/>
  <c r="BR120" i="8"/>
  <c r="BS120" i="5"/>
  <c r="BS120" i="8" s="1"/>
  <c r="BR193" i="8"/>
  <c r="BS193" i="5"/>
  <c r="BS193" i="8" s="1"/>
  <c r="BQ115" i="8"/>
  <c r="BR115" i="5"/>
  <c r="BR215" i="8"/>
  <c r="BS215" i="5"/>
  <c r="BS215" i="8" s="1"/>
  <c r="BR12" i="8"/>
  <c r="BS12" i="5"/>
  <c r="BS12" i="8" s="1"/>
  <c r="BR179" i="8"/>
  <c r="BS179" i="5"/>
  <c r="BS179" i="8" s="1"/>
  <c r="BR127" i="8"/>
  <c r="BS127" i="5"/>
  <c r="BS127" i="8" s="1"/>
  <c r="BQ51" i="8"/>
  <c r="BR51" i="5"/>
  <c r="BR88" i="8"/>
  <c r="BS88" i="5"/>
  <c r="BS88" i="8" s="1"/>
  <c r="BR140" i="8"/>
  <c r="BS140" i="5"/>
  <c r="BS140" i="8" s="1"/>
  <c r="BQ75" i="8"/>
  <c r="BR75" i="5"/>
  <c r="BR54" i="8"/>
  <c r="BS54" i="5"/>
  <c r="BS54" i="8" s="1"/>
  <c r="BR15" i="8"/>
  <c r="BS15" i="5"/>
  <c r="BS15" i="8" s="1"/>
  <c r="BR16" i="8"/>
  <c r="BS16" i="5"/>
  <c r="BS16" i="8" s="1"/>
  <c r="BR100" i="8"/>
  <c r="BS100" i="5"/>
  <c r="BS100" i="8" s="1"/>
  <c r="BR114" i="8"/>
  <c r="BS114" i="5"/>
  <c r="BS114" i="8" s="1"/>
  <c r="BR64" i="8"/>
  <c r="BS64" i="5"/>
  <c r="BS64" i="8" s="1"/>
  <c r="BR196" i="8"/>
  <c r="BS196" i="5"/>
  <c r="BS196" i="8" s="1"/>
  <c r="BR172" i="8"/>
  <c r="BS172" i="5"/>
  <c r="BS172" i="8" s="1"/>
  <c r="BQ24" i="8"/>
  <c r="BR24" i="5"/>
  <c r="BR113" i="8"/>
  <c r="BS113" i="5"/>
  <c r="BS113" i="8" s="1"/>
  <c r="BR141" i="8"/>
  <c r="BS141" i="5"/>
  <c r="BS141" i="8" s="1"/>
  <c r="BR116" i="8"/>
  <c r="BS116" i="5"/>
  <c r="BS116" i="8" s="1"/>
  <c r="BQ36" i="8"/>
  <c r="BR36" i="5"/>
  <c r="BR45" i="8"/>
  <c r="BS45" i="5"/>
  <c r="BS45" i="8" s="1"/>
  <c r="BR202" i="8"/>
  <c r="BS202" i="5"/>
  <c r="BS202" i="8" s="1"/>
  <c r="BR82" i="8"/>
  <c r="BS82" i="5"/>
  <c r="BS82" i="8" s="1"/>
  <c r="BR50" i="8"/>
  <c r="BS50" i="5"/>
  <c r="BS50" i="8" s="1"/>
  <c r="BR91" i="8"/>
  <c r="BS91" i="5"/>
  <c r="BS91" i="8" s="1"/>
  <c r="BR25" i="8"/>
  <c r="BS25" i="5"/>
  <c r="BS25" i="8" s="1"/>
  <c r="BR160" i="8"/>
  <c r="BS160" i="5"/>
  <c r="BS160" i="8" s="1"/>
  <c r="BR32" i="8"/>
  <c r="BS32" i="5"/>
  <c r="BS32" i="8" s="1"/>
  <c r="BR163" i="8"/>
  <c r="BS163" i="5"/>
  <c r="BS163" i="8" s="1"/>
  <c r="BR94" i="8"/>
  <c r="BS94" i="5"/>
  <c r="BS94" i="8" s="1"/>
  <c r="BR53" i="8"/>
  <c r="BS53" i="5"/>
  <c r="BS53" i="8" s="1"/>
  <c r="BR159" i="8"/>
  <c r="BS159" i="5"/>
  <c r="BS159" i="8" s="1"/>
  <c r="BR173" i="8"/>
  <c r="BS173" i="5"/>
  <c r="BS173" i="8" s="1"/>
  <c r="BR180" i="8"/>
  <c r="BS180" i="5"/>
  <c r="BS180" i="8" s="1"/>
  <c r="BR136" i="8"/>
  <c r="BS136" i="5"/>
  <c r="BS136" i="8" s="1"/>
  <c r="BR63" i="8"/>
  <c r="BS63" i="5"/>
  <c r="BS63" i="8" s="1"/>
  <c r="BR40" i="8"/>
  <c r="BS40" i="5"/>
  <c r="BS40" i="8" s="1"/>
  <c r="BQ189" i="8"/>
  <c r="BR189" i="5"/>
  <c r="BR164" i="8"/>
  <c r="BS164" i="5"/>
  <c r="BS164" i="8" s="1"/>
  <c r="BR220" i="8"/>
  <c r="BS220" i="5"/>
  <c r="BS220" i="8" s="1"/>
  <c r="BR123" i="8"/>
  <c r="BS123" i="5"/>
  <c r="BS123" i="8" s="1"/>
  <c r="BR178" i="8"/>
  <c r="BS178" i="5"/>
  <c r="BS178" i="8" s="1"/>
  <c r="BR19" i="8"/>
  <c r="BS19" i="5"/>
  <c r="BS19" i="8" s="1"/>
  <c r="BR119" i="8"/>
  <c r="BS119" i="5"/>
  <c r="BS119" i="8" s="1"/>
  <c r="BQ70" i="8"/>
  <c r="BR70" i="5"/>
  <c r="BR109" i="8"/>
  <c r="BS109" i="5"/>
  <c r="BS109" i="8" s="1"/>
  <c r="BR162" i="8"/>
  <c r="BS162" i="5"/>
  <c r="BS162" i="8" s="1"/>
  <c r="BQ221" i="8"/>
  <c r="BR221" i="5"/>
  <c r="BQ47" i="8"/>
  <c r="BR47" i="5"/>
  <c r="BR199" i="8"/>
  <c r="BS199" i="5"/>
  <c r="BS199" i="8" s="1"/>
  <c r="BR17" i="8"/>
  <c r="BS17" i="5"/>
  <c r="BS17" i="8" s="1"/>
  <c r="BR28" i="8"/>
  <c r="BS28" i="5"/>
  <c r="BS28" i="8" s="1"/>
  <c r="BR204" i="8"/>
  <c r="BS204" i="5"/>
  <c r="BS204" i="8" s="1"/>
  <c r="BR197" i="8"/>
  <c r="BS197" i="5"/>
  <c r="BS197" i="8" s="1"/>
  <c r="BR175" i="8"/>
  <c r="BS175" i="5"/>
  <c r="BS175" i="8" s="1"/>
  <c r="BR21" i="8"/>
  <c r="BS21" i="5"/>
  <c r="BS21" i="8" s="1"/>
  <c r="BR87" i="8"/>
  <c r="BS87" i="5"/>
  <c r="BS87" i="8" s="1"/>
  <c r="BR125" i="8"/>
  <c r="BS125" i="5"/>
  <c r="BS125" i="8" s="1"/>
  <c r="BR60" i="8"/>
  <c r="BS60" i="5"/>
  <c r="BS60" i="8" s="1"/>
  <c r="BR22" i="8"/>
  <c r="BS22" i="5"/>
  <c r="BS22" i="8" s="1"/>
  <c r="BR55" i="8"/>
  <c r="BS55" i="5"/>
  <c r="BS55" i="8" s="1"/>
  <c r="BR213" i="8"/>
  <c r="BS213" i="5"/>
  <c r="BS213" i="8" s="1"/>
  <c r="BR30" i="8"/>
  <c r="BS30" i="5"/>
  <c r="BS30" i="8" s="1"/>
  <c r="BR42" i="8"/>
  <c r="BS42" i="5"/>
  <c r="BS42" i="8" s="1"/>
  <c r="BR174" i="8"/>
  <c r="BS174" i="5"/>
  <c r="BS174" i="8" s="1"/>
  <c r="BR98" i="8"/>
  <c r="BS98" i="5"/>
  <c r="BS98" i="8" s="1"/>
  <c r="BR41" i="8"/>
  <c r="BS41" i="5"/>
  <c r="BS41" i="8" s="1"/>
  <c r="BR124" i="8"/>
  <c r="BS124" i="5"/>
  <c r="BS124" i="8" s="1"/>
  <c r="BR80" i="8"/>
  <c r="BS80" i="5"/>
  <c r="BS80" i="8" s="1"/>
  <c r="BR61" i="8"/>
  <c r="BS61" i="5"/>
  <c r="BS61" i="8" s="1"/>
  <c r="BR13" i="8"/>
  <c r="BS13" i="5"/>
  <c r="BS13" i="8" s="1"/>
  <c r="BQ102" i="8"/>
  <c r="BR102" i="5"/>
  <c r="BR198" i="8"/>
  <c r="BS198" i="5"/>
  <c r="BS198" i="8" s="1"/>
  <c r="BR188" i="8"/>
  <c r="BS188" i="5"/>
  <c r="BS188" i="8" s="1"/>
  <c r="BR139" i="8"/>
  <c r="BS139" i="5"/>
  <c r="BS139" i="8" s="1"/>
  <c r="BR39" i="8"/>
  <c r="BS39" i="5"/>
  <c r="BS39" i="8" s="1"/>
  <c r="BR161" i="8"/>
  <c r="BS161" i="5"/>
  <c r="BS161" i="8" s="1"/>
  <c r="BR103" i="8"/>
  <c r="BS103" i="5"/>
  <c r="BS103" i="8" s="1"/>
  <c r="BR201" i="8"/>
  <c r="BS201" i="5"/>
  <c r="BS201" i="8" s="1"/>
  <c r="BR99" i="8"/>
  <c r="BS99" i="5"/>
  <c r="BS99" i="8" s="1"/>
  <c r="BR46" i="8"/>
  <c r="BS46" i="5"/>
  <c r="BS46" i="8" s="1"/>
  <c r="BR214" i="8"/>
  <c r="BS214" i="5"/>
  <c r="BS214" i="8" s="1"/>
  <c r="BR153" i="8"/>
  <c r="BS153" i="5"/>
  <c r="BS153" i="8" s="1"/>
  <c r="BR121" i="8"/>
  <c r="BS121" i="5"/>
  <c r="BS121" i="8" s="1"/>
  <c r="BR122" i="8"/>
  <c r="BS122" i="5"/>
  <c r="BS122" i="8" s="1"/>
  <c r="BQ26" i="8"/>
  <c r="BR26" i="5"/>
  <c r="BR68" i="8"/>
  <c r="BS68" i="5"/>
  <c r="BS68" i="8" s="1"/>
  <c r="BR44" i="8"/>
  <c r="BS44" i="5"/>
  <c r="BS44" i="8" s="1"/>
  <c r="BR110" i="8"/>
  <c r="BS110" i="5"/>
  <c r="BS110" i="8" s="1"/>
  <c r="BQ111" i="8"/>
  <c r="BR111" i="5"/>
  <c r="BR77" i="8"/>
  <c r="BS77" i="5"/>
  <c r="BS77" i="8" s="1"/>
  <c r="BR126" i="8"/>
  <c r="BS126" i="5"/>
  <c r="BS126" i="8" s="1"/>
  <c r="BR128" i="8"/>
  <c r="BS128" i="5"/>
  <c r="BS128" i="8" s="1"/>
  <c r="BR131" i="8"/>
  <c r="BS131" i="5"/>
  <c r="BS131" i="8" s="1"/>
  <c r="BR66" i="8"/>
  <c r="BS66" i="5"/>
  <c r="BS66" i="8" s="1"/>
  <c r="BR33" i="8"/>
  <c r="BS33" i="5"/>
  <c r="BS33" i="8" s="1"/>
  <c r="BR157" i="8"/>
  <c r="BS157" i="5"/>
  <c r="BS157" i="8" s="1"/>
  <c r="BR89" i="8"/>
  <c r="BS89" i="5"/>
  <c r="BS89" i="8" s="1"/>
  <c r="BR151" i="8"/>
  <c r="BS151" i="5"/>
  <c r="BS151" i="8" s="1"/>
  <c r="BQ71" i="8"/>
  <c r="BR71" i="5"/>
  <c r="BR165" i="8"/>
  <c r="BS165" i="5"/>
  <c r="BS165" i="8" s="1"/>
  <c r="BR200" i="8"/>
  <c r="BS200" i="5"/>
  <c r="BS200" i="8" s="1"/>
  <c r="BR142" i="8"/>
  <c r="BS142" i="5"/>
  <c r="BS142" i="8" s="1"/>
  <c r="BR155" i="8"/>
  <c r="BS155" i="5"/>
  <c r="BS155" i="8" s="1"/>
  <c r="BR29" i="8"/>
  <c r="BS29" i="5"/>
  <c r="BS29" i="8" s="1"/>
  <c r="BR18" i="8"/>
  <c r="BS18" i="5"/>
  <c r="BS18" i="8" s="1"/>
  <c r="BR130" i="8"/>
  <c r="BS130" i="5"/>
  <c r="BS130" i="8" s="1"/>
  <c r="BR154" i="8"/>
  <c r="BS154" i="5"/>
  <c r="BS154" i="8" s="1"/>
  <c r="BR195" i="8"/>
  <c r="BS195" i="5"/>
  <c r="BS195" i="8" s="1"/>
  <c r="BR76" i="8"/>
  <c r="BS76" i="5"/>
  <c r="BS76" i="8" s="1"/>
  <c r="BR23" i="8"/>
  <c r="BS23" i="5"/>
  <c r="BS23" i="8" s="1"/>
  <c r="BR108" i="8"/>
  <c r="BS108" i="5"/>
  <c r="BS108" i="8" s="1"/>
  <c r="BR38" i="8"/>
  <c r="BS38" i="5"/>
  <c r="BS38" i="8" s="1"/>
  <c r="BR166" i="8"/>
  <c r="BS166" i="5"/>
  <c r="BS166" i="8" s="1"/>
  <c r="BR147" i="8"/>
  <c r="BS147" i="5"/>
  <c r="BS147" i="8" s="1"/>
  <c r="BQ6" i="8"/>
  <c r="BR6" i="5"/>
  <c r="BR209" i="8"/>
  <c r="BS209" i="5"/>
  <c r="BS209" i="8" s="1"/>
  <c r="BR35" i="8"/>
  <c r="BS35" i="5"/>
  <c r="BS35" i="8" s="1"/>
  <c r="BR208" i="8"/>
  <c r="BS208" i="5"/>
  <c r="BS208" i="8" s="1"/>
  <c r="BR37" i="8"/>
  <c r="BS37" i="5"/>
  <c r="BS37" i="8" s="1"/>
  <c r="BR129" i="8"/>
  <c r="BS129" i="5"/>
  <c r="BS129" i="8" s="1"/>
  <c r="BQ97" i="8"/>
  <c r="BR97" i="5"/>
  <c r="BR90" i="8"/>
  <c r="BS90" i="5"/>
  <c r="BS90" i="8" s="1"/>
  <c r="BR170" i="8"/>
  <c r="BS170" i="5"/>
  <c r="BS170" i="8" s="1"/>
  <c r="BR112" i="8"/>
  <c r="BS112" i="5"/>
  <c r="BS112" i="8" s="1"/>
  <c r="BR135" i="8"/>
  <c r="BS135" i="5"/>
  <c r="BS135" i="8" s="1"/>
  <c r="BR101" i="8"/>
  <c r="BS101" i="5"/>
  <c r="BS101" i="8" s="1"/>
  <c r="BR92" i="8"/>
  <c r="BS92" i="5"/>
  <c r="BS92" i="8" s="1"/>
  <c r="BR206" i="8"/>
  <c r="BS206" i="5"/>
  <c r="BS206" i="8" s="1"/>
  <c r="BR95" i="8"/>
  <c r="BS95" i="5"/>
  <c r="BS95" i="8" s="1"/>
  <c r="BR48" i="8"/>
  <c r="BS48" i="5"/>
  <c r="BS48" i="8" s="1"/>
  <c r="BR85" i="8"/>
  <c r="BS85" i="5"/>
  <c r="BS85" i="8" s="1"/>
  <c r="BR117" i="8"/>
  <c r="BS117" i="5"/>
  <c r="BS117" i="8" s="1"/>
  <c r="BR216" i="8"/>
  <c r="BS216" i="5"/>
  <c r="BS216" i="8" s="1"/>
  <c r="BR187" i="8"/>
  <c r="BS187" i="5"/>
  <c r="BS187" i="8" s="1"/>
  <c r="BR177" i="8"/>
  <c r="BS177" i="5"/>
  <c r="BS177" i="8" s="1"/>
  <c r="BR27" i="8"/>
  <c r="BS27" i="5"/>
  <c r="BS27" i="8" s="1"/>
  <c r="BR26" i="8" l="1"/>
  <c r="BS26" i="5"/>
  <c r="BS26" i="8" s="1"/>
  <c r="BR102" i="8"/>
  <c r="BS102" i="5"/>
  <c r="BS102" i="8" s="1"/>
  <c r="BR221" i="8"/>
  <c r="BS221" i="5"/>
  <c r="BS221" i="8" s="1"/>
  <c r="BR189" i="8"/>
  <c r="BS189" i="5"/>
  <c r="BS189" i="8" s="1"/>
  <c r="BR36" i="8"/>
  <c r="BS36" i="5"/>
  <c r="BS36" i="8" s="1"/>
  <c r="BR24" i="8"/>
  <c r="BS24" i="5"/>
  <c r="BS24" i="8" s="1"/>
  <c r="BR51" i="8"/>
  <c r="BS51" i="5"/>
  <c r="BS51" i="8" s="1"/>
  <c r="BR34" i="8"/>
  <c r="BS34" i="5"/>
  <c r="BS34" i="8" s="1"/>
  <c r="BR20" i="8"/>
  <c r="BS20" i="5"/>
  <c r="BS20" i="8" s="1"/>
  <c r="BR205" i="8"/>
  <c r="BS205" i="5"/>
  <c r="BS205" i="8" s="1"/>
  <c r="BR97" i="8"/>
  <c r="BS97" i="5"/>
  <c r="BS97" i="8" s="1"/>
  <c r="BR6" i="8"/>
  <c r="BS6" i="5"/>
  <c r="BS6" i="8" s="1"/>
  <c r="BR71" i="8"/>
  <c r="BS71" i="5"/>
  <c r="BS71" i="8" s="1"/>
  <c r="BR111" i="8"/>
  <c r="BS111" i="5"/>
  <c r="BS111" i="8" s="1"/>
  <c r="BR75" i="8"/>
  <c r="BS75" i="5"/>
  <c r="BS75" i="8" s="1"/>
  <c r="BR47" i="8"/>
  <c r="BS47" i="5"/>
  <c r="BS47" i="8" s="1"/>
  <c r="BR70" i="8"/>
  <c r="BS70" i="5"/>
  <c r="BS70" i="8" s="1"/>
  <c r="BR115" i="8"/>
  <c r="BS115" i="5"/>
  <c r="BS115" i="8" s="1"/>
  <c r="BR4" i="8"/>
  <c r="BS4" i="5"/>
  <c r="BS4" i="8" s="1"/>
  <c r="BR5" i="8"/>
  <c r="BS5" i="5"/>
  <c r="BS5" i="8" s="1"/>
</calcChain>
</file>

<file path=xl/sharedStrings.xml><?xml version="1.0" encoding="utf-8"?>
<sst xmlns="http://schemas.openxmlformats.org/spreadsheetml/2006/main" count="12037" uniqueCount="702">
  <si>
    <t>World Bank income classification, 1987 to 2050</t>
  </si>
  <si>
    <t>YELLOW cells are projection. Unshaded cells are actual observed data.</t>
  </si>
  <si>
    <t>THE SIX ASSUMPTIONS</t>
  </si>
  <si>
    <t>Each one sits in a labelled cell on the Assumptions sheet and drives the projection through</t>
  </si>
  <si>
    <t>formulas. Change a cell and everything downstream re-computes.</t>
  </si>
  <si>
    <t>1. Starting level. Each economy starts from its latest reported GNI per capita, Atlas method,</t>
  </si>
  <si>
    <t xml:space="preserve">   used exactly as published. No value is adjusted to fit the band implied by its 2025 class.</t>
  </si>
  <si>
    <t>2. Growth rate. The median of the ten annual growth rates over the decade to 2025, that is the</t>
  </si>
  <si>
    <t xml:space="preserve">   changes 2015-16 through 2024-25. A median rather than a compound rate, so that a single</t>
  </si>
  <si>
    <t xml:space="preserve">   devaluation year or one-off spike cannot set a twenty-five year path.</t>
  </si>
  <si>
    <t>3. Threshold drift. One common rate of 1.244 percent a year for all three thresholds. The Bank</t>
  </si>
  <si>
    <t xml:space="preserve">   indexes all three to the same SDR deflator, and across 1990 to 2025 the ratios between them</t>
  </si>
  <si>
    <t xml:space="preserve">   have held constant at 3.96 and 3.09. The rate is the median annual increase over the decade</t>
  </si>
  <si>
    <t xml:space="preserve">   to 2025, which is close to invariant to the window chosen: 1.16 to 1.25 percent on any</t>
  </si>
  <si>
    <t xml:space="preserve">   window from ten to twenty-five years.</t>
  </si>
  <si>
    <t>4. Floor of 1.244 percent, equal to the drift. An economy therefore cannot lose ground against</t>
  </si>
  <si>
    <t xml:space="preserve">   the threshold below it, and no economy is downgraded anywhere in the projection. This is</t>
  </si>
  <si>
    <t xml:space="preserve">   verified across all 218 economies and all 25 years. It binds for 37 economies.</t>
  </si>
  <si>
    <t>5. Cap at the 90th percentile of decade-median growth within each income group: 5.59 percent</t>
  </si>
  <si>
    <t xml:space="preserve">   for low income, 7.47 for lower-middle, 9.07 for upper-middle and 7.17 for high income. No</t>
  </si>
  <si>
    <t xml:space="preserve">   economy is projected to outgrow the top decile of its own group. It binds for 21 economies.</t>
  </si>
  <si>
    <t>6. Freeze. An economy with fewer than 8 of the 10 annual observations is held at its 2025 class</t>
  </si>
  <si>
    <t xml:space="preserve">   for the whole projection. This applies to 21 economies, of which six are not high income:</t>
  </si>
  <si>
    <t xml:space="preserve">   Cuba, Eritrea, Korea Dem. Rep., South Sudan, Syrian Arab Republic and Yemen Rep.</t>
  </si>
  <si>
    <t>Together the floor and the cap set 58 of the 197 projected growth rates. Every affected economy</t>
  </si>
  <si>
    <t>is named in the Adjustment and Status columns of the Growth calculation sheet.</t>
  </si>
  <si>
    <t>COVERAGE</t>
  </si>
  <si>
    <t>The OGHIST worksheet lists 226 rows and 224 parse into this workbook, every one of them</t>
  </si>
  <si>
    <t>classified in at least one year since 1987. Six left the classification before 2025 and are not</t>
  </si>
  <si>
    <t>projected: the USSR, Yugoslavia, Czechoslovakia, Serbia and Montenegro, the Netherlands</t>
  </si>
  <si>
    <t>Antilles and Mayotte. That leaves 218 economies classified in 2025, of which 197 are projected</t>
  </si>
  <si>
    <t>forward and 21 are held at their 2025 class under assumption 6. The 197 carry 9.28 billion of</t>
  </si>
  <si>
    <t>the 9.48 billion people in the 2050 total, or 97.8 percent. See the Coverage sheet.</t>
  </si>
  <si>
    <t>SHEETS</t>
  </si>
  <si>
    <t>Coverage             the count of economies at each step, and who drops out where</t>
  </si>
  <si>
    <t>Assumptions          the six cells above, plus the derivation of the drift and the caps</t>
  </si>
  <si>
    <t>Thresholds           official thresholds 1987-2025 as published, then projected</t>
  </si>
  <si>
    <t>Growth calculation   the ten annual rates per economy, the median, and the rate used</t>
  </si>
  <si>
    <t>GNI per capita       actual 1987-2025, projected 2026-2050</t>
  </si>
  <si>
    <t>Classification       actual 1987-2025 from OGHIST, projected 2026-2050</t>
  </si>
  <si>
    <t>Population           total population by economy and year, WDI to 2025 then WPP</t>
  </si>
  <si>
    <t>Blue text = a hardcoded observation or assumption. Green text = a link to another sheet.</t>
  </si>
  <si>
    <t>Black text = a formula.</t>
  </si>
  <si>
    <t>Source: World Bank OGHIST (1 July 2026), Thresholds and Country Analytical History worksheets;</t>
  </si>
  <si>
    <t>WDI GNI per capita (Atlas method) and population (SP.POP.TOTL), July 2026 vintage; UN World</t>
  </si>
  <si>
    <t>Population Prospects 2024 for population from 2026. The population weights drive the shares and</t>
  </si>
  <si>
    <t>levels charts and play no part in the classification projection itself.</t>
  </si>
  <si>
    <t>How many economies the projection covers, and where the others drop out</t>
  </si>
  <si>
    <t>An annual rate for year y needs a GNI per capita value in both y-1 and y. The decade to 2025 therefore holds ten rates, 2015-16 through 2024-25, which require eleven consecutive annual values from 2015 to 2025.</t>
  </si>
  <si>
    <t>Step</t>
  </si>
  <si>
    <t>Economies</t>
  </si>
  <si>
    <t>Set aside here</t>
  </si>
  <si>
    <t>2050 population, millions</t>
  </si>
  <si>
    <t>Share of the 2050 total</t>
  </si>
  <si>
    <t>Listed on the OGHIST Country Analytical History worksheet</t>
  </si>
  <si>
    <t>Parsed into this workbook</t>
  </si>
  <si>
    <t>Classified in at least one year, 1987 to 2025</t>
  </si>
  <si>
    <t>Classified in 2025, the base for the projection</t>
  </si>
  <si>
    <t xml:space="preserve">   of which projected forward: 8 or more of the 10 annual rates</t>
  </si>
  <si>
    <t xml:space="preserve">   of which held at their 2025 class for want of data</t>
  </si>
  <si>
    <t>The last two rows are a split of the 218, not a further loss. The 21 frozen economies stay in every chart and in every population total; their class is simply held at its 2025 value instead of being projected.</t>
  </si>
  <si>
    <t>Left the classification before 2025 (6)</t>
  </si>
  <si>
    <t xml:space="preserve">   Czechoslovakia (former)</t>
  </si>
  <si>
    <t>last classified 1991</t>
  </si>
  <si>
    <t xml:space="preserve">   Mayotte</t>
  </si>
  <si>
    <t>last classified 2010</t>
  </si>
  <si>
    <t xml:space="preserve">   Netherlands Antilles (former)</t>
  </si>
  <si>
    <t>last classified 2009</t>
  </si>
  <si>
    <t xml:space="preserve">   Serbia and Montenegro (former)</t>
  </si>
  <si>
    <t>last classified 2005</t>
  </si>
  <si>
    <t xml:space="preserve">   USSR (former)</t>
  </si>
  <si>
    <t>last classified 1990</t>
  </si>
  <si>
    <t xml:space="preserve">   Yugoslavia (former)</t>
  </si>
  <si>
    <t>Held at their 2025 class (21), with 2050 population</t>
  </si>
  <si>
    <t xml:space="preserve">   Yemen, Rep.</t>
  </si>
  <si>
    <t>L</t>
  </si>
  <si>
    <t xml:space="preserve">   Korea, Dem. Rep.</t>
  </si>
  <si>
    <t xml:space="preserve">   Syrian Arab Republic</t>
  </si>
  <si>
    <t xml:space="preserve">   Taiwan, China</t>
  </si>
  <si>
    <t>H</t>
  </si>
  <si>
    <t xml:space="preserve">   South Sudan</t>
  </si>
  <si>
    <t xml:space="preserve">   Cuba</t>
  </si>
  <si>
    <t>UM</t>
  </si>
  <si>
    <t xml:space="preserve">   Eritrea</t>
  </si>
  <si>
    <t xml:space="preserve">   New Caledonia</t>
  </si>
  <si>
    <t xml:space="preserve">   Channel Islands</t>
  </si>
  <si>
    <t xml:space="preserve">   Guam</t>
  </si>
  <si>
    <t xml:space="preserve">   Virgin Islands (U.S.)</t>
  </si>
  <si>
    <t xml:space="preserve">   Andorra</t>
  </si>
  <si>
    <t xml:space="preserve">   Greenland</t>
  </si>
  <si>
    <t xml:space="preserve">   American Samoa</t>
  </si>
  <si>
    <t xml:space="preserve">   Northern Mariana Islands</t>
  </si>
  <si>
    <t xml:space="preserve">   Liechtenstein</t>
  </si>
  <si>
    <t xml:space="preserve">   Monaco</t>
  </si>
  <si>
    <t xml:space="preserve">   British Virgin Islands</t>
  </si>
  <si>
    <t xml:space="preserve">   Gibraltar</t>
  </si>
  <si>
    <t xml:space="preserve">   San Marino</t>
  </si>
  <si>
    <t xml:space="preserve">   St. Martin (French part)</t>
  </si>
  <si>
    <t>The 21 frozen economies carry 204 million people in 2050, 2.2 percent of the classified total. Fifteen are high-income territories of negligible size; the six that matter are Yemen, Korea Dem. Rep., Syria, South Sudan, Cuba and Eritrea.</t>
  </si>
  <si>
    <t>Assumptions</t>
  </si>
  <si>
    <t>Every projected figure in this workbook derives from these cells.</t>
  </si>
  <si>
    <t>Threshold drift, common to all three thresholds</t>
  </si>
  <si>
    <t>median annual increase over the decade to 2025</t>
  </si>
  <si>
    <t>Growth floor (set equal to the drift, so no economy is downgraded)</t>
  </si>
  <si>
    <t>Growth cap, 90th percentile of decade medians within each group</t>
  </si>
  <si>
    <t>Low income</t>
  </si>
  <si>
    <t>Lower-middle</t>
  </si>
  <si>
    <t>Upper-middle</t>
  </si>
  <si>
    <t>High income</t>
  </si>
  <si>
    <t>Minimum observations required to project (of 10 possible)</t>
  </si>
  <si>
    <t>Derivation of the drift: annual change in each official threshold</t>
  </si>
  <si>
    <t>Year</t>
  </si>
  <si>
    <t>LIC / LMIC</t>
  </si>
  <si>
    <t>LMIC / UMIC</t>
  </si>
  <si>
    <t>UMIC / HIC</t>
  </si>
  <si>
    <t>2016</t>
  </si>
  <si>
    <t>2017</t>
  </si>
  <si>
    <t>2018</t>
  </si>
  <si>
    <t>2019</t>
  </si>
  <si>
    <t>2020</t>
  </si>
  <si>
    <t>2021</t>
  </si>
  <si>
    <t>2022</t>
  </si>
  <si>
    <t>2023</t>
  </si>
  <si>
    <t>2024</t>
  </si>
  <si>
    <t>2025</t>
  </si>
  <si>
    <t>median</t>
  </si>
  <si>
    <t>median of the three</t>
  </si>
  <si>
    <t>this is the 1.244% used above</t>
  </si>
  <si>
    <t>Income classification thresholds, GNI per capita (Atlas method, current US$)</t>
  </si>
  <si>
    <t>1987 to 2025 are the official thresholds exactly as published. 2026 onward drift at the rate on the Assumptions sheet.</t>
  </si>
  <si>
    <t>Status</t>
  </si>
  <si>
    <t>1987</t>
  </si>
  <si>
    <t>official</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</si>
  <si>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</si>
  <si>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</si>
  <si>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</si>
  <si>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</si>
  <si>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</si>
  <si>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</si>
  <si>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</si>
  <si>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</si>
  <si>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</si>
  <si>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</si>
  <si>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</si>
  <si>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</si>
  <si>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</si>
  <si>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</si>
  <si>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</si>
  <si>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</si>
  <si>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</si>
  <si>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</si>
  <si>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</si>
  <si>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</si>
  <si>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</si>
  <si>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</si>
  <si>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</si>
  <si>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</si>
  <si>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</si>
  <si>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</si>
  <si>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</si>
  <si>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</si>
  <si>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2026</t>
  </si>
  <si>
    <t>projected</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</si>
  <si>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</si>
  <si>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</si>
  <si>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</si>
  <si>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</si>
  <si>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</si>
  <si>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</si>
  <si>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</si>
  <si>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</si>
  <si>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</si>
  <si>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</si>
  <si>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</si>
  <si>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</si>
  <si>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</si>
  <si>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</si>
  <si>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</si>
  <si>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</si>
  <si>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</si>
  <si>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</si>
  <si>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</si>
  <si>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</si>
  <si>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</si>
  <si>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</si>
  <si>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</si>
  <si>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</si>
  <si>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GNI per capita, Atlas method, current US$ - actual 1987-2025, projected 2026-2050 (yellow)</t>
  </si>
  <si>
    <t>Economy</t>
  </si>
  <si>
    <t>Code</t>
  </si>
  <si>
    <t>2025 class</t>
  </si>
  <si>
    <t>Growth rate</t>
  </si>
  <si>
    <t>Starting level</t>
  </si>
  <si>
    <t>Level year</t>
  </si>
  <si>
    <t>Afghanistan</t>
  </si>
  <si>
    <t>AFG</t>
  </si>
  <si>
    <t>projected - raised from -2.6% to the 1.244% floor</t>
  </si>
  <si>
    <t>Albania</t>
  </si>
  <si>
    <t>ALB</t>
  </si>
  <si>
    <t>projected - cut from 12.2% to the UM p90 cap of 9.07%</t>
  </si>
  <si>
    <t>Algeria</t>
  </si>
  <si>
    <t>DZA</t>
  </si>
  <si>
    <t>American Samoa</t>
  </si>
  <si>
    <t>ASM</t>
  </si>
  <si>
    <t>frozen - only 0 of 10 annual rates</t>
  </si>
  <si>
    <t>Andorra</t>
  </si>
  <si>
    <t>AND</t>
  </si>
  <si>
    <t>frozen - only 6 of 10 annual rates</t>
  </si>
  <si>
    <t>Angola</t>
  </si>
  <si>
    <t>AGO</t>
  </si>
  <si>
    <t>LM</t>
  </si>
  <si>
    <t>projected - raised from -0.8% to the 1.244% floor</t>
  </si>
  <si>
    <t>Antigua and Barbuda</t>
  </si>
  <si>
    <t>ATG</t>
  </si>
  <si>
    <t>Argentina</t>
  </si>
  <si>
    <t>ARG</t>
  </si>
  <si>
    <t>Armenia</t>
  </si>
  <si>
    <t>ARM</t>
  </si>
  <si>
    <t>projected - cut from 9.2% to the UM p90 cap of 9.07%</t>
  </si>
  <si>
    <t>Aruba</t>
  </si>
  <si>
    <t>ABW</t>
  </si>
  <si>
    <t>Australia</t>
  </si>
  <si>
    <t>AUS</t>
  </si>
  <si>
    <t>Austria</t>
  </si>
  <si>
    <t>AUT</t>
  </si>
  <si>
    <t>Azerbaijan</t>
  </si>
  <si>
    <t>AZE</t>
  </si>
  <si>
    <t>Bahamas, The</t>
  </si>
  <si>
    <t>BHS</t>
  </si>
  <si>
    <t>Bahrain</t>
  </si>
  <si>
    <t>BHR</t>
  </si>
  <si>
    <t>Bangladesh</t>
  </si>
  <si>
    <t>BGD</t>
  </si>
  <si>
    <t>projected - cut from 9.8% to the LM p90 cap of 7.47%</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</si>
  <si>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</si>
  <si>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</si>
  <si>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</si>
  <si>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</si>
  <si>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</si>
  <si>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</si>
  <si>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</si>
  <si>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</si>
  <si>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</si>
  <si>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</si>
  <si>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</si>
  <si>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</si>
  <si>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</si>
  <si>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</si>
  <si>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</si>
  <si>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</si>
  <si>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</si>
  <si>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</si>
  <si>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</si>
  <si>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</si>
  <si>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</si>
  <si>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</si>
  <si>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</si>
  <si>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</si>
  <si>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</si>
  <si>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</si>
  <si>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projected - raised from -1.9% to the 1.244% floor</t>
  </si>
  <si>
    <t>Bulgaria</t>
  </si>
  <si>
    <t>BGR</t>
  </si>
  <si>
    <t>projected - cut from 10.2% to the H p90 cap of 7.17%</t>
  </si>
  <si>
    <t>Burkina Faso</t>
  </si>
  <si>
    <t>BFA</t>
  </si>
  <si>
    <t>Burundi</t>
  </si>
  <si>
    <t>BDI</t>
  </si>
  <si>
    <t>projected - raised from 0.0% to the 1.244% floor</t>
  </si>
  <si>
    <t>Cabo Verde</t>
  </si>
  <si>
    <t>CPV</t>
  </si>
  <si>
    <t>Cambodia</t>
  </si>
  <si>
    <t>KHM</t>
  </si>
  <si>
    <t>Cameroon</t>
  </si>
  <si>
    <t>CMR</t>
  </si>
  <si>
    <t>Canada</t>
  </si>
  <si>
    <t>CAN</t>
  </si>
  <si>
    <t>Cayman Islands</t>
  </si>
  <si>
    <t>CYM</t>
  </si>
  <si>
    <t>projected - cut from 8.5% to the H p90 cap of 7.17%</t>
  </si>
  <si>
    <t>Central African Republic</t>
  </si>
  <si>
    <t>CAF</t>
  </si>
  <si>
    <t>Chad</t>
  </si>
  <si>
    <t>TCD</t>
  </si>
  <si>
    <t>projected - raised from 1.1% to the 1.244% floor</t>
  </si>
  <si>
    <t>Channel Islands</t>
  </si>
  <si>
    <t>CHI</t>
  </si>
  <si>
    <t>Chile</t>
  </si>
  <si>
    <t>CHL</t>
  </si>
  <si>
    <t>China</t>
  </si>
  <si>
    <t>CHN</t>
  </si>
  <si>
    <t>Colombia</t>
  </si>
  <si>
    <t>COL</t>
  </si>
  <si>
    <t>Comoros</t>
  </si>
  <si>
    <t>COM</t>
  </si>
  <si>
    <t>Congo, Dem. Rep.</t>
  </si>
  <si>
    <t>COD</t>
  </si>
  <si>
    <t>Congo, Rep.</t>
  </si>
  <si>
    <t>COG</t>
  </si>
  <si>
    <t>Costa Rica</t>
  </si>
  <si>
    <t>CRI</t>
  </si>
  <si>
    <t>Croatia</t>
  </si>
  <si>
    <t>HRV</t>
  </si>
  <si>
    <t>projected - cut from 7.4% to the H p90 cap of 7.17%</t>
  </si>
  <si>
    <t>Cuba</t>
  </si>
  <si>
    <t>CUB</t>
  </si>
  <si>
    <t>frozen - only 4 of 10 annual rates</t>
  </si>
  <si>
    <t>Curaçao</t>
  </si>
  <si>
    <t>CUW</t>
  </si>
  <si>
    <t>Cyprus</t>
  </si>
  <si>
    <t>CYP</t>
  </si>
  <si>
    <t>Czechia</t>
  </si>
  <si>
    <t>CZE</t>
  </si>
  <si>
    <t>Côte d'Ivoire</t>
  </si>
  <si>
    <t>CIV</t>
  </si>
  <si>
    <t>Denmark</t>
  </si>
  <si>
    <t>DNK</t>
  </si>
  <si>
    <t>Djibouti</t>
  </si>
  <si>
    <t>DJI</t>
  </si>
  <si>
    <t>Dominica</t>
  </si>
  <si>
    <t>DMA</t>
  </si>
  <si>
    <t>Dominican Republic</t>
  </si>
  <si>
    <t>DOM</t>
  </si>
  <si>
    <t>Ecuador</t>
  </si>
  <si>
    <t>ECU</t>
  </si>
  <si>
    <t>Egypt, Arab Rep.</t>
  </si>
  <si>
    <t>EGY</t>
  </si>
  <si>
    <t>projected - raised from -3.8% to the 1.244% floor</t>
  </si>
  <si>
    <t>El Salvador</t>
  </si>
  <si>
    <t>SLV</t>
  </si>
  <si>
    <t>Equatorial Guinea</t>
  </si>
  <si>
    <t>GNQ</t>
  </si>
  <si>
    <t>projected - raised from -3.9% to the 1.244% floor</t>
  </si>
  <si>
    <t>Eritrea</t>
  </si>
  <si>
    <t>ERI</t>
  </si>
  <si>
    <t>Estonia</t>
  </si>
  <si>
    <t>EST</t>
  </si>
  <si>
    <t>Eswatini</t>
  </si>
  <si>
    <t>SWZ</t>
  </si>
  <si>
    <t>Ethiopia</t>
  </si>
  <si>
    <t>ETH</t>
  </si>
  <si>
    <t>projected - cut from 7.7% to the L p90 cap of 5.59%</t>
  </si>
  <si>
    <t>Faeroe Islands</t>
  </si>
  <si>
    <t>FRO</t>
  </si>
  <si>
    <t>projected - raised from 0.9% to the 1.244% floor</t>
  </si>
  <si>
    <t>Fiji</t>
  </si>
  <si>
    <t>FJI</t>
  </si>
  <si>
    <t>Finland</t>
  </si>
  <si>
    <t>FIN</t>
  </si>
  <si>
    <t>France</t>
  </si>
  <si>
    <t>FRA</t>
  </si>
  <si>
    <t>French Polynesia</t>
  </si>
  <si>
    <t>PYF</t>
  </si>
  <si>
    <t>Gabon</t>
  </si>
  <si>
    <t>GAB</t>
  </si>
  <si>
    <t>Gambia, The</t>
  </si>
  <si>
    <t>GMB</t>
  </si>
  <si>
    <t>Georgia</t>
  </si>
  <si>
    <t>GEO</t>
  </si>
  <si>
    <t>projected - cut from 10.4% to the UM p90 cap of 9.07%</t>
  </si>
  <si>
    <t>Germany</t>
  </si>
  <si>
    <t>DEU</t>
  </si>
  <si>
    <t>Ghana</t>
  </si>
  <si>
    <t>GHA</t>
  </si>
  <si>
    <t>Gibraltar</t>
  </si>
  <si>
    <t>GIB</t>
  </si>
  <si>
    <t>Greece</t>
  </si>
  <si>
    <t>GRC</t>
  </si>
  <si>
    <t>Greenland</t>
  </si>
  <si>
    <t>GRL</t>
  </si>
  <si>
    <t>Grenada</t>
  </si>
  <si>
    <t>GRD</t>
  </si>
  <si>
    <t>Guam</t>
  </si>
  <si>
    <t>GUM</t>
  </si>
  <si>
    <t>Guatemala</t>
  </si>
  <si>
    <t>GTM</t>
  </si>
  <si>
    <t>Guinea</t>
  </si>
  <si>
    <t>GIN</t>
  </si>
  <si>
    <t>projected - cut from 7.5% to the LM p90 cap of 7.47%</t>
  </si>
  <si>
    <t>Guinea-Bissau</t>
  </si>
  <si>
    <t>GNB</t>
  </si>
  <si>
    <t>Guyana</t>
  </si>
  <si>
    <t>GUY</t>
  </si>
  <si>
    <t>Haiti</t>
  </si>
  <si>
    <t>HTI</t>
  </si>
  <si>
    <t>Honduras</t>
  </si>
  <si>
    <t>HND</t>
  </si>
  <si>
    <t>Hong Kong SAR, China</t>
  </si>
  <si>
    <t>HKG</t>
  </si>
  <si>
    <t>Hungary</t>
  </si>
  <si>
    <t>HUN</t>
  </si>
  <si>
    <t>Iceland</t>
  </si>
  <si>
    <t>ISL</t>
  </si>
  <si>
    <t>projected - cut from 7.2% to the H p90 cap of 7.17%</t>
  </si>
  <si>
    <t>India</t>
  </si>
  <si>
    <t>IND</t>
  </si>
  <si>
    <t>Indonesia</t>
  </si>
  <si>
    <t>IDN</t>
  </si>
  <si>
    <t>Iran, Islamic Rep.</t>
  </si>
  <si>
    <t>IRN</t>
  </si>
  <si>
    <t>projected - raised from 1.2% to the 1.244% floor</t>
  </si>
  <si>
    <t>Iraq</t>
  </si>
  <si>
    <t>IRQ</t>
  </si>
  <si>
    <t>Ireland</t>
  </si>
  <si>
    <t>IRL</t>
  </si>
  <si>
    <t>Isle of Man</t>
  </si>
  <si>
    <t>IMN</t>
  </si>
  <si>
    <t>projected - raised from 0.1% to the 1.244% floor</t>
  </si>
  <si>
    <t>Israel</t>
  </si>
  <si>
    <t>ISR</t>
  </si>
  <si>
    <t>Italy</t>
  </si>
  <si>
    <t>ITA</t>
  </si>
  <si>
    <t>projected - raised from 1.0% to the 1.244% floor</t>
  </si>
  <si>
    <t>Jamaica</t>
  </si>
  <si>
    <t>JAM</t>
  </si>
  <si>
    <t>Japan</t>
  </si>
  <si>
    <t>JPN</t>
  </si>
  <si>
    <t>projected - raised from -0.7% to the 1.244% floor</t>
  </si>
  <si>
    <t>Jordan</t>
  </si>
  <si>
    <t>JOR</t>
  </si>
  <si>
    <t>Kazakhstan</t>
  </si>
  <si>
    <t>KAZ</t>
  </si>
  <si>
    <t>Kenya</t>
  </si>
  <si>
    <t>KEN</t>
  </si>
  <si>
    <t>Kiribati</t>
  </si>
  <si>
    <t>KIR</t>
  </si>
  <si>
    <t>Korea, Dem. Rep.</t>
  </si>
  <si>
    <t>PRK</t>
  </si>
  <si>
    <t>Korea, Rep.</t>
  </si>
  <si>
    <t>KOR</t>
  </si>
  <si>
    <t>Kosovo</t>
  </si>
  <si>
    <t>XKX</t>
  </si>
  <si>
    <t>Kuwait</t>
  </si>
  <si>
    <t>KWT</t>
  </si>
  <si>
    <t>Kyrgyz Republic</t>
  </si>
  <si>
    <t>KGZ</t>
  </si>
  <si>
    <t>Lao PDR</t>
  </si>
  <si>
    <t>LAO</t>
  </si>
  <si>
    <t>Latvia</t>
  </si>
  <si>
    <t>LVA</t>
  </si>
  <si>
    <t>Lebanon</t>
  </si>
  <si>
    <t>LBN</t>
  </si>
  <si>
    <t>projected - raised from -4.0% to the 1.244% floor</t>
  </si>
  <si>
    <t>Lesotho</t>
  </si>
  <si>
    <t>LSO</t>
  </si>
  <si>
    <t>projected - raised from 0.5% to the 1.244% floor</t>
  </si>
  <si>
    <t>Liberia</t>
  </si>
  <si>
    <t>LBR</t>
  </si>
  <si>
    <t>Libya</t>
  </si>
  <si>
    <t>LBY</t>
  </si>
  <si>
    <t>Liechtenstein</t>
  </si>
  <si>
    <t>LIE</t>
  </si>
  <si>
    <t>Lithuania</t>
  </si>
  <si>
    <t>LTU</t>
  </si>
  <si>
    <t>projected - cut from 7.5% to the H p90 cap of 7.17%</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</si>
  <si>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</si>
  <si>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</si>
  <si>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</si>
  <si>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</si>
  <si>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</si>
  <si>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</si>
  <si>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</si>
  <si>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</si>
  <si>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</si>
  <si>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</si>
  <si>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</si>
  <si>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</si>
  <si>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</si>
  <si>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</si>
  <si>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</si>
  <si>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</si>
  <si>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</si>
  <si>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</si>
  <si>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</si>
  <si>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</si>
  <si>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</si>
  <si>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</si>
  <si>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</si>
  <si>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</si>
  <si>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</si>
  <si>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</si>
  <si>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</si>
  <si>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</si>
  <si>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projected - cut from 11.5% to the UM p90 cap of 9.07%</t>
  </si>
  <si>
    <t>Monaco</t>
  </si>
  <si>
    <t>MCO</t>
  </si>
  <si>
    <t>Mongolia</t>
  </si>
  <si>
    <t>MNG</t>
  </si>
  <si>
    <t>Montenegro</t>
  </si>
  <si>
    <t>MNE</t>
  </si>
  <si>
    <t>projected - cut from 9.8% to the UM p90 cap of 9.07%</t>
  </si>
  <si>
    <t>Morocco</t>
  </si>
  <si>
    <t>MAR</t>
  </si>
  <si>
    <t>Mozambique</t>
  </si>
  <si>
    <t>MOZ</t>
  </si>
  <si>
    <t>Myanmar</t>
  </si>
  <si>
    <t>MMR</t>
  </si>
  <si>
    <t>Namibia</t>
  </si>
  <si>
    <t>NAM</t>
  </si>
  <si>
    <t>Nauru</t>
  </si>
  <si>
    <t>NRU</t>
  </si>
  <si>
    <t>Nepal</t>
  </si>
  <si>
    <t>NPL</t>
  </si>
  <si>
    <t>Netherlands</t>
  </si>
  <si>
    <t>NLD</t>
  </si>
  <si>
    <t>New Caledonia</t>
  </si>
  <si>
    <t>NCL</t>
  </si>
  <si>
    <t>frozen - only 5 of 10 annual rates</t>
  </si>
  <si>
    <t>New Zealand</t>
  </si>
  <si>
    <t>NZL</t>
  </si>
  <si>
    <t>projected - raised from -0.1% to the 1.244% floor</t>
  </si>
  <si>
    <t>Nicaragua</t>
  </si>
  <si>
    <t>NIC</t>
  </si>
  <si>
    <t>Niger</t>
  </si>
  <si>
    <t>NER</t>
  </si>
  <si>
    <t>Nigeria</t>
  </si>
  <si>
    <t>NGA</t>
  </si>
  <si>
    <t>projected - raised from -7.7% to the 1.244% floor</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</si>
  <si>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</si>
  <si>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</si>
  <si>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</si>
  <si>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</si>
  <si>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</si>
  <si>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</si>
  <si>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</si>
  <si>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</si>
  <si>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</si>
  <si>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</si>
  <si>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</si>
  <si>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</si>
  <si>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</si>
  <si>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</si>
  <si>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</si>
  <si>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</si>
  <si>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</si>
  <si>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</si>
  <si>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</si>
  <si>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</si>
  <si>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</si>
  <si>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</si>
  <si>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</si>
  <si>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</si>
  <si>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</si>
  <si>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</si>
  <si>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</si>
  <si>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</si>
  <si>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</si>
  <si>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</si>
  <si>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projected - raised from 0.3% to the 1.244% floor</t>
  </si>
  <si>
    <t>Romania</t>
  </si>
  <si>
    <t>ROU</t>
  </si>
  <si>
    <t>projected - cut from 8.2% to the H p90 cap of 7.17%</t>
  </si>
  <si>
    <t>Russian Federation</t>
  </si>
  <si>
    <t>RUS</t>
  </si>
  <si>
    <t>Rwanda</t>
  </si>
  <si>
    <t>RWA</t>
  </si>
  <si>
    <t>projected - cut from 5.9% to the L p90 cap of 5.59%</t>
  </si>
  <si>
    <t>Samoa</t>
  </si>
  <si>
    <t>WSM</t>
  </si>
  <si>
    <t>San Marino</t>
  </si>
  <si>
    <t>SMR</t>
  </si>
  <si>
    <t>Saudi Arabia</t>
  </si>
  <si>
    <t>SAU</t>
  </si>
  <si>
    <t>Senegal</t>
  </si>
  <si>
    <t>SEN</t>
  </si>
  <si>
    <t>Serbia</t>
  </si>
  <si>
    <t>SRB</t>
  </si>
  <si>
    <t>projected - cut from 10.0% to the UM p90 cap of 9.07%</t>
  </si>
  <si>
    <t>Seychelles</t>
  </si>
  <si>
    <t>SYC</t>
  </si>
  <si>
    <t>Sierra Leone</t>
  </si>
  <si>
    <t>SLE</t>
  </si>
  <si>
    <t>projected - raised from -1.2% to the 1.244% floor</t>
  </si>
  <si>
    <t>Singapore</t>
  </si>
  <si>
    <t>SGP</t>
  </si>
  <si>
    <t>Sint Maarten (Dutch part)</t>
  </si>
  <si>
    <t>SXM</t>
  </si>
  <si>
    <t>Slovak Republic</t>
  </si>
  <si>
    <t>SVK</t>
  </si>
  <si>
    <t>Slovenia</t>
  </si>
  <si>
    <t>SVN</t>
  </si>
  <si>
    <t>Solomon Islands</t>
  </si>
  <si>
    <t>SLB</t>
  </si>
  <si>
    <t>projected - raised from -1.0% to the 1.244% floor</t>
  </si>
  <si>
    <t>Somalia, Fed. Rep.</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</si>
  <si>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</si>
  <si>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</si>
  <si>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</si>
  <si>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</si>
  <si>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</si>
  <si>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</si>
  <si>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</si>
  <si>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</si>
  <si>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</si>
  <si>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</si>
  <si>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</si>
  <si>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</si>
  <si>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</si>
  <si>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</si>
  <si>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</si>
  <si>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</si>
  <si>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</si>
  <si>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</si>
  <si>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</si>
  <si>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projected - raised from -5.9% to the 1.244% floor</t>
  </si>
  <si>
    <t>Suriname</t>
  </si>
  <si>
    <t>SUR</t>
  </si>
  <si>
    <t>Sweden</t>
  </si>
  <si>
    <t>SWE</t>
  </si>
  <si>
    <t>Switzerland</t>
  </si>
  <si>
    <t>CHE</t>
  </si>
  <si>
    <t>Syrian Arab Republic</t>
  </si>
  <si>
    <t>SYR</t>
  </si>
  <si>
    <t>frozen - only 7 of 10 annual rates</t>
  </si>
  <si>
    <t>São Tomé and Príncipe</t>
  </si>
  <si>
    <t>STP</t>
  </si>
  <si>
    <t>projected - cut from 9.2% to the LM p90 cap of 7.47%</t>
  </si>
  <si>
    <t>Taiwan, China</t>
  </si>
  <si>
    <t>TWN</t>
  </si>
  <si>
    <t>Tajikistan</t>
  </si>
  <si>
    <t>TJK</t>
  </si>
  <si>
    <t>Tanzania</t>
  </si>
  <si>
    <t>TZA</t>
  </si>
  <si>
    <t>Thailand</t>
  </si>
  <si>
    <t>THA</t>
  </si>
  <si>
    <t>Timor-Leste</t>
  </si>
  <si>
    <t>TLS</t>
  </si>
  <si>
    <t>projected - raised from -3.0% to the 1.244% floor</t>
  </si>
  <si>
    <t>Togo</t>
  </si>
  <si>
    <t>TGO</t>
  </si>
  <si>
    <t>Tonga</t>
  </si>
  <si>
    <t>TON</t>
  </si>
  <si>
    <t>Trinidad and Tobago</t>
  </si>
  <si>
    <t>TTO</t>
  </si>
  <si>
    <t>projected - raised from -2.1% to the 1.244% floor</t>
  </si>
  <si>
    <t>Tunisia</t>
  </si>
  <si>
    <t>TUN</t>
  </si>
  <si>
    <t>projected - raised from -0.5% to the 1.244% floor</t>
  </si>
  <si>
    <t>Turkmenistan</t>
  </si>
  <si>
    <t>TKM</t>
  </si>
  <si>
    <t>projected - raised from -2.2% to the 1.244% floor</t>
  </si>
  <si>
    <t>Turks and Caicos Islands</t>
  </si>
  <si>
    <t>TCA</t>
  </si>
  <si>
    <t>Tuvalu</t>
  </si>
  <si>
    <t>TUV</t>
  </si>
  <si>
    <t>Türkiye</t>
  </si>
  <si>
    <t>TUR</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</si>
  <si>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</si>
  <si>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</si>
  <si>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</si>
  <si>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</si>
  <si>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</si>
  <si>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</si>
  <si>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</si>
  <si>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</si>
  <si>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</si>
  <si>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</si>
  <si>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</si>
  <si>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</si>
  <si>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</si>
  <si>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</si>
  <si>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</si>
  <si>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</si>
  <si>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</si>
  <si>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</si>
  <si>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projected - raised from -2.3% to the 1.244% floor</t>
  </si>
  <si>
    <t>Viet Nam</t>
  </si>
  <si>
    <t>VNM</t>
  </si>
  <si>
    <t>Virgin Islands (U.S.)</t>
  </si>
  <si>
    <t>VIR</t>
  </si>
  <si>
    <t>West Bank and Gaza</t>
  </si>
  <si>
    <t>PSE</t>
  </si>
  <si>
    <t>Yemen, Rep.</t>
  </si>
  <si>
    <t>YEM</t>
  </si>
  <si>
    <t>frozen - only 3 of 10 annual rates</t>
  </si>
  <si>
    <t>Zambia</t>
  </si>
  <si>
    <t>ZMB</t>
  </si>
  <si>
    <t>Zimbabwe</t>
  </si>
  <si>
    <t>ZWE</t>
  </si>
  <si>
    <t>projected - cut from 10.8% to the LM p90 cap of 7.47%</t>
  </si>
  <si>
    <t>Growth rate: the median of the ten annual rates to 2025, then the floor and the cap applied</t>
  </si>
  <si>
    <t>raised by floor</t>
  </si>
  <si>
    <t>cut by cap</t>
  </si>
  <si>
    <t>unadjusted</t>
  </si>
  <si>
    <t>frozen</t>
  </si>
  <si>
    <t>Median, last 10 years</t>
  </si>
  <si>
    <t>Floor</t>
  </si>
  <si>
    <t>Cap</t>
  </si>
  <si>
    <t>Rate used</t>
  </si>
  <si>
    <t>Adjustment</t>
  </si>
  <si>
    <t>Change</t>
  </si>
  <si>
    <t>Obs</t>
  </si>
  <si>
    <t>Total population, millions, by economy and year</t>
  </si>
  <si>
    <t>1990 to 2025: World Bank WDI, SP.POP.TOTL, de facto mid-year estimates, the same series the Bank uses as the denominator of Atlas GNI per capita. 2026 to 2050: UN World Population Prospects 2024 medium variant, rebased so that each economy joins its actual 2025 level without a step at the boundary.</t>
  </si>
  <si>
    <t>Composite economies that OGHIST reports as one are summed from their parts: Channel Islands from Jersey and Guernsey, and the USSR, Yugoslavia, Czechoslovakia, Serbia and Montenegro and the Netherlands Antilles from their successor states. Taiwan and Mayotte have no WDI entry and use WPP throughout.</t>
  </si>
  <si>
    <t>History</t>
  </si>
  <si>
    <t>Rebase factor</t>
  </si>
  <si>
    <t>WDI</t>
  </si>
  <si>
    <t>WPP (no WDI entry)</t>
  </si>
  <si>
    <t>All classified economies</t>
  </si>
  <si>
    <t>World Bank income classification - actual 1987-2025 (OGHIST), projected 2026-2050 (yellow)</t>
  </si>
  <si>
    <t>© Philip Schellekens | Moving Frontiers | movingfrontiers.substack.com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</si>
</sst>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
    <numFmt numFmtId="168" formatCode="\+0.0%;\-0.0%;0.0%"/>
    <numFmt numFmtId="169" formatCode="0.000"/>
    <numFmt numFmtId="170" formatCode="#,##0.000"/>
  </numFmts>
  <fonts count="9" x14ac:knownFonts="1">
    <font>
      <sz val="11"/>
      <color theme="1"/>
      <name val="Calibri"/>
      <family val="2"/>
      <charset val="1"/>
    </font>
    <font>
      <b/>
      <sz val="9"/>
      <name val="Arial"/>
      <family val="2"/>
    </font>
    <font>
      <sz val="9"/>
      <name val="Arial"/>
      <family val="2"/>
    </font>
    <font>
      <b/>
      <sz val="11"/>
      <name val="Arial"/>
      <family val="2"/>
    </font>
    <font>
      <b/>
      <sz val="9"/>
      <color rgb="FFFFFFFF"/>
      <name val="Arial"/>
      <family val="2"/>
    </font>
    <font>
      <i/>
      <sz val="9"/>
      <color rgb="FFC00000"/>
      <name val="Arial"/>
      <family val="2"/>
    </font>
    <font>
      <i/>
      <sz val="9"/>
      <color rgb="FF808080"/>
      <name val="Arial"/>
      <family val="2"/>
    </font>
    <font>
      <sz val="9"/>
      <color rgb="FF0000FF"/>
      <name val="Arial"/>
      <family val="2"/>
    </font>
    <font>
      <sz val="9"/>
      <color rgb="FF008000"/>
      <name val="Arial"/>
      <family val="2"/>
    </font>
  </fonts>
  <fills count="5">
    <fill>
      <patternFill patternType="none"/>
    </fill>
    <fill>
      <patternFill patternType="gray125"/>
    </fill>
    <fill>
      <patternFill patternType="solid">
        <fgColor rgb="FFFFFF99"/>
        <bgColor rgb="FFFFFFCC"/>
      </patternFill>
    </fill>
    <fill>
      <patternFill patternType="solid">
        <fgColor rgb="FF1F4E79"/>
        <bgColor rgb="FF003366"/>
      </patternFill>
    </fill>
    <fill>
      <patternFill patternType="solid">
        <fgColor rgb="FF7F7F7F"/>
        <bgColor rgb="FF80808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1" fillId="2" borderId="0" xfId="0" applyFont="1" applyFill="1"/>
    <xf numFmtId="0" fontId="3" fillId="0" borderId="0" xfId="0" applyFont="1"/>
    <xf numFmtId="0" fontId="4" fillId="3" borderId="1" xfId="0" applyFont="1" applyFill="1" applyBorder="1" applyAlignment="1">
      <alignment horizontal="center"/>
    </xf>
    <xf numFmtId="0" fontId="1" fillId="0" borderId="1" xfId="0" applyFont="1" applyBorder="1" applyAlignment="1">
      <alignment horizontal="center"/>
    </xf>
    <xf numFmtId="0" fontId="5" fillId="0" borderId="1" xfId="0" applyFont="1" applyBorder="1" applyAlignment="1">
      <alignment horizontal="center"/>
    </xf>
    <xf numFmtId="3" fontId="2" fillId="0" borderId="1" xfId="0" applyNumberFormat="1" applyFont="1" applyBorder="1" applyAlignment="1">
      <alignment horizontal="center"/>
    </xf>
    <xf numFmtId="164" fontId="2" fillId="0" borderId="1" xfId="0" applyNumberFormat="1" applyFont="1" applyBorder="1" applyAlignment="1">
      <alignment horizontal="center"/>
    </xf>
    <xf numFmtId="0" fontId="6" fillId="0" borderId="0" xfId="0" applyFont="1"/>
    <xf numFmtId="0" fontId="1" fillId="0" borderId="0" xfId="0" applyFont="1" applyAlignment="1">
      <alignment horizontal="center"/>
    </xf>
    <xf numFmtId="0" fontId="2" fillId="0" borderId="0" xfId="0" applyFont="1" applyAlignment="1">
      <alignment horizontal="center"/>
    </xf>
    <xf numFmtId="165" fontId="2" fillId="0" borderId="0" xfId="0" applyNumberFormat="1" applyFont="1" applyAlignment="1">
      <alignment horizontal="center"/>
    </xf>
    <xf numFmtId="166" fontId="7" fillId="2" borderId="0" xfId="0" applyNumberFormat="1" applyFont="1" applyFill="1"/>
    <xf numFmtId="166" fontId="8" fillId="2" borderId="0" xfId="0" applyNumberFormat="1" applyFont="1" applyFill="1"/>
    <xf numFmtId="10" fontId="7" fillId="2" borderId="0" xfId="0" applyNumberFormat="1" applyFont="1" applyFill="1"/>
    <xf numFmtId="0" fontId="7" fillId="2" borderId="0" xfId="0" applyFont="1" applyFill="1" applyAlignment="1">
      <alignment horizontal="center"/>
    </xf>
    <xf numFmtId="0" fontId="2" fillId="0" borderId="1" xfId="0" applyFont="1" applyBorder="1" applyAlignment="1">
      <alignment horizontal="center"/>
    </xf>
    <xf numFmtId="10" fontId="2" fillId="0" borderId="1" xfId="0" applyNumberFormat="1" applyFont="1" applyBorder="1" applyAlignment="1">
      <alignment horizontal="center"/>
    </xf>
    <xf numFmtId="166" fontId="2" fillId="0" borderId="1" xfId="0" applyNumberFormat="1" applyFont="1" applyBorder="1" applyAlignment="1">
      <alignment horizontal="center"/>
    </xf>
    <xf numFmtId="166" fontId="2" fillId="0" borderId="0" xfId="0" applyNumberFormat="1" applyFont="1" applyAlignment="1">
      <alignment horizontal="center"/>
    </xf>
    <xf numFmtId="167" fontId="7" fillId="0" borderId="1" xfId="0" applyNumberFormat="1" applyFont="1" applyBorder="1" applyAlignment="1">
      <alignment horizontal="center"/>
    </xf>
    <xf numFmtId="0" fontId="2" fillId="2" borderId="1" xfId="0" applyFont="1" applyFill="1" applyBorder="1" applyAlignment="1">
      <alignment horizontal="center"/>
    </xf>
    <xf numFmtId="167" fontId="2" fillId="2" borderId="1" xfId="0" applyNumberFormat="1" applyFont="1" applyFill="1" applyBorder="1" applyAlignment="1">
      <alignment horizontal="center"/>
    </xf>
    <xf numFmtId="0" fontId="4" fillId="4" borderId="1" xfId="0" applyFont="1" applyFill="1" applyBorder="1" applyAlignment="1">
      <alignment horizontal="center"/>
    </xf>
    <xf numFmtId="164" fontId="8" fillId="0" borderId="0" xfId="0" applyNumberFormat="1" applyFont="1" applyAlignment="1">
      <alignment horizontal="center"/>
    </xf>
    <xf numFmtId="167" fontId="7" fillId="0" borderId="0" xfId="0" applyNumberFormat="1" applyFont="1"/>
    <xf numFmtId="0" fontId="5" fillId="0" borderId="0" xfId="0" applyFont="1"/>
    <xf numFmtId="167" fontId="2" fillId="2" borderId="0" xfId="0" applyNumberFormat="1" applyFont="1" applyFill="1"/>
    <xf numFmtId="164" fontId="2" fillId="0" borderId="0" xfId="0" applyNumberFormat="1" applyFont="1" applyAlignment="1">
      <alignment horizontal="center"/>
    </xf>
    <xf numFmtId="166" fontId="8" fillId="0" borderId="0" xfId="0" applyNumberFormat="1" applyFont="1" applyAlignment="1">
      <alignment horizontal="center"/>
    </xf>
    <xf numFmtId="10" fontId="2" fillId="0" borderId="0" xfId="0" applyNumberFormat="1" applyFont="1" applyAlignment="1">
      <alignment horizontal="center"/>
    </xf>
    <xf numFmtId="164" fontId="2" fillId="2" borderId="0" xfId="0" applyNumberFormat="1" applyFont="1" applyFill="1" applyAlignment="1">
      <alignment horizontal="center"/>
    </xf>
    <xf numFmtId="168" fontId="2" fillId="0" borderId="0" xfId="0" applyNumberFormat="1" applyFont="1" applyAlignment="1">
      <alignment horizontal="center"/>
    </xf>
    <xf numFmtId="169" fontId="2" fillId="0" borderId="0" xfId="0" applyNumberFormat="1" applyFont="1" applyAlignment="1">
      <alignment horizontal="center"/>
    </xf>
    <xf numFmtId="170" fontId="7" fillId="0" borderId="0" xfId="0" applyNumberFormat="1" applyFont="1"/>
    <xf numFmtId="170" fontId="7" fillId="2" borderId="0" xfId="0" applyNumberFormat="1" applyFont="1" applyFill="1"/>
    <xf numFmtId="169" fontId="5" fillId="0" borderId="0" xfId="0" applyNumberFormat="1" applyFont="1" applyAlignment="1">
      <alignment horizontal="center"/>
    </xf>
    <xf numFmtId="0" fontId="5" fillId="0" borderId="0" xfId="0" applyFont="1" applyAlignment="1">
      <alignment horizontal="center"/>
    </xf>
    <xf numFmtId="165" fontId="2" fillId="0" borderId="0" xfId="0" applyNumberFormat="1" applyFont="1"/>
    <xf numFmtId="0" fontId="7" fillId="0" borderId="0" xfId="0" applyFont="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2"/>
  <sheetViews>
    <sheetView topLeftCell="A23" zoomScale="130" zoomScaleNormal="130" workbookViewId="0">
      <selection activeCell="A62" sqref="A62"/>
    </sheetView>
  </sheetViews>
  <sheetFormatPr baseColWidth="10" defaultColWidth="8.6640625" defaultRowHeight="15" x14ac:dyDescent="0.2"/>
  <cols>
    <col min="1" max="1" width="100" customWidth="1"/>
  </cols>
  <sheetData>
    <row r="1" spans="1:1" x14ac:dyDescent="0.2">
      <c r="A1" s="1" t="s">
        <v>0</v>
      </c>
    </row>
    <row r="2" spans="1:1" x14ac:dyDescent="0.2">
      <c r="A2" s="1"/>
    </row>
    <row r="3" spans="1:1" x14ac:dyDescent="0.2">
      <c r="A3" s="2" t="s">
        <v>701</v>
      </c>
    </row>
    <row r="4" spans="1:1" x14ac:dyDescent="0.2">
      <c r="A4" s="2"/>
    </row>
    <row r="5" spans="1:1" x14ac:dyDescent="0.2">
      <c r="A5" s="3" t="s">
        <v>1</v>
      </c>
    </row>
    <row r="6" spans="1:1" x14ac:dyDescent="0.2">
      <c r="A6" s="2"/>
    </row>
    <row r="7" spans="1:1" x14ac:dyDescent="0.2">
      <c r="A7" s="1" t="s">
        <v>2</v>
      </c>
    </row>
    <row r="8" spans="1:1" x14ac:dyDescent="0.2">
      <c r="A8" s="2" t="s">
        <v>3</v>
      </c>
    </row>
    <row r="9" spans="1:1" x14ac:dyDescent="0.2">
      <c r="A9" s="2" t="s">
        <v>4</v>
      </c>
    </row>
    <row r="10" spans="1:1" x14ac:dyDescent="0.2">
      <c r="A10" s="2"/>
    </row>
    <row r="11" spans="1:1" x14ac:dyDescent="0.2">
      <c r="A11" s="1" t="s">
        <v>5</v>
      </c>
    </row>
    <row r="12" spans="1:1" x14ac:dyDescent="0.2">
      <c r="A12" s="2" t="s">
        <v>6</v>
      </c>
    </row>
    <row r="13" spans="1:1" x14ac:dyDescent="0.2">
      <c r="A13" s="2"/>
    </row>
    <row r="14" spans="1:1" x14ac:dyDescent="0.2">
      <c r="A14" s="1" t="s">
        <v>7</v>
      </c>
    </row>
    <row r="15" spans="1:1" x14ac:dyDescent="0.2">
      <c r="A15" s="2" t="s">
        <v>8</v>
      </c>
    </row>
    <row r="16" spans="1:1" x14ac:dyDescent="0.2">
      <c r="A16" s="2" t="s">
        <v>9</v>
      </c>
    </row>
    <row r="17" spans="1:1" x14ac:dyDescent="0.2">
      <c r="A17" s="2"/>
    </row>
    <row r="18" spans="1:1" x14ac:dyDescent="0.2">
      <c r="A18" s="1" t="s">
        <v>10</v>
      </c>
    </row>
    <row r="19" spans="1:1" x14ac:dyDescent="0.2">
      <c r="A19" s="2" t="s">
        <v>11</v>
      </c>
    </row>
    <row r="20" spans="1:1" x14ac:dyDescent="0.2">
      <c r="A20" s="2" t="s">
        <v>12</v>
      </c>
    </row>
    <row r="21" spans="1:1" x14ac:dyDescent="0.2">
      <c r="A21" s="2" t="s">
        <v>13</v>
      </c>
    </row>
    <row r="22" spans="1:1" x14ac:dyDescent="0.2">
      <c r="A22" s="2" t="s">
        <v>14</v>
      </c>
    </row>
    <row r="23" spans="1:1" x14ac:dyDescent="0.2">
      <c r="A23" s="2"/>
    </row>
    <row r="24" spans="1:1" x14ac:dyDescent="0.2">
      <c r="A24" s="1" t="s">
        <v>15</v>
      </c>
    </row>
    <row r="25" spans="1:1" x14ac:dyDescent="0.2">
      <c r="A25" s="2" t="s">
        <v>16</v>
      </c>
    </row>
    <row r="26" spans="1:1" x14ac:dyDescent="0.2">
      <c r="A26" s="2" t="s">
        <v>17</v>
      </c>
    </row>
    <row r="27" spans="1:1" x14ac:dyDescent="0.2">
      <c r="A27" s="2"/>
    </row>
    <row r="28" spans="1:1" x14ac:dyDescent="0.2">
      <c r="A28" s="1" t="s">
        <v>18</v>
      </c>
    </row>
    <row r="29" spans="1:1" x14ac:dyDescent="0.2">
      <c r="A29" s="2" t="s">
        <v>19</v>
      </c>
    </row>
    <row r="30" spans="1:1" x14ac:dyDescent="0.2">
      <c r="A30" s="2" t="s">
        <v>20</v>
      </c>
    </row>
    <row r="31" spans="1:1" x14ac:dyDescent="0.2">
      <c r="A31" s="2"/>
    </row>
    <row r="32" spans="1:1" x14ac:dyDescent="0.2">
      <c r="A32" s="1" t="s">
        <v>21</v>
      </c>
    </row>
    <row r="33" spans="1:1" x14ac:dyDescent="0.2">
      <c r="A33" s="2" t="s">
        <v>22</v>
      </c>
    </row>
    <row r="34" spans="1:1" x14ac:dyDescent="0.2">
      <c r="A34" s="2" t="s">
        <v>23</v>
      </c>
    </row>
    <row r="35" spans="1:1" x14ac:dyDescent="0.2">
      <c r="A35" s="2"/>
    </row>
    <row r="36" spans="1:1" x14ac:dyDescent="0.2">
      <c r="A36" s="2" t="s">
        <v>24</v>
      </c>
    </row>
    <row r="37" spans="1:1" x14ac:dyDescent="0.2">
      <c r="A37" s="2" t="s">
        <v>25</v>
      </c>
    </row>
    <row r="38" spans="1:1" x14ac:dyDescent="0.2">
      <c r="A38" s="2"/>
    </row>
    <row r="39" spans="1:1" x14ac:dyDescent="0.2">
      <c r="A39" s="1" t="s">
        <v>26</v>
      </c>
    </row>
    <row r="40" spans="1:1" x14ac:dyDescent="0.2">
      <c r="A40" s="2" t="s">
        <v>27</v>
      </c>
    </row>
    <row r="41" spans="1:1" x14ac:dyDescent="0.2">
      <c r="A41" s="2" t="s">
        <v>28</v>
      </c>
    </row>
    <row r="42" spans="1:1" x14ac:dyDescent="0.2">
      <c r="A42" s="2" t="s">
        <v>29</v>
      </c>
    </row>
    <row r="43" spans="1:1" x14ac:dyDescent="0.2">
      <c r="A43" s="2" t="s">
        <v>30</v>
      </c>
    </row>
    <row r="44" spans="1:1" x14ac:dyDescent="0.2">
      <c r="A44" s="2" t="s">
        <v>31</v>
      </c>
    </row>
    <row r="45" spans="1:1" x14ac:dyDescent="0.2">
      <c r="A45" s="2" t="s">
        <v>32</v>
      </c>
    </row>
    <row r="46" spans="1:1" x14ac:dyDescent="0.2">
      <c r="A46" s="2"/>
    </row>
    <row r="47" spans="1:1" x14ac:dyDescent="0.2">
      <c r="A47" s="1" t="s">
        <v>33</v>
      </c>
    </row>
    <row r="48" spans="1:1" x14ac:dyDescent="0.2">
      <c r="A48" s="2" t="s">
        <v>34</v>
      </c>
    </row>
    <row r="49" spans="1:1" x14ac:dyDescent="0.2">
      <c r="A49" s="2" t="s">
        <v>35</v>
      </c>
    </row>
    <row r="50" spans="1:1" x14ac:dyDescent="0.2">
      <c r="A50" s="2" t="s">
        <v>36</v>
      </c>
    </row>
    <row r="51" spans="1:1" x14ac:dyDescent="0.2">
      <c r="A51" s="2" t="s">
        <v>37</v>
      </c>
    </row>
    <row r="52" spans="1:1" x14ac:dyDescent="0.2">
      <c r="A52" s="2" t="s">
        <v>38</v>
      </c>
    </row>
    <row r="53" spans="1:1" x14ac:dyDescent="0.2">
      <c r="A53" s="2" t="s">
        <v>39</v>
      </c>
    </row>
    <row r="54" spans="1:1" x14ac:dyDescent="0.2">
      <c r="A54" s="2" t="s">
        <v>40</v>
      </c>
    </row>
    <row r="55" spans="1:1" x14ac:dyDescent="0.2">
      <c r="A55" s="2"/>
    </row>
    <row r="56" spans="1:1" x14ac:dyDescent="0.2">
      <c r="A56" s="2" t="s">
        <v>41</v>
      </c>
    </row>
    <row r="57" spans="1:1" x14ac:dyDescent="0.2">
      <c r="A57" s="2" t="s">
        <v>42</v>
      </c>
    </row>
    <row r="58" spans="1:1" x14ac:dyDescent="0.2">
      <c r="A58" s="2"/>
    </row>
    <row r="59" spans="1:1" x14ac:dyDescent="0.2">
      <c r="A59" s="2" t="s">
        <v>43</v>
      </c>
    </row>
    <row r="60" spans="1:1" x14ac:dyDescent="0.2">
      <c r="A60" s="2" t="s">
        <v>44</v>
      </c>
    </row>
    <row r="61" spans="1:1" x14ac:dyDescent="0.2">
      <c r="A61" s="2" t="s">
        <v>45</v>
      </c>
    </row>
    <row r="62" spans="1:1" x14ac:dyDescent="0.2">
      <c r="A62" s="2" t="s">
        <v>46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4"/>
  <sheetViews>
    <sheetView zoomScaleNormal="100" workbookViewId="0"/>
  </sheetViews>
  <sheetFormatPr baseColWidth="10" defaultColWidth="8.6640625" defaultRowHeight="15" x14ac:dyDescent="0.2"/>
  <cols>
    <col min="1" max="1" width="58" customWidth="1"/>
    <col min="2" max="2" width="17" customWidth="1"/>
    <col min="3" max="3" width="18" customWidth="1"/>
    <col min="4" max="4" width="24" customWidth="1"/>
    <col min="5" max="5" width="20" customWidth="1"/>
  </cols>
  <sheetData>
    <row r="1" spans="1:5" x14ac:dyDescent="0.2">
      <c r="A1" s="4" t="s">
        <v>47</v>
      </c>
    </row>
    <row r="2" spans="1:5" x14ac:dyDescent="0.2">
      <c r="A2" s="2" t="s">
        <v>48</v>
      </c>
    </row>
    <row r="4" spans="1:5" x14ac:dyDescent="0.2">
      <c r="A4" s="5" t="s">
        <v>49</v>
      </c>
      <c r="B4" s="5" t="s">
        <v>50</v>
      </c>
      <c r="C4" s="5" t="s">
        <v>51</v>
      </c>
      <c r="D4" s="5" t="s">
        <v>52</v>
      </c>
      <c r="E4" s="5" t="s">
        <v>53</v>
      </c>
    </row>
    <row r="5" spans="1:5" x14ac:dyDescent="0.2">
      <c r="A5" s="2" t="s">
        <v>54</v>
      </c>
      <c r="B5" s="6">
        <v>226</v>
      </c>
      <c r="C5" s="7"/>
    </row>
    <row r="6" spans="1:5" x14ac:dyDescent="0.2">
      <c r="A6" s="2" t="s">
        <v>55</v>
      </c>
      <c r="B6" s="6">
        <v>224</v>
      </c>
      <c r="C6" s="7">
        <v>2</v>
      </c>
    </row>
    <row r="7" spans="1:5" x14ac:dyDescent="0.2">
      <c r="A7" s="2" t="s">
        <v>56</v>
      </c>
      <c r="B7" s="6">
        <v>224</v>
      </c>
      <c r="C7" s="7">
        <v>0</v>
      </c>
    </row>
    <row r="8" spans="1:5" x14ac:dyDescent="0.2">
      <c r="A8" s="2" t="s">
        <v>57</v>
      </c>
      <c r="B8" s="6">
        <v>218</v>
      </c>
      <c r="C8" s="7">
        <v>6</v>
      </c>
      <c r="D8" s="8">
        <v>9481.4</v>
      </c>
      <c r="E8" s="9">
        <v>1</v>
      </c>
    </row>
    <row r="9" spans="1:5" x14ac:dyDescent="0.2">
      <c r="A9" s="2" t="s">
        <v>58</v>
      </c>
      <c r="B9" s="6">
        <v>197</v>
      </c>
      <c r="C9" s="7"/>
      <c r="D9" s="8">
        <v>9277.4</v>
      </c>
      <c r="E9" s="9">
        <v>0.97847889112845698</v>
      </c>
    </row>
    <row r="10" spans="1:5" x14ac:dyDescent="0.2">
      <c r="A10" s="2" t="s">
        <v>59</v>
      </c>
      <c r="B10" s="6">
        <v>21</v>
      </c>
      <c r="C10" s="7"/>
      <c r="D10" s="8">
        <v>204.1</v>
      </c>
      <c r="E10" s="9">
        <v>2.1521108871543099E-2</v>
      </c>
    </row>
    <row r="11" spans="1:5" x14ac:dyDescent="0.2">
      <c r="A11" s="10" t="s">
        <v>60</v>
      </c>
    </row>
    <row r="13" spans="1:5" x14ac:dyDescent="0.2">
      <c r="A13" s="1" t="s">
        <v>61</v>
      </c>
    </row>
    <row r="14" spans="1:5" x14ac:dyDescent="0.2">
      <c r="A14" s="2" t="s">
        <v>62</v>
      </c>
      <c r="B14" s="10" t="s">
        <v>63</v>
      </c>
    </row>
    <row r="15" spans="1:5" x14ac:dyDescent="0.2">
      <c r="A15" s="2" t="s">
        <v>64</v>
      </c>
      <c r="B15" s="10" t="s">
        <v>65</v>
      </c>
    </row>
    <row r="16" spans="1:5" x14ac:dyDescent="0.2">
      <c r="A16" s="2" t="s">
        <v>66</v>
      </c>
      <c r="B16" s="10" t="s">
        <v>67</v>
      </c>
    </row>
    <row r="17" spans="1:4" x14ac:dyDescent="0.2">
      <c r="A17" s="2" t="s">
        <v>68</v>
      </c>
      <c r="B17" s="10" t="s">
        <v>69</v>
      </c>
    </row>
    <row r="18" spans="1:4" x14ac:dyDescent="0.2">
      <c r="A18" s="2" t="s">
        <v>70</v>
      </c>
      <c r="B18" s="10" t="s">
        <v>71</v>
      </c>
    </row>
    <row r="19" spans="1:4" x14ac:dyDescent="0.2">
      <c r="A19" s="2" t="s">
        <v>72</v>
      </c>
      <c r="B19" s="10" t="s">
        <v>63</v>
      </c>
    </row>
    <row r="21" spans="1:4" x14ac:dyDescent="0.2">
      <c r="A21" s="1" t="s">
        <v>73</v>
      </c>
    </row>
    <row r="22" spans="1:4" x14ac:dyDescent="0.2">
      <c r="A22" s="2" t="s">
        <v>74</v>
      </c>
      <c r="B22" s="11" t="s">
        <v>75</v>
      </c>
      <c r="C22" s="12">
        <v>3</v>
      </c>
      <c r="D22" s="13">
        <v>59</v>
      </c>
    </row>
    <row r="23" spans="1:4" x14ac:dyDescent="0.2">
      <c r="A23" s="2" t="s">
        <v>76</v>
      </c>
      <c r="B23" s="11" t="s">
        <v>75</v>
      </c>
      <c r="C23" s="12">
        <v>0</v>
      </c>
      <c r="D23" s="13">
        <v>43.5</v>
      </c>
    </row>
    <row r="24" spans="1:4" x14ac:dyDescent="0.2">
      <c r="A24" s="2" t="s">
        <v>77</v>
      </c>
      <c r="B24" s="11" t="s">
        <v>75</v>
      </c>
      <c r="C24" s="12">
        <v>7</v>
      </c>
      <c r="D24" s="13">
        <v>38.200000000000003</v>
      </c>
    </row>
    <row r="25" spans="1:4" x14ac:dyDescent="0.2">
      <c r="A25" s="2" t="s">
        <v>78</v>
      </c>
      <c r="B25" s="11" t="s">
        <v>79</v>
      </c>
      <c r="C25" s="12">
        <v>0</v>
      </c>
      <c r="D25" s="13">
        <v>23.9</v>
      </c>
    </row>
    <row r="26" spans="1:4" x14ac:dyDescent="0.2">
      <c r="A26" s="2" t="s">
        <v>80</v>
      </c>
      <c r="B26" s="11" t="s">
        <v>75</v>
      </c>
      <c r="C26" s="12">
        <v>0</v>
      </c>
      <c r="D26" s="13">
        <v>19.399999999999999</v>
      </c>
    </row>
    <row r="27" spans="1:4" x14ac:dyDescent="0.2">
      <c r="A27" s="2" t="s">
        <v>81</v>
      </c>
      <c r="B27" s="11" t="s">
        <v>82</v>
      </c>
      <c r="C27" s="12">
        <v>4</v>
      </c>
      <c r="D27" s="13">
        <v>11.1</v>
      </c>
    </row>
    <row r="28" spans="1:4" x14ac:dyDescent="0.2">
      <c r="A28" s="2" t="s">
        <v>83</v>
      </c>
      <c r="B28" s="11" t="s">
        <v>75</v>
      </c>
      <c r="C28" s="12">
        <v>0</v>
      </c>
      <c r="D28" s="13">
        <v>7.8</v>
      </c>
    </row>
    <row r="29" spans="1:4" x14ac:dyDescent="0.2">
      <c r="A29" s="2" t="s">
        <v>84</v>
      </c>
      <c r="B29" s="11" t="s">
        <v>79</v>
      </c>
      <c r="C29" s="12">
        <v>5</v>
      </c>
      <c r="D29" s="13">
        <v>0.3</v>
      </c>
    </row>
    <row r="30" spans="1:4" x14ac:dyDescent="0.2">
      <c r="A30" s="2" t="s">
        <v>85</v>
      </c>
      <c r="B30" s="11" t="s">
        <v>79</v>
      </c>
      <c r="C30" s="12">
        <v>0</v>
      </c>
      <c r="D30" s="13">
        <v>0.2</v>
      </c>
    </row>
    <row r="31" spans="1:4" x14ac:dyDescent="0.2">
      <c r="A31" s="2" t="s">
        <v>86</v>
      </c>
      <c r="B31" s="11" t="s">
        <v>79</v>
      </c>
      <c r="C31" s="12">
        <v>0</v>
      </c>
      <c r="D31" s="13">
        <v>0.2</v>
      </c>
    </row>
    <row r="32" spans="1:4" x14ac:dyDescent="0.2">
      <c r="A32" s="2" t="s">
        <v>87</v>
      </c>
      <c r="B32" s="11" t="s">
        <v>79</v>
      </c>
      <c r="C32" s="12">
        <v>0</v>
      </c>
      <c r="D32" s="13">
        <v>0.1</v>
      </c>
    </row>
    <row r="33" spans="1:4" x14ac:dyDescent="0.2">
      <c r="A33" s="2" t="s">
        <v>88</v>
      </c>
      <c r="B33" s="11" t="s">
        <v>79</v>
      </c>
      <c r="C33" s="12">
        <v>6</v>
      </c>
      <c r="D33" s="13">
        <v>0.1</v>
      </c>
    </row>
    <row r="34" spans="1:4" x14ac:dyDescent="0.2">
      <c r="A34" s="2" t="s">
        <v>89</v>
      </c>
      <c r="B34" s="11" t="s">
        <v>79</v>
      </c>
      <c r="C34" s="12">
        <v>0</v>
      </c>
      <c r="D34" s="13">
        <v>0.1</v>
      </c>
    </row>
    <row r="35" spans="1:4" x14ac:dyDescent="0.2">
      <c r="A35" s="2" t="s">
        <v>90</v>
      </c>
      <c r="B35" s="11" t="s">
        <v>79</v>
      </c>
      <c r="C35" s="12">
        <v>0</v>
      </c>
      <c r="D35" s="13">
        <v>0.1</v>
      </c>
    </row>
    <row r="36" spans="1:4" x14ac:dyDescent="0.2">
      <c r="A36" s="2" t="s">
        <v>91</v>
      </c>
      <c r="B36" s="11" t="s">
        <v>79</v>
      </c>
      <c r="C36" s="12">
        <v>0</v>
      </c>
      <c r="D36" s="13">
        <v>0.1</v>
      </c>
    </row>
    <row r="37" spans="1:4" x14ac:dyDescent="0.2">
      <c r="A37" s="2" t="s">
        <v>92</v>
      </c>
      <c r="B37" s="11" t="s">
        <v>79</v>
      </c>
      <c r="C37" s="12">
        <v>0</v>
      </c>
      <c r="D37" s="13">
        <v>0</v>
      </c>
    </row>
    <row r="38" spans="1:4" x14ac:dyDescent="0.2">
      <c r="A38" s="2" t="s">
        <v>93</v>
      </c>
      <c r="B38" s="11" t="s">
        <v>79</v>
      </c>
      <c r="C38" s="12">
        <v>0</v>
      </c>
      <c r="D38" s="13">
        <v>0</v>
      </c>
    </row>
    <row r="39" spans="1:4" x14ac:dyDescent="0.2">
      <c r="A39" s="2" t="s">
        <v>94</v>
      </c>
      <c r="B39" s="11" t="s">
        <v>79</v>
      </c>
      <c r="C39" s="12">
        <v>0</v>
      </c>
      <c r="D39" s="13">
        <v>0</v>
      </c>
    </row>
    <row r="40" spans="1:4" x14ac:dyDescent="0.2">
      <c r="A40" s="2" t="s">
        <v>95</v>
      </c>
      <c r="B40" s="11" t="s">
        <v>79</v>
      </c>
      <c r="C40" s="12">
        <v>0</v>
      </c>
      <c r="D40" s="13">
        <v>0</v>
      </c>
    </row>
    <row r="41" spans="1:4" x14ac:dyDescent="0.2">
      <c r="A41" s="2" t="s">
        <v>96</v>
      </c>
      <c r="B41" s="11" t="s">
        <v>79</v>
      </c>
      <c r="C41" s="12">
        <v>6</v>
      </c>
      <c r="D41" s="13">
        <v>0</v>
      </c>
    </row>
    <row r="42" spans="1:4" x14ac:dyDescent="0.2">
      <c r="A42" s="2" t="s">
        <v>97</v>
      </c>
      <c r="B42" s="11" t="s">
        <v>79</v>
      </c>
      <c r="C42" s="12">
        <v>0</v>
      </c>
      <c r="D42" s="13">
        <v>0</v>
      </c>
    </row>
    <row r="44" spans="1:4" x14ac:dyDescent="0.2">
      <c r="A44" s="10" t="s">
        <v>98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8"/>
  <sheetViews>
    <sheetView zoomScaleNormal="100" workbookViewId="0">
      <selection activeCell="C13" sqref="C13"/>
    </sheetView>
  </sheetViews>
  <sheetFormatPr baseColWidth="10" defaultColWidth="8.6640625" defaultRowHeight="15" x14ac:dyDescent="0.2"/>
  <cols>
    <col min="1" max="1" width="62" customWidth="1"/>
    <col min="2" max="2" width="14" customWidth="1"/>
    <col min="3" max="3" width="13" customWidth="1"/>
    <col min="4" max="4" width="44" customWidth="1"/>
  </cols>
  <sheetData>
    <row r="1" spans="1:4" x14ac:dyDescent="0.2">
      <c r="A1" s="4" t="s">
        <v>99</v>
      </c>
    </row>
    <row r="2" spans="1:4" x14ac:dyDescent="0.2">
      <c r="A2" s="2" t="s">
        <v>100</v>
      </c>
    </row>
    <row r="4" spans="1:4" x14ac:dyDescent="0.2">
      <c r="A4" s="1" t="s">
        <v>101</v>
      </c>
      <c r="C4" s="14">
        <v>1.244E-2</v>
      </c>
      <c r="D4" s="10" t="s">
        <v>102</v>
      </c>
    </row>
    <row r="5" spans="1:4" x14ac:dyDescent="0.2">
      <c r="A5" s="1" t="s">
        <v>103</v>
      </c>
      <c r="C5" s="15">
        <f>C4</f>
        <v>1.244E-2</v>
      </c>
    </row>
    <row r="7" spans="1:4" x14ac:dyDescent="0.2">
      <c r="A7" s="1" t="s">
        <v>104</v>
      </c>
    </row>
    <row r="8" spans="1:4" x14ac:dyDescent="0.2">
      <c r="B8" s="2" t="s">
        <v>105</v>
      </c>
      <c r="C8" s="16">
        <v>5.5947999999999998E-2</v>
      </c>
    </row>
    <row r="9" spans="1:4" x14ac:dyDescent="0.2">
      <c r="B9" s="2" t="s">
        <v>106</v>
      </c>
      <c r="C9" s="16">
        <v>7.4680999999999997E-2</v>
      </c>
    </row>
    <row r="10" spans="1:4" x14ac:dyDescent="0.2">
      <c r="B10" s="2" t="s">
        <v>107</v>
      </c>
      <c r="C10" s="16">
        <v>9.0712000000000001E-2</v>
      </c>
    </row>
    <row r="11" spans="1:4" x14ac:dyDescent="0.2">
      <c r="B11" s="2" t="s">
        <v>108</v>
      </c>
      <c r="C11" s="16">
        <v>7.1689000000000003E-2</v>
      </c>
    </row>
    <row r="13" spans="1:4" x14ac:dyDescent="0.2">
      <c r="A13" s="1" t="s">
        <v>109</v>
      </c>
      <c r="C13" s="17">
        <v>8</v>
      </c>
    </row>
    <row r="15" spans="1:4" x14ac:dyDescent="0.2">
      <c r="A15" s="1" t="s">
        <v>110</v>
      </c>
    </row>
    <row r="16" spans="1:4" x14ac:dyDescent="0.2">
      <c r="A16" s="5" t="s">
        <v>111</v>
      </c>
      <c r="B16" s="5" t="s">
        <v>112</v>
      </c>
      <c r="C16" s="5" t="s">
        <v>113</v>
      </c>
      <c r="D16" s="5" t="s">
        <v>114</v>
      </c>
    </row>
    <row r="17" spans="1:4" x14ac:dyDescent="0.2">
      <c r="A17" s="18" t="s">
        <v>115</v>
      </c>
      <c r="B17" s="19">
        <v>-1.9512195121951199E-2</v>
      </c>
      <c r="C17" s="19">
        <v>-1.9826517967781902E-2</v>
      </c>
      <c r="D17" s="19">
        <v>-1.9238476953907801E-2</v>
      </c>
    </row>
    <row r="18" spans="1:4" x14ac:dyDescent="0.2">
      <c r="A18" s="18" t="s">
        <v>116</v>
      </c>
      <c r="B18" s="19">
        <v>-9.9502487562188602E-3</v>
      </c>
      <c r="C18" s="19">
        <v>-1.5170670037926701E-2</v>
      </c>
      <c r="D18" s="19">
        <v>-1.4711892112791201E-2</v>
      </c>
    </row>
    <row r="19" spans="1:4" x14ac:dyDescent="0.2">
      <c r="A19" s="18" t="s">
        <v>117</v>
      </c>
      <c r="B19" s="19">
        <v>3.0150753768844098E-2</v>
      </c>
      <c r="C19" s="19">
        <v>2.5673940949935799E-2</v>
      </c>
      <c r="D19" s="19">
        <v>2.6545002073828299E-2</v>
      </c>
    </row>
    <row r="20" spans="1:4" x14ac:dyDescent="0.2">
      <c r="A20" s="18" t="s">
        <v>118</v>
      </c>
      <c r="B20" s="19">
        <v>9.7560975609756202E-3</v>
      </c>
      <c r="C20" s="19">
        <v>1.25156445556947E-2</v>
      </c>
      <c r="D20" s="19">
        <v>1.2929292929293E-2</v>
      </c>
    </row>
    <row r="21" spans="1:4" x14ac:dyDescent="0.2">
      <c r="A21" s="18" t="s">
        <v>119</v>
      </c>
      <c r="B21" s="19">
        <v>9.66183574879231E-3</v>
      </c>
      <c r="C21" s="19">
        <v>1.23609394313968E-2</v>
      </c>
      <c r="D21" s="19">
        <v>1.2764260071799E-2</v>
      </c>
    </row>
    <row r="22" spans="1:4" x14ac:dyDescent="0.2">
      <c r="A22" s="18" t="s">
        <v>120</v>
      </c>
      <c r="B22" s="19">
        <v>3.82775119617225E-2</v>
      </c>
      <c r="C22" s="19">
        <v>3.9072039072039197E-2</v>
      </c>
      <c r="D22" s="19">
        <v>4.0173296573453997E-2</v>
      </c>
    </row>
    <row r="23" spans="1:4" x14ac:dyDescent="0.2">
      <c r="A23" s="18" t="s">
        <v>121</v>
      </c>
      <c r="B23" s="19">
        <v>4.6082949308755797E-2</v>
      </c>
      <c r="C23" s="19">
        <v>4.9353701527614702E-2</v>
      </c>
      <c r="D23" s="19">
        <v>4.8466489965921997E-2</v>
      </c>
    </row>
    <row r="24" spans="1:4" x14ac:dyDescent="0.2">
      <c r="A24" s="18" t="s">
        <v>122</v>
      </c>
      <c r="B24" s="19">
        <v>8.8105726872247398E-3</v>
      </c>
      <c r="C24" s="19">
        <v>1.1198208286674199E-2</v>
      </c>
      <c r="D24" s="19">
        <v>1.15565185987721E-2</v>
      </c>
    </row>
    <row r="25" spans="1:4" x14ac:dyDescent="0.2">
      <c r="A25" s="18" t="s">
        <v>123</v>
      </c>
      <c r="B25" s="19">
        <v>-8.7336244541484902E-3</v>
      </c>
      <c r="C25" s="19">
        <v>-4.4296788482834897E-3</v>
      </c>
      <c r="D25" s="19">
        <v>-4.9982149232417096E-3</v>
      </c>
    </row>
    <row r="26" spans="1:4" x14ac:dyDescent="0.2">
      <c r="A26" s="18" t="s">
        <v>124</v>
      </c>
      <c r="B26" s="19">
        <v>3.5242290748898703E-2</v>
      </c>
      <c r="C26" s="19">
        <v>3.1145717463848799E-2</v>
      </c>
      <c r="D26" s="19">
        <v>3.1575170434158702E-2</v>
      </c>
    </row>
    <row r="27" spans="1:4" x14ac:dyDescent="0.2">
      <c r="A27" s="1" t="s">
        <v>125</v>
      </c>
      <c r="B27" s="20">
        <f>MEDIAN(B17:B26)</f>
        <v>9.7089666548839659E-3</v>
      </c>
      <c r="C27" s="20">
        <f>MEDIAN(C17:C26)</f>
        <v>1.243829199354575E-2</v>
      </c>
      <c r="D27" s="20">
        <f>MEDIAN(D17:D26)</f>
        <v>1.2846776500546001E-2</v>
      </c>
    </row>
    <row r="28" spans="1:4" x14ac:dyDescent="0.2">
      <c r="A28" s="1" t="s">
        <v>126</v>
      </c>
      <c r="B28" s="21">
        <f>MEDIAN(B27:D27)</f>
        <v>1.243829199354575E-2</v>
      </c>
      <c r="D28" s="10" t="s">
        <v>127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8"/>
  <sheetViews>
    <sheetView zoomScaleNormal="100" workbookViewId="0">
      <pane ySplit="4" topLeftCell="A5" activePane="bottomLeft" state="frozen"/>
      <selection pane="bottomLeft"/>
    </sheetView>
  </sheetViews>
  <sheetFormatPr baseColWidth="10" defaultColWidth="8.6640625" defaultRowHeight="15" x14ac:dyDescent="0.2"/>
  <cols>
    <col min="1" max="1" width="8" customWidth="1"/>
    <col min="2" max="2" width="11" customWidth="1"/>
    <col min="3" max="5" width="15" customWidth="1"/>
  </cols>
  <sheetData>
    <row r="1" spans="1:5" x14ac:dyDescent="0.2">
      <c r="A1" s="4" t="s">
        <v>128</v>
      </c>
    </row>
    <row r="2" spans="1:5" x14ac:dyDescent="0.2">
      <c r="A2" s="2" t="s">
        <v>129</v>
      </c>
    </row>
    <row r="4" spans="1:5" x14ac:dyDescent="0.2">
      <c r="A4" s="5" t="s">
        <v>111</v>
      </c>
      <c r="B4" s="5" t="s">
        <v>130</v>
      </c>
      <c r="C4" s="5" t="s">
        <v>112</v>
      </c>
      <c r="D4" s="5" t="s">
        <v>113</v>
      </c>
      <c r="E4" s="5" t="s">
        <v>114</v>
      </c>
    </row>
    <row r="5" spans="1:5" x14ac:dyDescent="0.2">
      <c r="A5" s="6" t="s">
        <v>131</v>
      </c>
      <c r="B5" s="18" t="s">
        <v>132</v>
      </c>
      <c r="C5" s="22">
        <v>480</v>
      </c>
      <c r="D5" s="22">
        <v>1940</v>
      </c>
      <c r="E5" s="22">
        <v>6000</v>
      </c>
    </row>
    <row r="6" spans="1:5" x14ac:dyDescent="0.2">
      <c r="A6" s="6" t="s">
        <v>133</v>
      </c>
      <c r="B6" s="18" t="s">
        <v>132</v>
      </c>
      <c r="C6" s="22">
        <v>545</v>
      </c>
      <c r="D6" s="22">
        <v>2200</v>
      </c>
      <c r="E6" s="22">
        <v>6000</v>
      </c>
    </row>
    <row r="7" spans="1:5" x14ac:dyDescent="0.2">
      <c r="A7" s="6" t="s">
        <v>134</v>
      </c>
      <c r="B7" s="18" t="s">
        <v>132</v>
      </c>
      <c r="C7" s="22">
        <v>580</v>
      </c>
      <c r="D7" s="22">
        <v>2335</v>
      </c>
      <c r="E7" s="22">
        <v>6000</v>
      </c>
    </row>
    <row r="8" spans="1:5" x14ac:dyDescent="0.2">
      <c r="A8" s="6" t="s">
        <v>135</v>
      </c>
      <c r="B8" s="18" t="s">
        <v>132</v>
      </c>
      <c r="C8" s="22">
        <v>610</v>
      </c>
      <c r="D8" s="22">
        <v>2465</v>
      </c>
      <c r="E8" s="22">
        <v>7620</v>
      </c>
    </row>
    <row r="9" spans="1:5" x14ac:dyDescent="0.2">
      <c r="A9" s="6" t="s">
        <v>136</v>
      </c>
      <c r="B9" s="18" t="s">
        <v>132</v>
      </c>
      <c r="C9" s="22">
        <v>635</v>
      </c>
      <c r="D9" s="22">
        <v>2555</v>
      </c>
      <c r="E9" s="22">
        <v>7910</v>
      </c>
    </row>
    <row r="10" spans="1:5" x14ac:dyDescent="0.2">
      <c r="A10" s="6" t="s">
        <v>137</v>
      </c>
      <c r="B10" s="18" t="s">
        <v>132</v>
      </c>
      <c r="C10" s="22">
        <v>675</v>
      </c>
      <c r="D10" s="22">
        <v>2695</v>
      </c>
      <c r="E10" s="22">
        <v>8355</v>
      </c>
    </row>
    <row r="11" spans="1:5" x14ac:dyDescent="0.2">
      <c r="A11" s="6" t="s">
        <v>138</v>
      </c>
      <c r="B11" s="18" t="s">
        <v>132</v>
      </c>
      <c r="C11" s="22">
        <v>695</v>
      </c>
      <c r="D11" s="22">
        <v>2785</v>
      </c>
      <c r="E11" s="22">
        <v>8625</v>
      </c>
    </row>
    <row r="12" spans="1:5" x14ac:dyDescent="0.2">
      <c r="A12" s="6" t="s">
        <v>139</v>
      </c>
      <c r="B12" s="18" t="s">
        <v>132</v>
      </c>
      <c r="C12" s="22">
        <v>725</v>
      </c>
      <c r="D12" s="22">
        <v>2895</v>
      </c>
      <c r="E12" s="22">
        <v>8955</v>
      </c>
    </row>
    <row r="13" spans="1:5" x14ac:dyDescent="0.2">
      <c r="A13" s="6" t="s">
        <v>140</v>
      </c>
      <c r="B13" s="18" t="s">
        <v>132</v>
      </c>
      <c r="C13" s="22">
        <v>765</v>
      </c>
      <c r="D13" s="22">
        <v>3035</v>
      </c>
      <c r="E13" s="22">
        <v>9385</v>
      </c>
    </row>
    <row r="14" spans="1:5" x14ac:dyDescent="0.2">
      <c r="A14" s="6" t="s">
        <v>141</v>
      </c>
      <c r="B14" s="18" t="s">
        <v>132</v>
      </c>
      <c r="C14" s="22">
        <v>785</v>
      </c>
      <c r="D14" s="22">
        <v>3115</v>
      </c>
      <c r="E14" s="22">
        <v>9645</v>
      </c>
    </row>
    <row r="15" spans="1:5" x14ac:dyDescent="0.2">
      <c r="A15" s="6" t="s">
        <v>142</v>
      </c>
      <c r="B15" s="18" t="s">
        <v>132</v>
      </c>
      <c r="C15" s="22">
        <v>785</v>
      </c>
      <c r="D15" s="22">
        <v>3125</v>
      </c>
      <c r="E15" s="22">
        <v>9655</v>
      </c>
    </row>
    <row r="16" spans="1:5" x14ac:dyDescent="0.2">
      <c r="A16" s="6" t="s">
        <v>143</v>
      </c>
      <c r="B16" s="18" t="s">
        <v>132</v>
      </c>
      <c r="C16" s="22">
        <v>760</v>
      </c>
      <c r="D16" s="22">
        <v>3030</v>
      </c>
      <c r="E16" s="22">
        <v>9360</v>
      </c>
    </row>
    <row r="17" spans="1:5" x14ac:dyDescent="0.2">
      <c r="A17" s="6" t="s">
        <v>144</v>
      </c>
      <c r="B17" s="18" t="s">
        <v>132</v>
      </c>
      <c r="C17" s="22">
        <v>755</v>
      </c>
      <c r="D17" s="22">
        <v>2995</v>
      </c>
      <c r="E17" s="22">
        <v>9265</v>
      </c>
    </row>
    <row r="18" spans="1:5" x14ac:dyDescent="0.2">
      <c r="A18" s="6" t="s">
        <v>145</v>
      </c>
      <c r="B18" s="18" t="s">
        <v>132</v>
      </c>
      <c r="C18" s="22">
        <v>755</v>
      </c>
      <c r="D18" s="22">
        <v>2995</v>
      </c>
      <c r="E18" s="22">
        <v>9265</v>
      </c>
    </row>
    <row r="19" spans="1:5" x14ac:dyDescent="0.2">
      <c r="A19" s="6" t="s">
        <v>146</v>
      </c>
      <c r="B19" s="18" t="s">
        <v>132</v>
      </c>
      <c r="C19" s="22">
        <v>745</v>
      </c>
      <c r="D19" s="22">
        <v>2975</v>
      </c>
      <c r="E19" s="22">
        <v>9205</v>
      </c>
    </row>
    <row r="20" spans="1:5" x14ac:dyDescent="0.2">
      <c r="A20" s="6" t="s">
        <v>147</v>
      </c>
      <c r="B20" s="18" t="s">
        <v>132</v>
      </c>
      <c r="C20" s="22">
        <v>735</v>
      </c>
      <c r="D20" s="22">
        <v>2935</v>
      </c>
      <c r="E20" s="22">
        <v>9075</v>
      </c>
    </row>
    <row r="21" spans="1:5" x14ac:dyDescent="0.2">
      <c r="A21" s="6" t="s">
        <v>148</v>
      </c>
      <c r="B21" s="18" t="s">
        <v>132</v>
      </c>
      <c r="C21" s="22">
        <v>765</v>
      </c>
      <c r="D21" s="22">
        <v>3035</v>
      </c>
      <c r="E21" s="22">
        <v>9385</v>
      </c>
    </row>
    <row r="22" spans="1:5" x14ac:dyDescent="0.2">
      <c r="A22" s="6" t="s">
        <v>149</v>
      </c>
      <c r="B22" s="18" t="s">
        <v>132</v>
      </c>
      <c r="C22" s="22">
        <v>825</v>
      </c>
      <c r="D22" s="22">
        <v>3255</v>
      </c>
      <c r="E22" s="22">
        <v>10065</v>
      </c>
    </row>
    <row r="23" spans="1:5" x14ac:dyDescent="0.2">
      <c r="A23" s="6" t="s">
        <v>150</v>
      </c>
      <c r="B23" s="18" t="s">
        <v>132</v>
      </c>
      <c r="C23" s="22">
        <v>875</v>
      </c>
      <c r="D23" s="22">
        <v>3465</v>
      </c>
      <c r="E23" s="22">
        <v>10725</v>
      </c>
    </row>
    <row r="24" spans="1:5" x14ac:dyDescent="0.2">
      <c r="A24" s="6" t="s">
        <v>151</v>
      </c>
      <c r="B24" s="18" t="s">
        <v>132</v>
      </c>
      <c r="C24" s="22">
        <v>905</v>
      </c>
      <c r="D24" s="22">
        <v>3595</v>
      </c>
      <c r="E24" s="22">
        <v>11115</v>
      </c>
    </row>
    <row r="25" spans="1:5" x14ac:dyDescent="0.2">
      <c r="A25" s="6" t="s">
        <v>152</v>
      </c>
      <c r="B25" s="18" t="s">
        <v>132</v>
      </c>
      <c r="C25" s="22">
        <v>935</v>
      </c>
      <c r="D25" s="22">
        <v>3705</v>
      </c>
      <c r="E25" s="22">
        <v>11455</v>
      </c>
    </row>
    <row r="26" spans="1:5" x14ac:dyDescent="0.2">
      <c r="A26" s="6" t="s">
        <v>153</v>
      </c>
      <c r="B26" s="18" t="s">
        <v>132</v>
      </c>
      <c r="C26" s="22">
        <v>975</v>
      </c>
      <c r="D26" s="22">
        <v>3855</v>
      </c>
      <c r="E26" s="22">
        <v>11905</v>
      </c>
    </row>
    <row r="27" spans="1:5" x14ac:dyDescent="0.2">
      <c r="A27" s="6" t="s">
        <v>154</v>
      </c>
      <c r="B27" s="18" t="s">
        <v>132</v>
      </c>
      <c r="C27" s="22">
        <v>995</v>
      </c>
      <c r="D27" s="22">
        <v>3945</v>
      </c>
      <c r="E27" s="22">
        <v>12195</v>
      </c>
    </row>
    <row r="28" spans="1:5" x14ac:dyDescent="0.2">
      <c r="A28" s="6" t="s">
        <v>155</v>
      </c>
      <c r="B28" s="18" t="s">
        <v>132</v>
      </c>
      <c r="C28" s="22">
        <v>1005</v>
      </c>
      <c r="D28" s="22">
        <v>3975</v>
      </c>
      <c r="E28" s="22">
        <v>12275</v>
      </c>
    </row>
    <row r="29" spans="1:5" x14ac:dyDescent="0.2">
      <c r="A29" s="6" t="s">
        <v>156</v>
      </c>
      <c r="B29" s="18" t="s">
        <v>132</v>
      </c>
      <c r="C29" s="22">
        <v>1025</v>
      </c>
      <c r="D29" s="22">
        <v>4035</v>
      </c>
      <c r="E29" s="22">
        <v>12475</v>
      </c>
    </row>
    <row r="30" spans="1:5" x14ac:dyDescent="0.2">
      <c r="A30" s="6" t="s">
        <v>157</v>
      </c>
      <c r="B30" s="18" t="s">
        <v>132</v>
      </c>
      <c r="C30" s="22">
        <v>1035</v>
      </c>
      <c r="D30" s="22">
        <v>4085</v>
      </c>
      <c r="E30" s="22">
        <v>12615</v>
      </c>
    </row>
    <row r="31" spans="1:5" x14ac:dyDescent="0.2">
      <c r="A31" s="6" t="s">
        <v>158</v>
      </c>
      <c r="B31" s="18" t="s">
        <v>132</v>
      </c>
      <c r="C31" s="22">
        <v>1045</v>
      </c>
      <c r="D31" s="22">
        <v>4125</v>
      </c>
      <c r="E31" s="22">
        <v>12745</v>
      </c>
    </row>
    <row r="32" spans="1:5" x14ac:dyDescent="0.2">
      <c r="A32" s="6" t="s">
        <v>159</v>
      </c>
      <c r="B32" s="18" t="s">
        <v>132</v>
      </c>
      <c r="C32" s="22">
        <v>1045</v>
      </c>
      <c r="D32" s="22">
        <v>4125</v>
      </c>
      <c r="E32" s="22">
        <v>12735</v>
      </c>
    </row>
    <row r="33" spans="1:5" x14ac:dyDescent="0.2">
      <c r="A33" s="6" t="s">
        <v>160</v>
      </c>
      <c r="B33" s="18" t="s">
        <v>132</v>
      </c>
      <c r="C33" s="22">
        <v>1025</v>
      </c>
      <c r="D33" s="22">
        <v>4035</v>
      </c>
      <c r="E33" s="22">
        <v>12475</v>
      </c>
    </row>
    <row r="34" spans="1:5" x14ac:dyDescent="0.2">
      <c r="A34" s="6" t="s">
        <v>115</v>
      </c>
      <c r="B34" s="18" t="s">
        <v>132</v>
      </c>
      <c r="C34" s="22">
        <v>1005</v>
      </c>
      <c r="D34" s="22">
        <v>3955</v>
      </c>
      <c r="E34" s="22">
        <v>12235</v>
      </c>
    </row>
    <row r="35" spans="1:5" x14ac:dyDescent="0.2">
      <c r="A35" s="6" t="s">
        <v>116</v>
      </c>
      <c r="B35" s="18" t="s">
        <v>132</v>
      </c>
      <c r="C35" s="22">
        <v>995</v>
      </c>
      <c r="D35" s="22">
        <v>3895</v>
      </c>
      <c r="E35" s="22">
        <v>12055</v>
      </c>
    </row>
    <row r="36" spans="1:5" x14ac:dyDescent="0.2">
      <c r="A36" s="6" t="s">
        <v>117</v>
      </c>
      <c r="B36" s="18" t="s">
        <v>132</v>
      </c>
      <c r="C36" s="22">
        <v>1025</v>
      </c>
      <c r="D36" s="22">
        <v>3995</v>
      </c>
      <c r="E36" s="22">
        <v>12375</v>
      </c>
    </row>
    <row r="37" spans="1:5" x14ac:dyDescent="0.2">
      <c r="A37" s="6" t="s">
        <v>118</v>
      </c>
      <c r="B37" s="18" t="s">
        <v>132</v>
      </c>
      <c r="C37" s="22">
        <v>1035</v>
      </c>
      <c r="D37" s="22">
        <v>4045</v>
      </c>
      <c r="E37" s="22">
        <v>12535</v>
      </c>
    </row>
    <row r="38" spans="1:5" x14ac:dyDescent="0.2">
      <c r="A38" s="6" t="s">
        <v>119</v>
      </c>
      <c r="B38" s="18" t="s">
        <v>132</v>
      </c>
      <c r="C38" s="22">
        <v>1045</v>
      </c>
      <c r="D38" s="22">
        <v>4095</v>
      </c>
      <c r="E38" s="22">
        <v>12695</v>
      </c>
    </row>
    <row r="39" spans="1:5" x14ac:dyDescent="0.2">
      <c r="A39" s="6" t="s">
        <v>120</v>
      </c>
      <c r="B39" s="18" t="s">
        <v>132</v>
      </c>
      <c r="C39" s="22">
        <v>1085</v>
      </c>
      <c r="D39" s="22">
        <v>4255</v>
      </c>
      <c r="E39" s="22">
        <v>13205</v>
      </c>
    </row>
    <row r="40" spans="1:5" x14ac:dyDescent="0.2">
      <c r="A40" s="6" t="s">
        <v>121</v>
      </c>
      <c r="B40" s="18" t="s">
        <v>132</v>
      </c>
      <c r="C40" s="22">
        <v>1135</v>
      </c>
      <c r="D40" s="22">
        <v>4465</v>
      </c>
      <c r="E40" s="22">
        <v>13845</v>
      </c>
    </row>
    <row r="41" spans="1:5" x14ac:dyDescent="0.2">
      <c r="A41" s="6" t="s">
        <v>122</v>
      </c>
      <c r="B41" s="18" t="s">
        <v>132</v>
      </c>
      <c r="C41" s="22">
        <v>1145</v>
      </c>
      <c r="D41" s="22">
        <v>4515</v>
      </c>
      <c r="E41" s="22">
        <v>14005</v>
      </c>
    </row>
    <row r="42" spans="1:5" x14ac:dyDescent="0.2">
      <c r="A42" s="6" t="s">
        <v>123</v>
      </c>
      <c r="B42" s="18" t="s">
        <v>132</v>
      </c>
      <c r="C42" s="22">
        <v>1135</v>
      </c>
      <c r="D42" s="22">
        <v>4495</v>
      </c>
      <c r="E42" s="22">
        <v>13935</v>
      </c>
    </row>
    <row r="43" spans="1:5" x14ac:dyDescent="0.2">
      <c r="A43" s="6" t="s">
        <v>124</v>
      </c>
      <c r="B43" s="18" t="s">
        <v>132</v>
      </c>
      <c r="C43" s="22">
        <v>1175</v>
      </c>
      <c r="D43" s="22">
        <v>4635</v>
      </c>
      <c r="E43" s="22">
        <v>14375</v>
      </c>
    </row>
    <row r="44" spans="1:5" x14ac:dyDescent="0.2">
      <c r="A44" s="6" t="s">
        <v>161</v>
      </c>
      <c r="B44" s="23" t="s">
        <v>162</v>
      </c>
      <c r="C44" s="24">
        <f>C43*(1+Assumptions!$C$4)</f>
        <v>1189.617</v>
      </c>
      <c r="D44" s="24">
        <f>D43*(1+Assumptions!$C$4)</f>
        <v>4692.6594000000005</v>
      </c>
      <c r="E44" s="24">
        <f>E43*(1+Assumptions!$C$4)</f>
        <v>14553.825000000001</v>
      </c>
    </row>
    <row r="45" spans="1:5" x14ac:dyDescent="0.2">
      <c r="A45" s="6" t="s">
        <v>163</v>
      </c>
      <c r="B45" s="23" t="s">
        <v>162</v>
      </c>
      <c r="C45" s="24">
        <f>C44*(1+Assumptions!$C$4)</f>
        <v>1204.4158354799999</v>
      </c>
      <c r="D45" s="24">
        <f>D44*(1+Assumptions!$C$4)</f>
        <v>4751.0360829360006</v>
      </c>
      <c r="E45" s="24">
        <f>E44*(1+Assumptions!$C$4)</f>
        <v>14734.874583000001</v>
      </c>
    </row>
    <row r="46" spans="1:5" x14ac:dyDescent="0.2">
      <c r="A46" s="6" t="s">
        <v>164</v>
      </c>
      <c r="B46" s="23" t="s">
        <v>162</v>
      </c>
      <c r="C46" s="24">
        <f>C45*(1+Assumptions!$C$4)</f>
        <v>1219.3987684733711</v>
      </c>
      <c r="D46" s="24">
        <f>D45*(1+Assumptions!$C$4)</f>
        <v>4810.1389718077244</v>
      </c>
      <c r="E46" s="24">
        <f>E45*(1+Assumptions!$C$4)</f>
        <v>14918.176422812521</v>
      </c>
    </row>
    <row r="47" spans="1:5" x14ac:dyDescent="0.2">
      <c r="A47" s="6" t="s">
        <v>165</v>
      </c>
      <c r="B47" s="23" t="s">
        <v>162</v>
      </c>
      <c r="C47" s="24">
        <f>C46*(1+Assumptions!$C$4)</f>
        <v>1234.5680891531799</v>
      </c>
      <c r="D47" s="24">
        <f>D46*(1+Assumptions!$C$4)</f>
        <v>4869.9771006170122</v>
      </c>
      <c r="E47" s="24">
        <f>E46*(1+Assumptions!$C$4)</f>
        <v>15103.758537512309</v>
      </c>
    </row>
    <row r="48" spans="1:5" x14ac:dyDescent="0.2">
      <c r="A48" s="6" t="s">
        <v>166</v>
      </c>
      <c r="B48" s="23" t="s">
        <v>162</v>
      </c>
      <c r="C48" s="24">
        <f>C47*(1+Assumptions!$C$4)</f>
        <v>1249.9261161822456</v>
      </c>
      <c r="D48" s="24">
        <f>D47*(1+Assumptions!$C$4)</f>
        <v>4930.559615748688</v>
      </c>
      <c r="E48" s="24">
        <f>E47*(1+Assumptions!$C$4)</f>
        <v>15291.649293718961</v>
      </c>
    </row>
    <row r="49" spans="1:5" x14ac:dyDescent="0.2">
      <c r="A49" s="6" t="s">
        <v>167</v>
      </c>
      <c r="B49" s="23" t="s">
        <v>162</v>
      </c>
      <c r="C49" s="24">
        <f>C48*(1+Assumptions!$C$4)</f>
        <v>1265.4751970675527</v>
      </c>
      <c r="D49" s="24">
        <f>D48*(1+Assumptions!$C$4)</f>
        <v>4991.8957773686016</v>
      </c>
      <c r="E49" s="24">
        <f>E48*(1+Assumptions!$C$4)</f>
        <v>15481.877410932826</v>
      </c>
    </row>
    <row r="50" spans="1:5" x14ac:dyDescent="0.2">
      <c r="A50" s="6" t="s">
        <v>168</v>
      </c>
      <c r="B50" s="23" t="s">
        <v>162</v>
      </c>
      <c r="C50" s="24">
        <f>C49*(1+Assumptions!$C$4)</f>
        <v>1281.2177085190731</v>
      </c>
      <c r="D50" s="24">
        <f>D49*(1+Assumptions!$C$4)</f>
        <v>5053.9949608390671</v>
      </c>
      <c r="E50" s="24">
        <f>E49*(1+Assumptions!$C$4)</f>
        <v>15674.471965924831</v>
      </c>
    </row>
    <row r="51" spans="1:5" x14ac:dyDescent="0.2">
      <c r="A51" s="6" t="s">
        <v>169</v>
      </c>
      <c r="B51" s="23" t="s">
        <v>162</v>
      </c>
      <c r="C51" s="24">
        <f>C50*(1+Assumptions!$C$4)</f>
        <v>1297.1560568130503</v>
      </c>
      <c r="D51" s="24">
        <f>D50*(1+Assumptions!$C$4)</f>
        <v>5116.8666581519055</v>
      </c>
      <c r="E51" s="24">
        <f>E50*(1+Assumptions!$C$4)</f>
        <v>15869.462397180936</v>
      </c>
    </row>
    <row r="52" spans="1:5" x14ac:dyDescent="0.2">
      <c r="A52" s="6" t="s">
        <v>170</v>
      </c>
      <c r="B52" s="23" t="s">
        <v>162</v>
      </c>
      <c r="C52" s="24">
        <f>C51*(1+Assumptions!$C$4)</f>
        <v>1313.2926781598046</v>
      </c>
      <c r="D52" s="24">
        <f>D51*(1+Assumptions!$C$4)</f>
        <v>5180.5204793793155</v>
      </c>
      <c r="E52" s="24">
        <f>E51*(1+Assumptions!$C$4)</f>
        <v>16066.878509401868</v>
      </c>
    </row>
    <row r="53" spans="1:5" x14ac:dyDescent="0.2">
      <c r="A53" s="6" t="s">
        <v>171</v>
      </c>
      <c r="B53" s="23" t="s">
        <v>162</v>
      </c>
      <c r="C53" s="24">
        <f>C52*(1+Assumptions!$C$4)</f>
        <v>1329.6300390761126</v>
      </c>
      <c r="D53" s="24">
        <f>D52*(1+Assumptions!$C$4)</f>
        <v>5244.966154142794</v>
      </c>
      <c r="E53" s="24">
        <f>E52*(1+Assumptions!$C$4)</f>
        <v>16266.750478058828</v>
      </c>
    </row>
    <row r="54" spans="1:5" x14ac:dyDescent="0.2">
      <c r="A54" s="6" t="s">
        <v>172</v>
      </c>
      <c r="B54" s="23" t="s">
        <v>162</v>
      </c>
      <c r="C54" s="24">
        <f>C53*(1+Assumptions!$C$4)</f>
        <v>1346.1706367622194</v>
      </c>
      <c r="D54" s="24">
        <f>D53*(1+Assumptions!$C$4)</f>
        <v>5310.2135331003301</v>
      </c>
      <c r="E54" s="24">
        <f>E53*(1+Assumptions!$C$4)</f>
        <v>16469.108854005881</v>
      </c>
    </row>
    <row r="55" spans="1:5" x14ac:dyDescent="0.2">
      <c r="A55" s="6" t="s">
        <v>173</v>
      </c>
      <c r="B55" s="23" t="s">
        <v>162</v>
      </c>
      <c r="C55" s="24">
        <f>C54*(1+Assumptions!$C$4)</f>
        <v>1362.9169994835413</v>
      </c>
      <c r="D55" s="24">
        <f>D54*(1+Assumptions!$C$4)</f>
        <v>5376.2725894520981</v>
      </c>
      <c r="E55" s="24">
        <f>E54*(1+Assumptions!$C$4)</f>
        <v>16673.984568149714</v>
      </c>
    </row>
    <row r="56" spans="1:5" x14ac:dyDescent="0.2">
      <c r="A56" s="6" t="s">
        <v>174</v>
      </c>
      <c r="B56" s="23" t="s">
        <v>162</v>
      </c>
      <c r="C56" s="24">
        <f>C55*(1+Assumptions!$C$4)</f>
        <v>1379.8716869571165</v>
      </c>
      <c r="D56" s="24">
        <f>D55*(1+Assumptions!$C$4)</f>
        <v>5443.1534204648824</v>
      </c>
      <c r="E56" s="24">
        <f>E55*(1+Assumptions!$C$4)</f>
        <v>16881.408936177497</v>
      </c>
    </row>
    <row r="57" spans="1:5" x14ac:dyDescent="0.2">
      <c r="A57" s="6" t="s">
        <v>175</v>
      </c>
      <c r="B57" s="23" t="s">
        <v>162</v>
      </c>
      <c r="C57" s="24">
        <f>C56*(1+Assumptions!$C$4)</f>
        <v>1397.037290742863</v>
      </c>
      <c r="D57" s="24">
        <f>D56*(1+Assumptions!$C$4)</f>
        <v>5510.8662490154657</v>
      </c>
      <c r="E57" s="24">
        <f>E56*(1+Assumptions!$C$4)</f>
        <v>17091.413663343545</v>
      </c>
    </row>
    <row r="58" spans="1:5" x14ac:dyDescent="0.2">
      <c r="A58" s="6" t="s">
        <v>176</v>
      </c>
      <c r="B58" s="23" t="s">
        <v>162</v>
      </c>
      <c r="C58" s="24">
        <f>C57*(1+Assumptions!$C$4)</f>
        <v>1414.4164346397042</v>
      </c>
      <c r="D58" s="24">
        <f>D57*(1+Assumptions!$C$4)</f>
        <v>5579.4214251532185</v>
      </c>
      <c r="E58" s="24">
        <f>E57*(1+Assumptions!$C$4)</f>
        <v>17304.030849315539</v>
      </c>
    </row>
    <row r="59" spans="1:5" x14ac:dyDescent="0.2">
      <c r="A59" s="6" t="s">
        <v>177</v>
      </c>
      <c r="B59" s="23" t="s">
        <v>162</v>
      </c>
      <c r="C59" s="24">
        <f>C58*(1+Assumptions!$C$4)</f>
        <v>1432.011775086622</v>
      </c>
      <c r="D59" s="24">
        <f>D58*(1+Assumptions!$C$4)</f>
        <v>5648.8294276821243</v>
      </c>
      <c r="E59" s="24">
        <f>E58*(1+Assumptions!$C$4)</f>
        <v>17519.292993081024</v>
      </c>
    </row>
    <row r="60" spans="1:5" x14ac:dyDescent="0.2">
      <c r="A60" s="6" t="s">
        <v>178</v>
      </c>
      <c r="B60" s="23" t="s">
        <v>162</v>
      </c>
      <c r="C60" s="24">
        <f>C59*(1+Assumptions!$C$4)</f>
        <v>1449.8260015686997</v>
      </c>
      <c r="D60" s="24">
        <f>D59*(1+Assumptions!$C$4)</f>
        <v>5719.1008657624898</v>
      </c>
      <c r="E60" s="24">
        <f>E59*(1+Assumptions!$C$4)</f>
        <v>17737.232997914951</v>
      </c>
    </row>
    <row r="61" spans="1:5" x14ac:dyDescent="0.2">
      <c r="A61" s="6" t="s">
        <v>179</v>
      </c>
      <c r="B61" s="23" t="s">
        <v>162</v>
      </c>
      <c r="C61" s="24">
        <f>C60*(1+Assumptions!$C$4)</f>
        <v>1467.8618370282143</v>
      </c>
      <c r="D61" s="24">
        <f>D60*(1+Assumptions!$C$4)</f>
        <v>5790.2464805325753</v>
      </c>
      <c r="E61" s="24">
        <f>E60*(1+Assumptions!$C$4)</f>
        <v>17957.884176409014</v>
      </c>
    </row>
    <row r="62" spans="1:5" x14ac:dyDescent="0.2">
      <c r="A62" s="6" t="s">
        <v>180</v>
      </c>
      <c r="B62" s="23" t="s">
        <v>162</v>
      </c>
      <c r="C62" s="24">
        <f>C61*(1+Assumptions!$C$4)</f>
        <v>1486.1220382808453</v>
      </c>
      <c r="D62" s="24">
        <f>D61*(1+Assumptions!$C$4)</f>
        <v>5862.2771467504008</v>
      </c>
      <c r="E62" s="24">
        <f>E61*(1+Assumptions!$C$4)</f>
        <v>18181.280255563543</v>
      </c>
    </row>
    <row r="63" spans="1:5" x14ac:dyDescent="0.2">
      <c r="A63" s="6" t="s">
        <v>181</v>
      </c>
      <c r="B63" s="23" t="s">
        <v>162</v>
      </c>
      <c r="C63" s="24">
        <f>C62*(1+Assumptions!$C$4)</f>
        <v>1504.6093964370591</v>
      </c>
      <c r="D63" s="24">
        <f>D62*(1+Assumptions!$C$4)</f>
        <v>5935.2038744559759</v>
      </c>
      <c r="E63" s="24">
        <f>E62*(1+Assumptions!$C$4)</f>
        <v>18407.455381942753</v>
      </c>
    </row>
    <row r="64" spans="1:5" x14ac:dyDescent="0.2">
      <c r="A64" s="6" t="s">
        <v>182</v>
      </c>
      <c r="B64" s="23" t="s">
        <v>162</v>
      </c>
      <c r="C64" s="24">
        <f>C63*(1+Assumptions!$C$4)</f>
        <v>1523.326737328736</v>
      </c>
      <c r="D64" s="24">
        <f>D63*(1+Assumptions!$C$4)</f>
        <v>6009.0378106542084</v>
      </c>
      <c r="E64" s="24">
        <f>E63*(1+Assumptions!$C$4)</f>
        <v>18636.444126894119</v>
      </c>
    </row>
    <row r="65" spans="1:5" x14ac:dyDescent="0.2">
      <c r="A65" s="6" t="s">
        <v>183</v>
      </c>
      <c r="B65" s="23" t="s">
        <v>162</v>
      </c>
      <c r="C65" s="24">
        <f>C64*(1+Assumptions!$C$4)</f>
        <v>1542.2769219411055</v>
      </c>
      <c r="D65" s="24">
        <f>D64*(1+Assumptions!$C$4)</f>
        <v>6083.7902410187471</v>
      </c>
      <c r="E65" s="24">
        <f>E64*(1+Assumptions!$C$4)</f>
        <v>18868.28149183268</v>
      </c>
    </row>
    <row r="66" spans="1:5" x14ac:dyDescent="0.2">
      <c r="A66" s="6" t="s">
        <v>184</v>
      </c>
      <c r="B66" s="23" t="s">
        <v>162</v>
      </c>
      <c r="C66" s="24">
        <f>C65*(1+Assumptions!$C$4)</f>
        <v>1561.4628468500528</v>
      </c>
      <c r="D66" s="24">
        <f>D65*(1+Assumptions!$C$4)</f>
        <v>6159.47259161702</v>
      </c>
      <c r="E66" s="24">
        <f>E65*(1+Assumptions!$C$4)</f>
        <v>19103.002913591077</v>
      </c>
    </row>
    <row r="67" spans="1:5" x14ac:dyDescent="0.2">
      <c r="A67" s="6" t="s">
        <v>185</v>
      </c>
      <c r="B67" s="23" t="s">
        <v>162</v>
      </c>
      <c r="C67" s="24">
        <f>C66*(1+Assumptions!$C$4)</f>
        <v>1580.8874446648674</v>
      </c>
      <c r="D67" s="24">
        <f>D66*(1+Assumptions!$C$4)</f>
        <v>6236.0964306567357</v>
      </c>
      <c r="E67" s="24">
        <f>E66*(1+Assumptions!$C$4)</f>
        <v>19340.64426983615</v>
      </c>
    </row>
    <row r="68" spans="1:5" x14ac:dyDescent="0.2">
      <c r="A68" s="6" t="s">
        <v>186</v>
      </c>
      <c r="B68" s="23" t="s">
        <v>162</v>
      </c>
      <c r="C68" s="24">
        <f>C67*(1+Assumptions!$C$4)</f>
        <v>1600.5536844764983</v>
      </c>
      <c r="D68" s="24">
        <f>D67*(1+Assumptions!$C$4)</f>
        <v>6313.6734702541053</v>
      </c>
      <c r="E68" s="24">
        <f>E67*(1+Assumptions!$C$4)</f>
        <v>19581.24188455291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S221"/>
  <sheetViews>
    <sheetView zoomScaleNormal="100" workbookViewId="0">
      <pane xSplit="7" ySplit="3" topLeftCell="H4" activePane="bottomRight" state="frozen"/>
      <selection pane="topRight" activeCell="H1" sqref="H1"/>
      <selection pane="bottomLeft" activeCell="A4" sqref="A4"/>
      <selection pane="bottomRight" activeCell="G43" sqref="G43"/>
    </sheetView>
  </sheetViews>
  <sheetFormatPr baseColWidth="10" defaultColWidth="8.6640625" defaultRowHeight="15" x14ac:dyDescent="0.2"/>
  <cols>
    <col min="1" max="1" width="30" customWidth="1"/>
    <col min="2" max="2" width="7" customWidth="1"/>
    <col min="3" max="3" width="10" customWidth="1"/>
    <col min="4" max="4" width="11" customWidth="1"/>
    <col min="5" max="5" width="13" customWidth="1"/>
    <col min="6" max="6" width="10" customWidth="1"/>
    <col min="7" max="7" width="52" customWidth="1"/>
    <col min="8" max="71" width="9" customWidth="1"/>
  </cols>
  <sheetData>
    <row r="1" spans="1:71" x14ac:dyDescent="0.2">
      <c r="A1" s="4" t="s">
        <v>187</v>
      </c>
    </row>
    <row r="3" spans="1:71" x14ac:dyDescent="0.2">
      <c r="A3" s="5" t="s">
        <v>188</v>
      </c>
      <c r="B3" s="5" t="s">
        <v>189</v>
      </c>
      <c r="C3" s="5" t="s">
        <v>190</v>
      </c>
      <c r="D3" s="5" t="s">
        <v>191</v>
      </c>
      <c r="E3" s="5" t="s">
        <v>192</v>
      </c>
      <c r="F3" s="5" t="s">
        <v>193</v>
      </c>
      <c r="G3" s="5" t="s">
        <v>130</v>
      </c>
      <c r="H3" s="5" t="s">
        <v>131</v>
      </c>
      <c r="I3" s="5" t="s">
        <v>133</v>
      </c>
      <c r="J3" s="5" t="s">
        <v>134</v>
      </c>
      <c r="K3" s="5" t="s">
        <v>135</v>
      </c>
      <c r="L3" s="5" t="s">
        <v>136</v>
      </c>
      <c r="M3" s="5" t="s">
        <v>137</v>
      </c>
      <c r="N3" s="5" t="s">
        <v>138</v>
      </c>
      <c r="O3" s="5" t="s">
        <v>139</v>
      </c>
      <c r="P3" s="5" t="s">
        <v>140</v>
      </c>
      <c r="Q3" s="5" t="s">
        <v>141</v>
      </c>
      <c r="R3" s="5" t="s">
        <v>142</v>
      </c>
      <c r="S3" s="5" t="s">
        <v>143</v>
      </c>
      <c r="T3" s="5" t="s">
        <v>144</v>
      </c>
      <c r="U3" s="5" t="s">
        <v>145</v>
      </c>
      <c r="V3" s="5" t="s">
        <v>146</v>
      </c>
      <c r="W3" s="5" t="s">
        <v>147</v>
      </c>
      <c r="X3" s="5" t="s">
        <v>148</v>
      </c>
      <c r="Y3" s="5" t="s">
        <v>149</v>
      </c>
      <c r="Z3" s="5" t="s">
        <v>150</v>
      </c>
      <c r="AA3" s="5" t="s">
        <v>151</v>
      </c>
      <c r="AB3" s="5" t="s">
        <v>152</v>
      </c>
      <c r="AC3" s="5" t="s">
        <v>153</v>
      </c>
      <c r="AD3" s="5" t="s">
        <v>154</v>
      </c>
      <c r="AE3" s="5" t="s">
        <v>155</v>
      </c>
      <c r="AF3" s="5" t="s">
        <v>156</v>
      </c>
      <c r="AG3" s="5" t="s">
        <v>157</v>
      </c>
      <c r="AH3" s="5" t="s">
        <v>158</v>
      </c>
      <c r="AI3" s="5" t="s">
        <v>159</v>
      </c>
      <c r="AJ3" s="5" t="s">
        <v>160</v>
      </c>
      <c r="AK3" s="5" t="s">
        <v>115</v>
      </c>
      <c r="AL3" s="5" t="s">
        <v>116</v>
      </c>
      <c r="AM3" s="5" t="s">
        <v>117</v>
      </c>
      <c r="AN3" s="5" t="s">
        <v>118</v>
      </c>
      <c r="AO3" s="5" t="s">
        <v>119</v>
      </c>
      <c r="AP3" s="5" t="s">
        <v>120</v>
      </c>
      <c r="AQ3" s="5" t="s">
        <v>121</v>
      </c>
      <c r="AR3" s="5" t="s">
        <v>122</v>
      </c>
      <c r="AS3" s="5" t="s">
        <v>123</v>
      </c>
      <c r="AT3" s="5" t="s">
        <v>124</v>
      </c>
      <c r="AU3" s="25" t="s">
        <v>161</v>
      </c>
      <c r="AV3" s="25" t="s">
        <v>163</v>
      </c>
      <c r="AW3" s="25" t="s">
        <v>164</v>
      </c>
      <c r="AX3" s="25" t="s">
        <v>165</v>
      </c>
      <c r="AY3" s="25" t="s">
        <v>166</v>
      </c>
      <c r="AZ3" s="25" t="s">
        <v>167</v>
      </c>
      <c r="BA3" s="25" t="s">
        <v>168</v>
      </c>
      <c r="BB3" s="25" t="s">
        <v>169</v>
      </c>
      <c r="BC3" s="25" t="s">
        <v>170</v>
      </c>
      <c r="BD3" s="25" t="s">
        <v>171</v>
      </c>
      <c r="BE3" s="25" t="s">
        <v>172</v>
      </c>
      <c r="BF3" s="25" t="s">
        <v>173</v>
      </c>
      <c r="BG3" s="25" t="s">
        <v>174</v>
      </c>
      <c r="BH3" s="25" t="s">
        <v>175</v>
      </c>
      <c r="BI3" s="25" t="s">
        <v>176</v>
      </c>
      <c r="BJ3" s="25" t="s">
        <v>177</v>
      </c>
      <c r="BK3" s="25" t="s">
        <v>178</v>
      </c>
      <c r="BL3" s="25" t="s">
        <v>179</v>
      </c>
      <c r="BM3" s="25" t="s">
        <v>180</v>
      </c>
      <c r="BN3" s="25" t="s">
        <v>181</v>
      </c>
      <c r="BO3" s="25" t="s">
        <v>182</v>
      </c>
      <c r="BP3" s="25" t="s">
        <v>183</v>
      </c>
      <c r="BQ3" s="25" t="s">
        <v>184</v>
      </c>
      <c r="BR3" s="25" t="s">
        <v>185</v>
      </c>
      <c r="BS3" s="25" t="s">
        <v>186</v>
      </c>
    </row>
    <row r="4" spans="1:71" x14ac:dyDescent="0.2">
      <c r="A4" s="2" t="s">
        <v>194</v>
      </c>
      <c r="B4" s="2" t="s">
        <v>195</v>
      </c>
      <c r="C4" s="11" t="s">
        <v>75</v>
      </c>
      <c r="D4" s="26">
        <f>'Growth calculation'!G5</f>
        <v>1.244E-2</v>
      </c>
      <c r="E4" s="27">
        <v>390</v>
      </c>
      <c r="F4" s="12">
        <v>2024</v>
      </c>
      <c r="G4" s="28" t="s">
        <v>196</v>
      </c>
      <c r="H4" s="27"/>
      <c r="I4" s="27"/>
      <c r="J4" s="27"/>
      <c r="K4" s="27"/>
      <c r="L4" s="27"/>
      <c r="M4" s="27"/>
      <c r="N4" s="27"/>
      <c r="O4" s="27"/>
      <c r="P4" s="27"/>
      <c r="Q4" s="27"/>
      <c r="R4" s="27"/>
      <c r="S4" s="27"/>
      <c r="T4" s="27"/>
      <c r="U4" s="27"/>
      <c r="V4" s="27"/>
      <c r="W4" s="27">
        <v>180</v>
      </c>
      <c r="X4" s="27">
        <v>190</v>
      </c>
      <c r="Y4" s="27">
        <v>210</v>
      </c>
      <c r="Z4" s="27">
        <v>250</v>
      </c>
      <c r="AA4" s="27">
        <v>270</v>
      </c>
      <c r="AB4" s="27">
        <v>330</v>
      </c>
      <c r="AC4" s="27">
        <v>370</v>
      </c>
      <c r="AD4" s="27">
        <v>460</v>
      </c>
      <c r="AE4" s="27">
        <v>530</v>
      </c>
      <c r="AF4" s="27">
        <v>550</v>
      </c>
      <c r="AG4" s="27">
        <v>640</v>
      </c>
      <c r="AH4" s="27">
        <v>670</v>
      </c>
      <c r="AI4" s="27">
        <v>640</v>
      </c>
      <c r="AJ4" s="27">
        <v>590</v>
      </c>
      <c r="AK4" s="27">
        <v>560</v>
      </c>
      <c r="AL4" s="27">
        <v>530</v>
      </c>
      <c r="AM4" s="27">
        <v>520</v>
      </c>
      <c r="AN4" s="27">
        <v>520</v>
      </c>
      <c r="AO4" s="27">
        <v>490</v>
      </c>
      <c r="AP4" s="27">
        <v>380</v>
      </c>
      <c r="AQ4" s="27">
        <v>370</v>
      </c>
      <c r="AR4" s="27">
        <v>370</v>
      </c>
      <c r="AS4" s="27">
        <v>390</v>
      </c>
      <c r="AT4" s="27"/>
      <c r="AU4" s="29">
        <f>$E4*(1+$D4)</f>
        <v>394.85160000000002</v>
      </c>
      <c r="AV4" s="29">
        <f t="shared" ref="AV4:BS4" si="0">AU4*(1+$D4)</f>
        <v>399.76355390400005</v>
      </c>
      <c r="AW4" s="29">
        <f t="shared" si="0"/>
        <v>404.73661251456582</v>
      </c>
      <c r="AX4" s="29">
        <f t="shared" si="0"/>
        <v>409.771535974247</v>
      </c>
      <c r="AY4" s="29">
        <f t="shared" si="0"/>
        <v>414.86909388176662</v>
      </c>
      <c r="AZ4" s="29">
        <f t="shared" si="0"/>
        <v>420.03006540965578</v>
      </c>
      <c r="BA4" s="29">
        <f t="shared" si="0"/>
        <v>425.2552394233519</v>
      </c>
      <c r="BB4" s="29">
        <f t="shared" si="0"/>
        <v>430.54541460177842</v>
      </c>
      <c r="BC4" s="29">
        <f t="shared" si="0"/>
        <v>435.90139955942453</v>
      </c>
      <c r="BD4" s="29">
        <f t="shared" si="0"/>
        <v>441.32401296994379</v>
      </c>
      <c r="BE4" s="29">
        <f t="shared" si="0"/>
        <v>446.81408369128991</v>
      </c>
      <c r="BF4" s="29">
        <f t="shared" si="0"/>
        <v>452.37245089240957</v>
      </c>
      <c r="BG4" s="29">
        <f t="shared" si="0"/>
        <v>457.99996418151113</v>
      </c>
      <c r="BH4" s="29">
        <f t="shared" si="0"/>
        <v>463.69748373592915</v>
      </c>
      <c r="BI4" s="29">
        <f t="shared" si="0"/>
        <v>469.46588043360413</v>
      </c>
      <c r="BJ4" s="29">
        <f t="shared" si="0"/>
        <v>475.30603598619814</v>
      </c>
      <c r="BK4" s="29">
        <f t="shared" si="0"/>
        <v>481.21884307386642</v>
      </c>
      <c r="BL4" s="29">
        <f t="shared" si="0"/>
        <v>487.20520548170532</v>
      </c>
      <c r="BM4" s="29">
        <f t="shared" si="0"/>
        <v>493.26603823789776</v>
      </c>
      <c r="BN4" s="29">
        <f t="shared" si="0"/>
        <v>499.40226775357723</v>
      </c>
      <c r="BO4" s="29">
        <f t="shared" si="0"/>
        <v>505.61483196443174</v>
      </c>
      <c r="BP4" s="29">
        <f t="shared" si="0"/>
        <v>511.90468047406927</v>
      </c>
      <c r="BQ4" s="29">
        <f t="shared" si="0"/>
        <v>518.27277469916669</v>
      </c>
      <c r="BR4" s="29">
        <f t="shared" si="0"/>
        <v>524.72008801642437</v>
      </c>
      <c r="BS4" s="29">
        <f t="shared" si="0"/>
        <v>531.24760591134873</v>
      </c>
    </row>
    <row r="5" spans="1:71" x14ac:dyDescent="0.2">
      <c r="A5" s="2" t="s">
        <v>197</v>
      </c>
      <c r="B5" s="2" t="s">
        <v>198</v>
      </c>
      <c r="C5" s="11" t="s">
        <v>82</v>
      </c>
      <c r="D5" s="26">
        <f>'Growth calculation'!G6</f>
        <v>9.0712000000000001E-2</v>
      </c>
      <c r="E5" s="27">
        <v>12060</v>
      </c>
      <c r="F5" s="12">
        <v>2025</v>
      </c>
      <c r="G5" s="28" t="s">
        <v>199</v>
      </c>
      <c r="H5" s="27">
        <v>730</v>
      </c>
      <c r="I5" s="27">
        <v>730</v>
      </c>
      <c r="J5" s="27">
        <v>760</v>
      </c>
      <c r="K5" s="27">
        <v>650</v>
      </c>
      <c r="L5" s="27">
        <v>410</v>
      </c>
      <c r="M5" s="27">
        <v>280</v>
      </c>
      <c r="N5" s="27">
        <v>320</v>
      </c>
      <c r="O5" s="27">
        <v>380</v>
      </c>
      <c r="P5" s="27">
        <v>670</v>
      </c>
      <c r="Q5" s="27">
        <v>940</v>
      </c>
      <c r="R5" s="27">
        <v>860</v>
      </c>
      <c r="S5" s="27">
        <v>870</v>
      </c>
      <c r="T5" s="27">
        <v>960</v>
      </c>
      <c r="U5" s="27">
        <v>1130</v>
      </c>
      <c r="V5" s="27">
        <v>1320</v>
      </c>
      <c r="W5" s="27">
        <v>1420</v>
      </c>
      <c r="X5" s="27">
        <v>1700</v>
      </c>
      <c r="Y5" s="27">
        <v>2170</v>
      </c>
      <c r="Z5" s="27">
        <v>2690</v>
      </c>
      <c r="AA5" s="27">
        <v>3130</v>
      </c>
      <c r="AB5" s="27">
        <v>3580</v>
      </c>
      <c r="AC5" s="27">
        <v>4160</v>
      </c>
      <c r="AD5" s="27">
        <v>4390</v>
      </c>
      <c r="AE5" s="27">
        <v>4430</v>
      </c>
      <c r="AF5" s="27">
        <v>4460</v>
      </c>
      <c r="AG5" s="27">
        <v>4430</v>
      </c>
      <c r="AH5" s="27">
        <v>4690</v>
      </c>
      <c r="AI5" s="27">
        <v>4750</v>
      </c>
      <c r="AJ5" s="27">
        <v>4660</v>
      </c>
      <c r="AK5" s="27">
        <v>4670</v>
      </c>
      <c r="AL5" s="27">
        <v>4700</v>
      </c>
      <c r="AM5" s="27">
        <v>5400</v>
      </c>
      <c r="AN5" s="27">
        <v>5900</v>
      </c>
      <c r="AO5" s="27">
        <v>5970</v>
      </c>
      <c r="AP5" s="27">
        <v>6940</v>
      </c>
      <c r="AQ5" s="27">
        <v>7720</v>
      </c>
      <c r="AR5" s="27">
        <v>8740</v>
      </c>
      <c r="AS5" s="27">
        <v>9910</v>
      </c>
      <c r="AT5" s="27">
        <v>12060</v>
      </c>
      <c r="AU5" s="29">
        <f>$E5*(1+$D5)</f>
        <v>13153.986719999999</v>
      </c>
      <c r="AV5" s="29">
        <f t="shared" ref="AV5:BS5" si="1">AU5*(1+$D5)</f>
        <v>14347.211163344638</v>
      </c>
      <c r="AW5" s="29">
        <f t="shared" si="1"/>
        <v>15648.675382393956</v>
      </c>
      <c r="AX5" s="29">
        <f t="shared" si="1"/>
        <v>17068.198023681674</v>
      </c>
      <c r="AY5" s="29">
        <f t="shared" si="1"/>
        <v>18616.488402805884</v>
      </c>
      <c r="AZ5" s="29">
        <f t="shared" si="1"/>
        <v>20305.227298801208</v>
      </c>
      <c r="BA5" s="29">
        <f t="shared" si="1"/>
        <v>22147.15507753006</v>
      </c>
      <c r="BB5" s="29">
        <f t="shared" si="1"/>
        <v>24156.167808922964</v>
      </c>
      <c r="BC5" s="29">
        <f t="shared" si="1"/>
        <v>26347.422103205983</v>
      </c>
      <c r="BD5" s="29">
        <f t="shared" si="1"/>
        <v>28737.449457032002</v>
      </c>
      <c r="BE5" s="29">
        <f t="shared" si="1"/>
        <v>31344.280972178287</v>
      </c>
      <c r="BF5" s="29">
        <f t="shared" si="1"/>
        <v>34187.583387726518</v>
      </c>
      <c r="BG5" s="29">
        <f t="shared" si="1"/>
        <v>37288.807451993962</v>
      </c>
      <c r="BH5" s="29">
        <f t="shared" si="1"/>
        <v>40671.349753579234</v>
      </c>
      <c r="BI5" s="29">
        <f t="shared" si="1"/>
        <v>44360.729232425911</v>
      </c>
      <c r="BJ5" s="29">
        <f t="shared" si="1"/>
        <v>48384.779702557724</v>
      </c>
      <c r="BK5" s="29">
        <f t="shared" si="1"/>
        <v>52773.859838936136</v>
      </c>
      <c r="BL5" s="29">
        <f t="shared" si="1"/>
        <v>57561.082212645706</v>
      </c>
      <c r="BM5" s="29">
        <f t="shared" si="1"/>
        <v>62782.563102319218</v>
      </c>
      <c r="BN5" s="29">
        <f t="shared" si="1"/>
        <v>68477.694966456795</v>
      </c>
      <c r="BO5" s="29">
        <f t="shared" si="1"/>
        <v>74689.443632254013</v>
      </c>
      <c r="BP5" s="29">
        <f t="shared" si="1"/>
        <v>81464.672443023039</v>
      </c>
      <c r="BQ5" s="29">
        <f t="shared" si="1"/>
        <v>88854.495809674539</v>
      </c>
      <c r="BR5" s="29">
        <f t="shared" si="1"/>
        <v>96914.664833561721</v>
      </c>
      <c r="BS5" s="29">
        <f t="shared" si="1"/>
        <v>105705.98790994377</v>
      </c>
    </row>
    <row r="6" spans="1:71" x14ac:dyDescent="0.2">
      <c r="A6" s="2" t="s">
        <v>200</v>
      </c>
      <c r="B6" s="2" t="s">
        <v>201</v>
      </c>
      <c r="C6" s="11" t="s">
        <v>82</v>
      </c>
      <c r="D6" s="26">
        <f>'Growth calculation'!G7</f>
        <v>1.5808597462127594E-2</v>
      </c>
      <c r="E6" s="27">
        <v>5850</v>
      </c>
      <c r="F6" s="12">
        <v>2025</v>
      </c>
      <c r="G6" s="2" t="s">
        <v>162</v>
      </c>
      <c r="H6" s="27">
        <v>2850</v>
      </c>
      <c r="I6" s="27">
        <v>2780</v>
      </c>
      <c r="J6" s="27">
        <v>2590</v>
      </c>
      <c r="K6" s="27">
        <v>2400</v>
      </c>
      <c r="L6" s="27">
        <v>2010</v>
      </c>
      <c r="M6" s="27">
        <v>1930</v>
      </c>
      <c r="N6" s="27">
        <v>1750</v>
      </c>
      <c r="O6" s="27">
        <v>1640</v>
      </c>
      <c r="P6" s="27">
        <v>1570</v>
      </c>
      <c r="Q6" s="27">
        <v>1530</v>
      </c>
      <c r="R6" s="27">
        <v>1510</v>
      </c>
      <c r="S6" s="27">
        <v>1550</v>
      </c>
      <c r="T6" s="27">
        <v>1540</v>
      </c>
      <c r="U6" s="27">
        <v>1600</v>
      </c>
      <c r="V6" s="27">
        <v>1720</v>
      </c>
      <c r="W6" s="27">
        <v>1840</v>
      </c>
      <c r="X6" s="27">
        <v>2090</v>
      </c>
      <c r="Y6" s="27">
        <v>2440</v>
      </c>
      <c r="Z6" s="27">
        <v>2910</v>
      </c>
      <c r="AA6" s="27">
        <v>3310</v>
      </c>
      <c r="AB6" s="27">
        <v>3780</v>
      </c>
      <c r="AC6" s="27">
        <v>4430</v>
      </c>
      <c r="AD6" s="27">
        <v>4570</v>
      </c>
      <c r="AE6" s="27">
        <v>4870</v>
      </c>
      <c r="AF6" s="27">
        <v>5050</v>
      </c>
      <c r="AG6" s="27">
        <v>5630</v>
      </c>
      <c r="AH6" s="27">
        <v>5970</v>
      </c>
      <c r="AI6" s="27">
        <v>6030</v>
      </c>
      <c r="AJ6" s="27">
        <v>5390</v>
      </c>
      <c r="AK6" s="27">
        <v>4920</v>
      </c>
      <c r="AL6" s="27">
        <v>4440</v>
      </c>
      <c r="AM6" s="27">
        <v>4450</v>
      </c>
      <c r="AN6" s="27">
        <v>4480</v>
      </c>
      <c r="AO6" s="27">
        <v>4020</v>
      </c>
      <c r="AP6" s="27">
        <v>4120</v>
      </c>
      <c r="AQ6" s="27">
        <v>4430</v>
      </c>
      <c r="AR6" s="27">
        <v>4950</v>
      </c>
      <c r="AS6" s="27">
        <v>5370</v>
      </c>
      <c r="AT6" s="27">
        <v>5850</v>
      </c>
      <c r="AU6" s="29">
        <f>$E6*(1+$D6)</f>
        <v>5942.4802951534466</v>
      </c>
      <c r="AV6" s="29">
        <f t="shared" ref="AV6:BS6" si="2">AU6*(1+$D6)</f>
        <v>6036.4225740661523</v>
      </c>
      <c r="AW6" s="29">
        <f t="shared" si="2"/>
        <v>6131.8499486508645</v>
      </c>
      <c r="AX6" s="29">
        <f t="shared" si="2"/>
        <v>6228.7858961872535</v>
      </c>
      <c r="AY6" s="29">
        <f t="shared" si="2"/>
        <v>6327.2542650978558</v>
      </c>
      <c r="AZ6" s="29">
        <f t="shared" si="2"/>
        <v>6427.2792808153181</v>
      </c>
      <c r="BA6" s="29">
        <f t="shared" si="2"/>
        <v>6528.8855517424008</v>
      </c>
      <c r="BB6" s="29">
        <f t="shared" si="2"/>
        <v>6632.0980753061976</v>
      </c>
      <c r="BC6" s="29">
        <f t="shared" si="2"/>
        <v>6736.9422441080642</v>
      </c>
      <c r="BD6" s="29">
        <f t="shared" si="2"/>
        <v>6843.4438521707707</v>
      </c>
      <c r="BE6" s="29">
        <f t="shared" si="2"/>
        <v>6951.6291012844104</v>
      </c>
      <c r="BF6" s="29">
        <f t="shared" si="2"/>
        <v>7061.5246074526276</v>
      </c>
      <c r="BG6" s="29">
        <f t="shared" si="2"/>
        <v>7173.1574074407545</v>
      </c>
      <c r="BH6" s="29">
        <f t="shared" si="2"/>
        <v>7286.5549654274637</v>
      </c>
      <c r="BI6" s="29">
        <f t="shared" si="2"/>
        <v>7401.7451797615731</v>
      </c>
      <c r="BJ6" s="29">
        <f t="shared" si="2"/>
        <v>7518.7563898256667</v>
      </c>
      <c r="BK6" s="29">
        <f t="shared" si="2"/>
        <v>7637.6173830082207</v>
      </c>
      <c r="BL6" s="29">
        <f t="shared" si="2"/>
        <v>7758.3574017859464</v>
      </c>
      <c r="BM6" s="29">
        <f t="shared" si="2"/>
        <v>7881.0061509180987</v>
      </c>
      <c r="BN6" s="29">
        <f t="shared" si="2"/>
        <v>8005.5938047545142</v>
      </c>
      <c r="BO6" s="29">
        <f t="shared" si="2"/>
        <v>8132.1510146591809</v>
      </c>
      <c r="BP6" s="29">
        <f t="shared" si="2"/>
        <v>8260.7089165511607</v>
      </c>
      <c r="BQ6" s="29">
        <f t="shared" si="2"/>
        <v>8391.2991385647256</v>
      </c>
      <c r="BR6" s="29">
        <f t="shared" si="2"/>
        <v>8523.9538088305926</v>
      </c>
      <c r="BS6" s="29">
        <f t="shared" si="2"/>
        <v>8658.7055633801647</v>
      </c>
    </row>
    <row r="7" spans="1:71" x14ac:dyDescent="0.2">
      <c r="A7" s="2" t="s">
        <v>202</v>
      </c>
      <c r="B7" s="2" t="s">
        <v>203</v>
      </c>
      <c r="C7" s="11" t="s">
        <v>79</v>
      </c>
      <c r="G7" s="28" t="s">
        <v>204</v>
      </c>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row>
    <row r="8" spans="1:71" x14ac:dyDescent="0.2">
      <c r="A8" s="2" t="s">
        <v>205</v>
      </c>
      <c r="B8" s="2" t="s">
        <v>206</v>
      </c>
      <c r="C8" s="11" t="s">
        <v>79</v>
      </c>
      <c r="G8" s="28" t="s">
        <v>207</v>
      </c>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v>46450</v>
      </c>
      <c r="AO8" s="27">
        <v>42450</v>
      </c>
      <c r="AP8" s="27">
        <v>44720</v>
      </c>
      <c r="AQ8" s="27">
        <v>47600</v>
      </c>
      <c r="AR8" s="27">
        <v>47920</v>
      </c>
      <c r="AS8" s="27">
        <v>47740</v>
      </c>
      <c r="AT8" s="27">
        <v>53230</v>
      </c>
    </row>
    <row r="9" spans="1:71" x14ac:dyDescent="0.2">
      <c r="A9" s="2" t="s">
        <v>208</v>
      </c>
      <c r="B9" s="2" t="s">
        <v>209</v>
      </c>
      <c r="C9" s="11" t="s">
        <v>210</v>
      </c>
      <c r="D9" s="26">
        <f>'Growth calculation'!G10</f>
        <v>1.244E-2</v>
      </c>
      <c r="E9" s="27">
        <v>2860</v>
      </c>
      <c r="F9" s="12">
        <v>2025</v>
      </c>
      <c r="G9" s="28" t="s">
        <v>211</v>
      </c>
      <c r="H9" s="27">
        <v>680</v>
      </c>
      <c r="I9" s="27">
        <v>660</v>
      </c>
      <c r="J9" s="27">
        <v>870</v>
      </c>
      <c r="K9" s="27">
        <v>790</v>
      </c>
      <c r="L9" s="27">
        <v>920</v>
      </c>
      <c r="M9" s="27">
        <v>340</v>
      </c>
      <c r="N9" s="27">
        <v>290</v>
      </c>
      <c r="O9" s="27">
        <v>190</v>
      </c>
      <c r="P9" s="27">
        <v>370</v>
      </c>
      <c r="Q9" s="27">
        <v>370</v>
      </c>
      <c r="R9" s="27">
        <v>450</v>
      </c>
      <c r="S9" s="27">
        <v>420</v>
      </c>
      <c r="T9" s="27">
        <v>340</v>
      </c>
      <c r="U9" s="27">
        <v>360</v>
      </c>
      <c r="V9" s="27">
        <v>400</v>
      </c>
      <c r="W9" s="27">
        <v>620</v>
      </c>
      <c r="X9" s="27">
        <v>780</v>
      </c>
      <c r="Y9" s="27">
        <v>1190</v>
      </c>
      <c r="Z9" s="27">
        <v>1590</v>
      </c>
      <c r="AA9" s="27">
        <v>2090</v>
      </c>
      <c r="AB9" s="27">
        <v>2800</v>
      </c>
      <c r="AC9" s="27">
        <v>3450</v>
      </c>
      <c r="AD9" s="27">
        <v>3680</v>
      </c>
      <c r="AE9" s="27">
        <v>3780</v>
      </c>
      <c r="AF9" s="27">
        <v>3960</v>
      </c>
      <c r="AG9" s="27">
        <v>4750</v>
      </c>
      <c r="AH9" s="27">
        <v>5330</v>
      </c>
      <c r="AI9" s="27">
        <v>5430</v>
      </c>
      <c r="AJ9" s="27">
        <v>4450</v>
      </c>
      <c r="AK9" s="27">
        <v>2960</v>
      </c>
      <c r="AL9" s="27">
        <v>2440</v>
      </c>
      <c r="AM9" s="27">
        <v>2300</v>
      </c>
      <c r="AN9" s="27">
        <v>2460</v>
      </c>
      <c r="AO9" s="27">
        <v>2000</v>
      </c>
      <c r="AP9" s="27">
        <v>1960</v>
      </c>
      <c r="AQ9" s="27">
        <v>2290</v>
      </c>
      <c r="AR9" s="27">
        <v>2650</v>
      </c>
      <c r="AS9" s="27">
        <v>2850</v>
      </c>
      <c r="AT9" s="27">
        <v>2860</v>
      </c>
      <c r="AU9" s="29">
        <f t="shared" ref="AU9:AU30" si="3">$E9*(1+$D9)</f>
        <v>2895.5783999999999</v>
      </c>
      <c r="AV9" s="29">
        <f t="shared" ref="AV9:BS9" si="4">AU9*(1+$D9)</f>
        <v>2931.5993952959998</v>
      </c>
      <c r="AW9" s="29">
        <f t="shared" si="4"/>
        <v>2968.068491773482</v>
      </c>
      <c r="AX9" s="29">
        <f t="shared" si="4"/>
        <v>3004.9912638111441</v>
      </c>
      <c r="AY9" s="29">
        <f t="shared" si="4"/>
        <v>3042.3733551329547</v>
      </c>
      <c r="AZ9" s="29">
        <f t="shared" si="4"/>
        <v>3080.2204796708088</v>
      </c>
      <c r="BA9" s="29">
        <f t="shared" si="4"/>
        <v>3118.5384224379136</v>
      </c>
      <c r="BB9" s="29">
        <f t="shared" si="4"/>
        <v>3157.3330404130411</v>
      </c>
      <c r="BC9" s="29">
        <f t="shared" si="4"/>
        <v>3196.6102634357794</v>
      </c>
      <c r="BD9" s="29">
        <f t="shared" si="4"/>
        <v>3236.3760951129207</v>
      </c>
      <c r="BE9" s="29">
        <f t="shared" si="4"/>
        <v>3276.6366137361256</v>
      </c>
      <c r="BF9" s="29">
        <f t="shared" si="4"/>
        <v>3317.3979732110029</v>
      </c>
      <c r="BG9" s="29">
        <f t="shared" si="4"/>
        <v>3358.6664039977477</v>
      </c>
      <c r="BH9" s="29">
        <f t="shared" si="4"/>
        <v>3400.4482140634796</v>
      </c>
      <c r="BI9" s="29">
        <f t="shared" si="4"/>
        <v>3442.7497898464294</v>
      </c>
      <c r="BJ9" s="29">
        <f t="shared" si="4"/>
        <v>3485.5775972321189</v>
      </c>
      <c r="BK9" s="29">
        <f t="shared" si="4"/>
        <v>3528.9381825416867</v>
      </c>
      <c r="BL9" s="29">
        <f t="shared" si="4"/>
        <v>3572.8381735325052</v>
      </c>
      <c r="BM9" s="29">
        <f t="shared" si="4"/>
        <v>3617.2842804112497</v>
      </c>
      <c r="BN9" s="29">
        <f t="shared" si="4"/>
        <v>3662.2832968595658</v>
      </c>
      <c r="BO9" s="29">
        <f t="shared" si="4"/>
        <v>3707.8421010724987</v>
      </c>
      <c r="BP9" s="29">
        <f t="shared" si="4"/>
        <v>3753.9676568098407</v>
      </c>
      <c r="BQ9" s="29">
        <f t="shared" si="4"/>
        <v>3800.667014460555</v>
      </c>
      <c r="BR9" s="29">
        <f t="shared" si="4"/>
        <v>3847.9473121204442</v>
      </c>
      <c r="BS9" s="29">
        <f t="shared" si="4"/>
        <v>3895.8157766832223</v>
      </c>
    </row>
    <row r="10" spans="1:71" x14ac:dyDescent="0.2">
      <c r="A10" s="2" t="s">
        <v>212</v>
      </c>
      <c r="B10" s="2" t="s">
        <v>213</v>
      </c>
      <c r="C10" s="11" t="s">
        <v>79</v>
      </c>
      <c r="D10" s="26">
        <f>'Growth calculation'!G11</f>
        <v>6.5642146585180861E-2</v>
      </c>
      <c r="E10" s="27">
        <v>23790</v>
      </c>
      <c r="F10" s="12">
        <v>2025</v>
      </c>
      <c r="G10" s="2" t="s">
        <v>162</v>
      </c>
      <c r="H10" s="27">
        <v>4840</v>
      </c>
      <c r="I10" s="27">
        <v>6050</v>
      </c>
      <c r="J10" s="27">
        <v>6550</v>
      </c>
      <c r="K10" s="27">
        <v>7040</v>
      </c>
      <c r="L10" s="27">
        <v>7550</v>
      </c>
      <c r="M10" s="27">
        <v>7850</v>
      </c>
      <c r="N10" s="27">
        <v>8410</v>
      </c>
      <c r="O10" s="27">
        <v>9000</v>
      </c>
      <c r="P10" s="27">
        <v>8730</v>
      </c>
      <c r="Q10" s="27">
        <v>9380</v>
      </c>
      <c r="R10" s="27">
        <v>9850</v>
      </c>
      <c r="S10" s="27">
        <v>10130</v>
      </c>
      <c r="T10" s="27">
        <v>10590</v>
      </c>
      <c r="U10" s="27">
        <v>11200</v>
      </c>
      <c r="V10" s="27">
        <v>10610</v>
      </c>
      <c r="W10" s="27">
        <v>10710</v>
      </c>
      <c r="X10" s="27">
        <v>11680</v>
      </c>
      <c r="Y10" s="27">
        <v>12850</v>
      </c>
      <c r="Z10" s="27">
        <v>14050</v>
      </c>
      <c r="AA10" s="27">
        <v>15740</v>
      </c>
      <c r="AB10" s="27">
        <v>17310</v>
      </c>
      <c r="AC10" s="27">
        <v>17750</v>
      </c>
      <c r="AD10" s="27">
        <v>15750</v>
      </c>
      <c r="AE10" s="27">
        <v>14390</v>
      </c>
      <c r="AF10" s="27">
        <v>14100</v>
      </c>
      <c r="AG10" s="27">
        <v>14530</v>
      </c>
      <c r="AH10" s="27">
        <v>14500</v>
      </c>
      <c r="AI10" s="27">
        <v>14830</v>
      </c>
      <c r="AJ10" s="27">
        <v>14550</v>
      </c>
      <c r="AK10" s="27">
        <v>15080</v>
      </c>
      <c r="AL10" s="27">
        <v>15860</v>
      </c>
      <c r="AM10" s="27">
        <v>17460</v>
      </c>
      <c r="AN10" s="27">
        <v>18250</v>
      </c>
      <c r="AO10" s="27">
        <v>15460</v>
      </c>
      <c r="AP10" s="27">
        <v>16690</v>
      </c>
      <c r="AQ10" s="27">
        <v>18730</v>
      </c>
      <c r="AR10" s="27">
        <v>20250</v>
      </c>
      <c r="AS10" s="27">
        <v>21200</v>
      </c>
      <c r="AT10" s="27">
        <v>23790</v>
      </c>
      <c r="AU10" s="29">
        <f t="shared" si="3"/>
        <v>25351.626667261451</v>
      </c>
      <c r="AV10" s="29">
        <f t="shared" ref="AV10:BS10" si="5">AU10*(1+$D10)</f>
        <v>27015.761861126608</v>
      </c>
      <c r="AW10" s="29">
        <f t="shared" si="5"/>
        <v>28789.134461325018</v>
      </c>
      <c r="AX10" s="29">
        <f t="shared" si="5"/>
        <v>30678.915045695798</v>
      </c>
      <c r="AY10" s="29">
        <f t="shared" si="5"/>
        <v>32692.74488419967</v>
      </c>
      <c r="AZ10" s="29">
        <f t="shared" si="5"/>
        <v>34838.766836160226</v>
      </c>
      <c r="BA10" s="29">
        <f t="shared" si="5"/>
        <v>37125.658275666392</v>
      </c>
      <c r="BB10" s="29">
        <f t="shared" si="5"/>
        <v>39562.666178269021</v>
      </c>
      <c r="BC10" s="29">
        <f t="shared" si="5"/>
        <v>42159.644510843536</v>
      </c>
      <c r="BD10" s="29">
        <f t="shared" si="5"/>
        <v>44927.094075803441</v>
      </c>
      <c r="BE10" s="29">
        <f t="shared" si="5"/>
        <v>47876.204970773542</v>
      </c>
      <c r="BF10" s="29">
        <f t="shared" si="5"/>
        <v>51018.901835407225</v>
      </c>
      <c r="BG10" s="29">
        <f t="shared" si="5"/>
        <v>54367.892068301982</v>
      </c>
      <c r="BH10" s="29">
        <f t="shared" si="5"/>
        <v>57936.717208976756</v>
      </c>
      <c r="BI10" s="29">
        <f t="shared" si="5"/>
        <v>61739.807692672577</v>
      </c>
      <c r="BJ10" s="29">
        <f t="shared" si="5"/>
        <v>65792.541199375861</v>
      </c>
      <c r="BK10" s="29">
        <f t="shared" si="5"/>
        <v>70111.304832996844</v>
      </c>
      <c r="BL10" s="29">
        <f t="shared" si="5"/>
        <v>74713.561382122716</v>
      </c>
      <c r="BM10" s="29">
        <f t="shared" si="5"/>
        <v>79617.919930268923</v>
      </c>
      <c r="BN10" s="29">
        <f t="shared" si="5"/>
        <v>84844.211101138833</v>
      </c>
      <c r="BO10" s="29">
        <f t="shared" si="5"/>
        <v>90413.567243143814</v>
      </c>
      <c r="BP10" s="29">
        <f t="shared" si="5"/>
        <v>96348.507877407363</v>
      </c>
      <c r="BQ10" s="29">
        <f t="shared" si="5"/>
        <v>102673.03075475959</v>
      </c>
      <c r="BR10" s="29">
        <f t="shared" si="5"/>
        <v>109412.7088899083</v>
      </c>
      <c r="BS10" s="29">
        <f t="shared" si="5"/>
        <v>116594.79396514139</v>
      </c>
    </row>
    <row r="11" spans="1:71" x14ac:dyDescent="0.2">
      <c r="A11" s="2" t="s">
        <v>214</v>
      </c>
      <c r="B11" s="2" t="s">
        <v>215</v>
      </c>
      <c r="C11" s="11" t="s">
        <v>82</v>
      </c>
      <c r="D11" s="26">
        <f>'Growth calculation'!G12</f>
        <v>6.2353719636854654E-2</v>
      </c>
      <c r="E11" s="27">
        <v>14650</v>
      </c>
      <c r="F11" s="12">
        <v>2025</v>
      </c>
      <c r="G11" s="2" t="s">
        <v>162</v>
      </c>
      <c r="H11" s="27">
        <v>3490</v>
      </c>
      <c r="I11" s="27">
        <v>3860</v>
      </c>
      <c r="J11" s="27">
        <v>2910</v>
      </c>
      <c r="K11" s="27">
        <v>3180</v>
      </c>
      <c r="L11" s="27">
        <v>3850</v>
      </c>
      <c r="M11" s="27">
        <v>6040</v>
      </c>
      <c r="N11" s="27">
        <v>7080</v>
      </c>
      <c r="O11" s="27">
        <v>7570</v>
      </c>
      <c r="P11" s="27">
        <v>7310</v>
      </c>
      <c r="Q11" s="27">
        <v>7680</v>
      </c>
      <c r="R11" s="27">
        <v>8080</v>
      </c>
      <c r="S11" s="27">
        <v>7960</v>
      </c>
      <c r="T11" s="27">
        <v>7510</v>
      </c>
      <c r="U11" s="27">
        <v>7400</v>
      </c>
      <c r="V11" s="27">
        <v>6930</v>
      </c>
      <c r="W11" s="27">
        <v>4010</v>
      </c>
      <c r="X11" s="27">
        <v>3620</v>
      </c>
      <c r="Y11" s="27">
        <v>3340</v>
      </c>
      <c r="Z11" s="27">
        <v>4230</v>
      </c>
      <c r="AA11" s="27">
        <v>5440</v>
      </c>
      <c r="AB11" s="27">
        <v>6460</v>
      </c>
      <c r="AC11" s="27">
        <v>7600</v>
      </c>
      <c r="AD11" s="27">
        <v>7720</v>
      </c>
      <c r="AE11" s="27">
        <v>9160</v>
      </c>
      <c r="AF11" s="27">
        <v>10590</v>
      </c>
      <c r="AG11" s="27">
        <v>11770</v>
      </c>
      <c r="AH11" s="27">
        <v>12760</v>
      </c>
      <c r="AI11" s="27">
        <v>12240</v>
      </c>
      <c r="AJ11" s="27">
        <v>12500</v>
      </c>
      <c r="AK11" s="27">
        <v>12130</v>
      </c>
      <c r="AL11" s="27">
        <v>13070</v>
      </c>
      <c r="AM11" s="27">
        <v>12390</v>
      </c>
      <c r="AN11" s="27">
        <v>11210</v>
      </c>
      <c r="AO11" s="27">
        <v>9040</v>
      </c>
      <c r="AP11" s="27">
        <v>10070</v>
      </c>
      <c r="AQ11" s="27">
        <v>11890</v>
      </c>
      <c r="AR11" s="27">
        <v>12920</v>
      </c>
      <c r="AS11" s="27">
        <v>13530</v>
      </c>
      <c r="AT11" s="27">
        <v>14650</v>
      </c>
      <c r="AU11" s="29">
        <f t="shared" si="3"/>
        <v>15563.481992679921</v>
      </c>
      <c r="AV11" s="29">
        <f t="shared" ref="AV11:BS11" si="6">AU11*(1+$D11)</f>
        <v>16533.922985424721</v>
      </c>
      <c r="AW11" s="29">
        <f t="shared" si="6"/>
        <v>17564.874583755241</v>
      </c>
      <c r="AX11" s="29">
        <f t="shared" si="6"/>
        <v>18660.109849007229</v>
      </c>
      <c r="AY11" s="29">
        <f t="shared" si="6"/>
        <v>19823.637106925136</v>
      </c>
      <c r="AZ11" s="29">
        <f t="shared" si="6"/>
        <v>21059.714617273094</v>
      </c>
      <c r="BA11" s="29">
        <f t="shared" si="6"/>
        <v>22372.866158150711</v>
      </c>
      <c r="BB11" s="29">
        <f t="shared" si="6"/>
        <v>23767.897582048914</v>
      </c>
      <c r="BC11" s="29">
        <f t="shared" si="6"/>
        <v>25249.914404237468</v>
      </c>
      <c r="BD11" s="29">
        <f t="shared" si="6"/>
        <v>26824.340487853868</v>
      </c>
      <c r="BE11" s="29">
        <f t="shared" si="6"/>
        <v>28496.937894077037</v>
      </c>
      <c r="BF11" s="29">
        <f t="shared" si="6"/>
        <v>30273.827970033177</v>
      </c>
      <c r="BG11" s="29">
        <f t="shared" si="6"/>
        <v>32161.513751610993</v>
      </c>
      <c r="BH11" s="29">
        <f t="shared" si="6"/>
        <v>34166.903763175789</v>
      </c>
      <c r="BI11" s="29">
        <f t="shared" si="6"/>
        <v>36297.337301284249</v>
      </c>
      <c r="BJ11" s="29">
        <f t="shared" si="6"/>
        <v>38560.611294932874</v>
      </c>
      <c r="BK11" s="29">
        <f t="shared" si="6"/>
        <v>40965.008840642848</v>
      </c>
      <c r="BL11" s="29">
        <f t="shared" si="6"/>
        <v>43519.329516813566</v>
      </c>
      <c r="BM11" s="29">
        <f t="shared" si="6"/>
        <v>46232.921588288853</v>
      </c>
      <c r="BN11" s="29">
        <f t="shared" si="6"/>
        <v>49115.716218997703</v>
      </c>
      <c r="BO11" s="29">
        <f t="shared" si="6"/>
        <v>52178.263817880397</v>
      </c>
      <c r="BP11" s="29">
        <f t="shared" si="6"/>
        <v>55431.77265111835</v>
      </c>
      <c r="BQ11" s="29">
        <f t="shared" si="6"/>
        <v>58888.149861980048</v>
      </c>
      <c r="BR11" s="29">
        <f t="shared" si="6"/>
        <v>62560.045048407032</v>
      </c>
      <c r="BS11" s="29">
        <f t="shared" si="6"/>
        <v>66460.896557824395</v>
      </c>
    </row>
    <row r="12" spans="1:71" x14ac:dyDescent="0.2">
      <c r="A12" s="2" t="s">
        <v>216</v>
      </c>
      <c r="B12" s="2" t="s">
        <v>217</v>
      </c>
      <c r="C12" s="11" t="s">
        <v>82</v>
      </c>
      <c r="D12" s="26">
        <f>'Growth calculation'!G13</f>
        <v>9.0712000000000001E-2</v>
      </c>
      <c r="E12" s="27">
        <v>9020</v>
      </c>
      <c r="F12" s="12">
        <v>2025</v>
      </c>
      <c r="G12" s="28" t="s">
        <v>218</v>
      </c>
      <c r="H12" s="27"/>
      <c r="I12" s="27"/>
      <c r="J12" s="27"/>
      <c r="K12" s="27"/>
      <c r="L12" s="27"/>
      <c r="M12" s="27">
        <v>300</v>
      </c>
      <c r="N12" s="27">
        <v>350</v>
      </c>
      <c r="O12" s="27">
        <v>390</v>
      </c>
      <c r="P12" s="27">
        <v>460</v>
      </c>
      <c r="Q12" s="27">
        <v>500</v>
      </c>
      <c r="R12" s="27">
        <v>540</v>
      </c>
      <c r="S12" s="27">
        <v>570</v>
      </c>
      <c r="T12" s="27">
        <v>600</v>
      </c>
      <c r="U12" s="27">
        <v>630</v>
      </c>
      <c r="V12" s="27">
        <v>680</v>
      </c>
      <c r="W12" s="27">
        <v>760</v>
      </c>
      <c r="X12" s="27">
        <v>910</v>
      </c>
      <c r="Y12" s="27">
        <v>1120</v>
      </c>
      <c r="Z12" s="27">
        <v>1460</v>
      </c>
      <c r="AA12" s="27">
        <v>1910</v>
      </c>
      <c r="AB12" s="27">
        <v>2600</v>
      </c>
      <c r="AC12" s="27">
        <v>3390</v>
      </c>
      <c r="AD12" s="27">
        <v>3140</v>
      </c>
      <c r="AE12" s="27">
        <v>3280</v>
      </c>
      <c r="AF12" s="27">
        <v>3360</v>
      </c>
      <c r="AG12" s="27">
        <v>3700</v>
      </c>
      <c r="AH12" s="27">
        <v>3940</v>
      </c>
      <c r="AI12" s="27">
        <v>4000</v>
      </c>
      <c r="AJ12" s="27">
        <v>3910</v>
      </c>
      <c r="AK12" s="27">
        <v>3690</v>
      </c>
      <c r="AL12" s="27">
        <v>3900</v>
      </c>
      <c r="AM12" s="27">
        <v>4220</v>
      </c>
      <c r="AN12" s="27">
        <v>4650</v>
      </c>
      <c r="AO12" s="27">
        <v>4230</v>
      </c>
      <c r="AP12" s="27">
        <v>4580</v>
      </c>
      <c r="AQ12" s="27">
        <v>5690</v>
      </c>
      <c r="AR12" s="27">
        <v>6850</v>
      </c>
      <c r="AS12" s="27">
        <v>7810</v>
      </c>
      <c r="AT12" s="27">
        <v>9020</v>
      </c>
      <c r="AU12" s="29">
        <f t="shared" si="3"/>
        <v>9838.2222399999991</v>
      </c>
      <c r="AV12" s="29">
        <f t="shared" ref="AV12:BS12" si="7">AU12*(1+$D12)</f>
        <v>10730.667055834878</v>
      </c>
      <c r="AW12" s="29">
        <f t="shared" si="7"/>
        <v>11704.06732580377</v>
      </c>
      <c r="AX12" s="29">
        <f t="shared" si="7"/>
        <v>12765.766681062079</v>
      </c>
      <c r="AY12" s="29">
        <f t="shared" si="7"/>
        <v>13923.774908234582</v>
      </c>
      <c r="AZ12" s="29">
        <f t="shared" si="7"/>
        <v>15186.828377710355</v>
      </c>
      <c r="BA12" s="29">
        <f t="shared" si="7"/>
        <v>16564.455953509216</v>
      </c>
      <c r="BB12" s="29">
        <f t="shared" si="7"/>
        <v>18067.050881963944</v>
      </c>
      <c r="BC12" s="29">
        <f t="shared" si="7"/>
        <v>19705.949201568656</v>
      </c>
      <c r="BD12" s="29">
        <f t="shared" si="7"/>
        <v>21493.515265541351</v>
      </c>
      <c r="BE12" s="29">
        <f t="shared" si="7"/>
        <v>23443.235022309138</v>
      </c>
      <c r="BF12" s="29">
        <f t="shared" si="7"/>
        <v>25569.817757652843</v>
      </c>
      <c r="BG12" s="29">
        <f t="shared" si="7"/>
        <v>27889.307066085046</v>
      </c>
      <c r="BH12" s="29">
        <f t="shared" si="7"/>
        <v>30419.201888663749</v>
      </c>
      <c r="BI12" s="29">
        <f t="shared" si="7"/>
        <v>33178.58853038821</v>
      </c>
      <c r="BJ12" s="29">
        <f t="shared" si="7"/>
        <v>36188.284653156785</v>
      </c>
      <c r="BK12" s="29">
        <f t="shared" si="7"/>
        <v>39470.99633061394</v>
      </c>
      <c r="BL12" s="29">
        <f t="shared" si="7"/>
        <v>43051.489349756586</v>
      </c>
      <c r="BM12" s="29">
        <f t="shared" si="7"/>
        <v>46956.776051651701</v>
      </c>
      <c r="BN12" s="29">
        <f t="shared" si="7"/>
        <v>51216.319120849126</v>
      </c>
      <c r="BO12" s="29">
        <f t="shared" si="7"/>
        <v>55862.253860939585</v>
      </c>
      <c r="BP12" s="29">
        <f t="shared" si="7"/>
        <v>60929.630633173132</v>
      </c>
      <c r="BQ12" s="29">
        <f t="shared" si="7"/>
        <v>66456.679287169522</v>
      </c>
      <c r="BR12" s="29">
        <f t="shared" si="7"/>
        <v>72485.097578667235</v>
      </c>
      <c r="BS12" s="29">
        <f t="shared" si="7"/>
        <v>79060.365750223296</v>
      </c>
    </row>
    <row r="13" spans="1:71" x14ac:dyDescent="0.2">
      <c r="A13" s="2" t="s">
        <v>219</v>
      </c>
      <c r="B13" s="2" t="s">
        <v>220</v>
      </c>
      <c r="C13" s="11" t="s">
        <v>79</v>
      </c>
      <c r="D13" s="26">
        <f>'Growth calculation'!G14</f>
        <v>5.0729442970822269E-2</v>
      </c>
      <c r="E13" s="27">
        <v>35200</v>
      </c>
      <c r="F13" s="12">
        <v>2024</v>
      </c>
      <c r="G13" s="2" t="s">
        <v>162</v>
      </c>
      <c r="H13" s="27"/>
      <c r="I13" s="27">
        <v>10670</v>
      </c>
      <c r="J13" s="27">
        <v>11870</v>
      </c>
      <c r="K13" s="27">
        <v>12120</v>
      </c>
      <c r="L13" s="27">
        <v>12940</v>
      </c>
      <c r="M13" s="27">
        <v>13840</v>
      </c>
      <c r="N13" s="27">
        <v>14380</v>
      </c>
      <c r="O13" s="27">
        <v>15460</v>
      </c>
      <c r="P13" s="27">
        <v>16340</v>
      </c>
      <c r="Q13" s="27">
        <v>16410</v>
      </c>
      <c r="R13" s="27">
        <v>17050</v>
      </c>
      <c r="S13" s="27">
        <v>17390</v>
      </c>
      <c r="T13" s="27">
        <v>17750</v>
      </c>
      <c r="U13" s="27">
        <v>20060</v>
      </c>
      <c r="V13" s="27">
        <v>20340</v>
      </c>
      <c r="W13" s="27">
        <v>19220</v>
      </c>
      <c r="X13" s="27">
        <v>21020</v>
      </c>
      <c r="Y13" s="27">
        <v>23610</v>
      </c>
      <c r="Z13" s="27">
        <v>19720</v>
      </c>
      <c r="AA13" s="27">
        <v>23920</v>
      </c>
      <c r="AB13" s="27">
        <v>22600</v>
      </c>
      <c r="AC13" s="27">
        <v>26780</v>
      </c>
      <c r="AD13" s="27">
        <v>24340</v>
      </c>
      <c r="AE13" s="27">
        <v>23050</v>
      </c>
      <c r="AF13" s="27">
        <v>23100</v>
      </c>
      <c r="AG13" s="27">
        <v>23970</v>
      </c>
      <c r="AH13" s="27">
        <v>24830</v>
      </c>
      <c r="AI13" s="27">
        <v>25260</v>
      </c>
      <c r="AJ13" s="27">
        <v>25430</v>
      </c>
      <c r="AK13" s="27">
        <v>25560</v>
      </c>
      <c r="AL13" s="27">
        <v>26460</v>
      </c>
      <c r="AM13" s="27">
        <v>27970</v>
      </c>
      <c r="AN13" s="27">
        <v>29320</v>
      </c>
      <c r="AO13" s="27">
        <v>22750</v>
      </c>
      <c r="AP13" s="27">
        <v>26550</v>
      </c>
      <c r="AQ13" s="27">
        <v>30160</v>
      </c>
      <c r="AR13" s="27">
        <v>31690</v>
      </c>
      <c r="AS13" s="27">
        <v>35200</v>
      </c>
      <c r="AT13" s="27"/>
      <c r="AU13" s="29">
        <f t="shared" si="3"/>
        <v>36985.676392572946</v>
      </c>
      <c r="AV13" s="29">
        <f t="shared" ref="AV13:BS13" si="8">AU13*(1+$D13)</f>
        <v>38861.939153867264</v>
      </c>
      <c r="AW13" s="29">
        <f t="shared" si="8"/>
        <v>40833.38367990894</v>
      </c>
      <c r="AX13" s="29">
        <f t="shared" si="8"/>
        <v>42904.838488604582</v>
      </c>
      <c r="AY13" s="29">
        <f t="shared" si="8"/>
        <v>45081.37704588459</v>
      </c>
      <c r="AZ13" s="29">
        <f t="shared" si="8"/>
        <v>47368.330191779925</v>
      </c>
      <c r="BA13" s="29">
        <f t="shared" si="8"/>
        <v>49771.299196866901</v>
      </c>
      <c r="BB13" s="29">
        <f t="shared" si="8"/>
        <v>52296.169481058096</v>
      </c>
      <c r="BC13" s="29">
        <f t="shared" si="8"/>
        <v>54949.125028339891</v>
      </c>
      <c r="BD13" s="29">
        <f t="shared" si="8"/>
        <v>57736.663532761646</v>
      </c>
      <c r="BE13" s="29">
        <f t="shared" si="8"/>
        <v>60665.612312772435</v>
      </c>
      <c r="BF13" s="29">
        <f t="shared" si="8"/>
        <v>63743.145032883236</v>
      </c>
      <c r="BG13" s="29">
        <f t="shared" si="8"/>
        <v>66976.799273609737</v>
      </c>
      <c r="BH13" s="29">
        <f t="shared" si="8"/>
        <v>70374.494992728534</v>
      </c>
      <c r="BI13" s="29">
        <f t="shared" si="8"/>
        <v>73944.553923062573</v>
      </c>
      <c r="BJ13" s="29">
        <f t="shared" si="8"/>
        <v>77695.719954305474</v>
      </c>
      <c r="BK13" s="29">
        <f t="shared" si="8"/>
        <v>81637.18054880439</v>
      </c>
      <c r="BL13" s="29">
        <f t="shared" si="8"/>
        <v>85778.589243753682</v>
      </c>
      <c r="BM13" s="29">
        <f t="shared" si="8"/>
        <v>90130.089294912279</v>
      </c>
      <c r="BN13" s="29">
        <f t="shared" si="8"/>
        <v>94702.338519753655</v>
      </c>
      <c r="BO13" s="29">
        <f t="shared" si="8"/>
        <v>99506.535400895009</v>
      </c>
      <c r="BP13" s="29">
        <f t="shared" si="8"/>
        <v>104554.44651373882</v>
      </c>
      <c r="BQ13" s="29">
        <f t="shared" si="8"/>
        <v>109858.43534550341</v>
      </c>
      <c r="BR13" s="29">
        <f t="shared" si="8"/>
        <v>115431.4925762269</v>
      </c>
      <c r="BS13" s="29">
        <f t="shared" si="8"/>
        <v>121287.26789590949</v>
      </c>
    </row>
    <row r="14" spans="1:71" x14ac:dyDescent="0.2">
      <c r="A14" s="2" t="s">
        <v>221</v>
      </c>
      <c r="B14" s="2" t="s">
        <v>222</v>
      </c>
      <c r="C14" s="11" t="s">
        <v>79</v>
      </c>
      <c r="D14" s="26">
        <f>'Growth calculation'!G15</f>
        <v>2.6767381893724407E-2</v>
      </c>
      <c r="E14" s="27">
        <v>64120</v>
      </c>
      <c r="F14" s="12">
        <v>2025</v>
      </c>
      <c r="G14" s="2" t="s">
        <v>162</v>
      </c>
      <c r="H14" s="27">
        <v>12580</v>
      </c>
      <c r="I14" s="27">
        <v>14160</v>
      </c>
      <c r="J14" s="27">
        <v>15620</v>
      </c>
      <c r="K14" s="27">
        <v>17370</v>
      </c>
      <c r="L14" s="27">
        <v>18260</v>
      </c>
      <c r="M14" s="27">
        <v>18600</v>
      </c>
      <c r="N14" s="27">
        <v>18980</v>
      </c>
      <c r="O14" s="27">
        <v>18950</v>
      </c>
      <c r="P14" s="27">
        <v>19400</v>
      </c>
      <c r="Q14" s="27">
        <v>20620</v>
      </c>
      <c r="R14" s="27">
        <v>22090</v>
      </c>
      <c r="S14" s="27">
        <v>21960</v>
      </c>
      <c r="T14" s="27">
        <v>21650</v>
      </c>
      <c r="U14" s="27">
        <v>21340</v>
      </c>
      <c r="V14" s="27">
        <v>20370</v>
      </c>
      <c r="W14" s="27">
        <v>20240</v>
      </c>
      <c r="X14" s="27">
        <v>21420</v>
      </c>
      <c r="Y14" s="27">
        <v>25890</v>
      </c>
      <c r="Z14" s="27">
        <v>30790</v>
      </c>
      <c r="AA14" s="27">
        <v>34670</v>
      </c>
      <c r="AB14" s="27">
        <v>37470</v>
      </c>
      <c r="AC14" s="27">
        <v>42510</v>
      </c>
      <c r="AD14" s="27">
        <v>44230</v>
      </c>
      <c r="AE14" s="27">
        <v>46900</v>
      </c>
      <c r="AF14" s="27">
        <v>50570</v>
      </c>
      <c r="AG14" s="27">
        <v>60500</v>
      </c>
      <c r="AH14" s="27">
        <v>66360</v>
      </c>
      <c r="AI14" s="27">
        <v>65500</v>
      </c>
      <c r="AJ14" s="27">
        <v>60780</v>
      </c>
      <c r="AK14" s="27">
        <v>54330</v>
      </c>
      <c r="AL14" s="27">
        <v>51700</v>
      </c>
      <c r="AM14" s="27">
        <v>53280</v>
      </c>
      <c r="AN14" s="27">
        <v>55090</v>
      </c>
      <c r="AO14" s="27">
        <v>53770</v>
      </c>
      <c r="AP14" s="27">
        <v>57220</v>
      </c>
      <c r="AQ14" s="27">
        <v>60790</v>
      </c>
      <c r="AR14" s="27">
        <v>63320</v>
      </c>
      <c r="AS14" s="27">
        <v>62680</v>
      </c>
      <c r="AT14" s="27">
        <v>64120</v>
      </c>
      <c r="AU14" s="29">
        <f t="shared" si="3"/>
        <v>65836.324527025616</v>
      </c>
      <c r="AV14" s="29">
        <f t="shared" ref="AV14:BS14" si="9">AU14*(1+$D14)</f>
        <v>67598.590568119689</v>
      </c>
      <c r="AW14" s="29">
        <f t="shared" si="9"/>
        <v>69408.027857334062</v>
      </c>
      <c r="AX14" s="29">
        <f t="shared" si="9"/>
        <v>71265.899045481579</v>
      </c>
      <c r="AY14" s="29">
        <f t="shared" si="9"/>
        <v>73173.500581231594</v>
      </c>
      <c r="AZ14" s="29">
        <f t="shared" si="9"/>
        <v>75132.163615790079</v>
      </c>
      <c r="BA14" s="29">
        <f t="shared" si="9"/>
        <v>77143.254931795716</v>
      </c>
      <c r="BB14" s="29">
        <f t="shared" si="9"/>
        <v>79208.177897080037</v>
      </c>
      <c r="BC14" s="29">
        <f t="shared" si="9"/>
        <v>81328.373443957244</v>
      </c>
      <c r="BD14" s="29">
        <f t="shared" si="9"/>
        <v>83505.321074727079</v>
      </c>
      <c r="BE14" s="29">
        <f t="shared" si="9"/>
        <v>85740.539894092377</v>
      </c>
      <c r="BF14" s="29">
        <f t="shared" si="9"/>
        <v>88035.589669211666</v>
      </c>
      <c r="BG14" s="29">
        <f t="shared" si="9"/>
        <v>90392.071918126676</v>
      </c>
      <c r="BH14" s="29">
        <f t="shared" si="9"/>
        <v>92811.631027324169</v>
      </c>
      <c r="BI14" s="29">
        <f t="shared" si="9"/>
        <v>95295.955399211991</v>
      </c>
      <c r="BJ14" s="29">
        <f t="shared" si="9"/>
        <v>97846.778630310029</v>
      </c>
      <c r="BK14" s="29">
        <f t="shared" si="9"/>
        <v>100465.88072097825</v>
      </c>
      <c r="BL14" s="29">
        <f t="shared" si="9"/>
        <v>103155.08931752604</v>
      </c>
      <c r="BM14" s="29">
        <f t="shared" si="9"/>
        <v>105916.28098756951</v>
      </c>
      <c r="BN14" s="29">
        <f t="shared" si="9"/>
        <v>108751.3825295268</v>
      </c>
      <c r="BO14" s="29">
        <f t="shared" si="9"/>
        <v>111662.37231716515</v>
      </c>
      <c r="BP14" s="29">
        <f t="shared" si="9"/>
        <v>114651.28168013795</v>
      </c>
      <c r="BQ14" s="29">
        <f t="shared" si="9"/>
        <v>117720.19632147517</v>
      </c>
      <c r="BR14" s="29">
        <f t="shared" si="9"/>
        <v>120871.25777301632</v>
      </c>
      <c r="BS14" s="29">
        <f t="shared" si="9"/>
        <v>124106.66488980145</v>
      </c>
    </row>
    <row r="15" spans="1:71" x14ac:dyDescent="0.2">
      <c r="A15" s="2" t="s">
        <v>223</v>
      </c>
      <c r="B15" s="2" t="s">
        <v>224</v>
      </c>
      <c r="C15" s="11" t="s">
        <v>79</v>
      </c>
      <c r="D15" s="26">
        <f>'Growth calculation'!G16</f>
        <v>1.8750628221978927E-2</v>
      </c>
      <c r="E15" s="27">
        <v>60360</v>
      </c>
      <c r="F15" s="12">
        <v>2025</v>
      </c>
      <c r="G15" s="2" t="s">
        <v>162</v>
      </c>
      <c r="H15" s="27">
        <v>13760</v>
      </c>
      <c r="I15" s="27">
        <v>18000</v>
      </c>
      <c r="J15" s="27">
        <v>19220</v>
      </c>
      <c r="K15" s="27">
        <v>20550</v>
      </c>
      <c r="L15" s="27">
        <v>21720</v>
      </c>
      <c r="M15" s="27">
        <v>24430</v>
      </c>
      <c r="N15" s="27">
        <v>24770</v>
      </c>
      <c r="O15" s="27">
        <v>26040</v>
      </c>
      <c r="P15" s="27">
        <v>28080</v>
      </c>
      <c r="Q15" s="27">
        <v>29930</v>
      </c>
      <c r="R15" s="27">
        <v>29410</v>
      </c>
      <c r="S15" s="27">
        <v>27810</v>
      </c>
      <c r="T15" s="27">
        <v>26980</v>
      </c>
      <c r="U15" s="27">
        <v>26660</v>
      </c>
      <c r="V15" s="27">
        <v>25190</v>
      </c>
      <c r="W15" s="27">
        <v>24860</v>
      </c>
      <c r="X15" s="27">
        <v>27950</v>
      </c>
      <c r="Y15" s="27">
        <v>33610</v>
      </c>
      <c r="Z15" s="27">
        <v>38510</v>
      </c>
      <c r="AA15" s="27">
        <v>41170</v>
      </c>
      <c r="AB15" s="27">
        <v>44230</v>
      </c>
      <c r="AC15" s="27">
        <v>48890</v>
      </c>
      <c r="AD15" s="27">
        <v>48900</v>
      </c>
      <c r="AE15" s="27">
        <v>49460</v>
      </c>
      <c r="AF15" s="27">
        <v>50380</v>
      </c>
      <c r="AG15" s="27">
        <v>49760</v>
      </c>
      <c r="AH15" s="27">
        <v>50260</v>
      </c>
      <c r="AI15" s="27">
        <v>49960</v>
      </c>
      <c r="AJ15" s="27">
        <v>47190</v>
      </c>
      <c r="AK15" s="27">
        <v>45980</v>
      </c>
      <c r="AL15" s="27">
        <v>44800</v>
      </c>
      <c r="AM15" s="27">
        <v>48710</v>
      </c>
      <c r="AN15" s="27">
        <v>50900</v>
      </c>
      <c r="AO15" s="27">
        <v>49000</v>
      </c>
      <c r="AP15" s="27">
        <v>53440</v>
      </c>
      <c r="AQ15" s="27">
        <v>56310</v>
      </c>
      <c r="AR15" s="27">
        <v>55890</v>
      </c>
      <c r="AS15" s="27">
        <v>54760</v>
      </c>
      <c r="AT15" s="27">
        <v>60360</v>
      </c>
      <c r="AU15" s="29">
        <f t="shared" si="3"/>
        <v>61491.787919478651</v>
      </c>
      <c r="AV15" s="29">
        <f t="shared" ref="AV15:BS15" si="10">AU15*(1+$D15)</f>
        <v>62644.797573461568</v>
      </c>
      <c r="AW15" s="29">
        <f t="shared" si="10"/>
        <v>63819.426882802676</v>
      </c>
      <c r="AX15" s="29">
        <f t="shared" si="10"/>
        <v>65016.081229621879</v>
      </c>
      <c r="AY15" s="29">
        <f t="shared" si="10"/>
        <v>66235.173597208501</v>
      </c>
      <c r="AZ15" s="29">
        <f t="shared" si="10"/>
        <v>67477.124712547986</v>
      </c>
      <c r="BA15" s="29">
        <f t="shared" si="10"/>
        <v>68742.363191521086</v>
      </c>
      <c r="BB15" s="29">
        <f t="shared" si="10"/>
        <v>70031.325686825541</v>
      </c>
      <c r="BC15" s="29">
        <f t="shared" si="10"/>
        <v>71344.457038671535</v>
      </c>
      <c r="BD15" s="29">
        <f t="shared" si="10"/>
        <v>72682.210428302613</v>
      </c>
      <c r="BE15" s="29">
        <f t="shared" si="10"/>
        <v>74045.047534395359</v>
      </c>
      <c r="BF15" s="29">
        <f t="shared" si="10"/>
        <v>75433.438692391559</v>
      </c>
      <c r="BG15" s="29">
        <f t="shared" si="10"/>
        <v>76847.863056818038</v>
      </c>
      <c r="BH15" s="29">
        <f t="shared" si="10"/>
        <v>78288.808766649978</v>
      </c>
      <c r="BI15" s="29">
        <f t="shared" si="10"/>
        <v>79756.773113775038</v>
      </c>
      <c r="BJ15" s="29">
        <f t="shared" si="10"/>
        <v>81252.262714616154</v>
      </c>
      <c r="BK15" s="29">
        <f t="shared" si="10"/>
        <v>82775.793684972479</v>
      </c>
      <c r="BL15" s="29">
        <f t="shared" si="10"/>
        <v>84327.891818138625</v>
      </c>
      <c r="BM15" s="29">
        <f t="shared" si="10"/>
        <v>85909.092766363799</v>
      </c>
      <c r="BN15" s="29">
        <f t="shared" si="10"/>
        <v>87519.942225713385</v>
      </c>
      <c r="BO15" s="29">
        <f t="shared" si="10"/>
        <v>89160.996124396814</v>
      </c>
      <c r="BP15" s="29">
        <f t="shared" si="10"/>
        <v>90832.820814626684</v>
      </c>
      <c r="BQ15" s="29">
        <f t="shared" si="10"/>
        <v>92535.993268075385</v>
      </c>
      <c r="BR15" s="29">
        <f t="shared" si="10"/>
        <v>94271.101274996618</v>
      </c>
      <c r="BS15" s="29">
        <f t="shared" si="10"/>
        <v>96038.743647080599</v>
      </c>
    </row>
    <row r="16" spans="1:71" x14ac:dyDescent="0.2">
      <c r="A16" s="2" t="s">
        <v>225</v>
      </c>
      <c r="B16" s="2" t="s">
        <v>226</v>
      </c>
      <c r="C16" s="11" t="s">
        <v>82</v>
      </c>
      <c r="D16" s="26">
        <f>'Growth calculation'!G17</f>
        <v>4.9353469248734849E-2</v>
      </c>
      <c r="E16" s="27">
        <v>7360</v>
      </c>
      <c r="F16" s="12">
        <v>2025</v>
      </c>
      <c r="G16" s="2" t="s">
        <v>162</v>
      </c>
      <c r="H16" s="27"/>
      <c r="I16" s="27"/>
      <c r="J16" s="27"/>
      <c r="K16" s="27"/>
      <c r="L16" s="27"/>
      <c r="M16" s="27">
        <v>160</v>
      </c>
      <c r="N16" s="27">
        <v>110</v>
      </c>
      <c r="O16" s="27">
        <v>80</v>
      </c>
      <c r="P16" s="27">
        <v>180</v>
      </c>
      <c r="Q16" s="27">
        <v>240</v>
      </c>
      <c r="R16" s="27">
        <v>410</v>
      </c>
      <c r="S16" s="27">
        <v>510</v>
      </c>
      <c r="T16" s="27">
        <v>600</v>
      </c>
      <c r="U16" s="27">
        <v>630</v>
      </c>
      <c r="V16" s="27">
        <v>680</v>
      </c>
      <c r="W16" s="27">
        <v>740</v>
      </c>
      <c r="X16" s="27">
        <v>840</v>
      </c>
      <c r="Y16" s="27">
        <v>960</v>
      </c>
      <c r="Z16" s="27">
        <v>1290</v>
      </c>
      <c r="AA16" s="27">
        <v>1920</v>
      </c>
      <c r="AB16" s="27">
        <v>2740</v>
      </c>
      <c r="AC16" s="27">
        <v>3900</v>
      </c>
      <c r="AD16" s="27">
        <v>4820</v>
      </c>
      <c r="AE16" s="27">
        <v>5400</v>
      </c>
      <c r="AF16" s="27">
        <v>5490</v>
      </c>
      <c r="AG16" s="27">
        <v>6440</v>
      </c>
      <c r="AH16" s="27">
        <v>7450</v>
      </c>
      <c r="AI16" s="27">
        <v>7740</v>
      </c>
      <c r="AJ16" s="27">
        <v>6610</v>
      </c>
      <c r="AK16" s="27">
        <v>4790</v>
      </c>
      <c r="AL16" s="27">
        <v>4110</v>
      </c>
      <c r="AM16" s="27">
        <v>4080</v>
      </c>
      <c r="AN16" s="27">
        <v>4510</v>
      </c>
      <c r="AO16" s="27">
        <v>4480</v>
      </c>
      <c r="AP16" s="27">
        <v>4910</v>
      </c>
      <c r="AQ16" s="27">
        <v>5670</v>
      </c>
      <c r="AR16" s="27">
        <v>6680</v>
      </c>
      <c r="AS16" s="27">
        <v>7340</v>
      </c>
      <c r="AT16" s="27">
        <v>7360</v>
      </c>
      <c r="AU16" s="29">
        <f t="shared" si="3"/>
        <v>7723.241533670689</v>
      </c>
      <c r="AV16" s="29">
        <f t="shared" ref="AV16:BS16" si="11">AU16*(1+$D16)</f>
        <v>8104.4102972032579</v>
      </c>
      <c r="AW16" s="29">
        <f t="shared" si="11"/>
        <v>8504.3910615854093</v>
      </c>
      <c r="AX16" s="29">
        <f t="shared" si="11"/>
        <v>8924.1122643225808</v>
      </c>
      <c r="AY16" s="29">
        <f t="shared" si="11"/>
        <v>9364.5481645320833</v>
      </c>
      <c r="AZ16" s="29">
        <f t="shared" si="11"/>
        <v>9826.7211043986154</v>
      </c>
      <c r="BA16" s="29">
        <f t="shared" si="11"/>
        <v>10311.703882240447</v>
      </c>
      <c r="BB16" s="29">
        <f t="shared" si="11"/>
        <v>10820.622242694661</v>
      </c>
      <c r="BC16" s="29">
        <f t="shared" si="11"/>
        <v>11354.65748980167</v>
      </c>
      <c r="BD16" s="29">
        <f t="shared" si="11"/>
        <v>11915.049229054515</v>
      </c>
      <c r="BE16" s="29">
        <f t="shared" si="11"/>
        <v>12503.098244777821</v>
      </c>
      <c r="BF16" s="29">
        <f t="shared" si="11"/>
        <v>13120.169519515375</v>
      </c>
      <c r="BG16" s="29">
        <f t="shared" si="11"/>
        <v>13767.695402434967</v>
      </c>
      <c r="BH16" s="29">
        <f t="shared" si="11"/>
        <v>14447.178934104992</v>
      </c>
      <c r="BI16" s="29">
        <f t="shared" si="11"/>
        <v>15160.197335360313</v>
      </c>
      <c r="BJ16" s="29">
        <f t="shared" si="11"/>
        <v>15908.405668355772</v>
      </c>
      <c r="BK16" s="29">
        <f t="shared" si="11"/>
        <v>16693.54067830537</v>
      </c>
      <c r="BL16" s="29">
        <f t="shared" si="11"/>
        <v>17517.424824824619</v>
      </c>
      <c r="BM16" s="29">
        <f t="shared" si="11"/>
        <v>18381.970512233627</v>
      </c>
      <c r="BN16" s="29">
        <f t="shared" si="11"/>
        <v>19289.184528640304</v>
      </c>
      <c r="BO16" s="29">
        <f t="shared" si="11"/>
        <v>20241.172704107728</v>
      </c>
      <c r="BP16" s="29">
        <f t="shared" si="11"/>
        <v>21240.144798718244</v>
      </c>
      <c r="BQ16" s="29">
        <f t="shared" si="11"/>
        <v>22288.419631880461</v>
      </c>
      <c r="BR16" s="29">
        <f t="shared" si="11"/>
        <v>23388.430464785375</v>
      </c>
      <c r="BS16" s="29">
        <f t="shared" si="11"/>
        <v>24542.730648505338</v>
      </c>
    </row>
    <row r="17" spans="1:71" x14ac:dyDescent="0.2">
      <c r="A17" s="2" t="s">
        <v>227</v>
      </c>
      <c r="B17" s="2" t="s">
        <v>228</v>
      </c>
      <c r="C17" s="11" t="s">
        <v>79</v>
      </c>
      <c r="D17" s="26">
        <f>'Growth calculation'!G18</f>
        <v>4.1136430896715037E-2</v>
      </c>
      <c r="E17" s="27">
        <v>37020</v>
      </c>
      <c r="F17" s="12">
        <v>2024</v>
      </c>
      <c r="G17" s="2" t="s">
        <v>162</v>
      </c>
      <c r="H17" s="27">
        <v>10030</v>
      </c>
      <c r="I17" s="27">
        <v>10880</v>
      </c>
      <c r="J17" s="27">
        <v>11540</v>
      </c>
      <c r="K17" s="27">
        <v>11020</v>
      </c>
      <c r="L17" s="27">
        <v>10530</v>
      </c>
      <c r="M17" s="27">
        <v>10750</v>
      </c>
      <c r="N17" s="27">
        <v>10530</v>
      </c>
      <c r="O17" s="27">
        <v>10790</v>
      </c>
      <c r="P17" s="27">
        <v>13250</v>
      </c>
      <c r="Q17" s="27">
        <v>14770</v>
      </c>
      <c r="R17" s="27">
        <v>13460</v>
      </c>
      <c r="S17" s="27">
        <v>16180</v>
      </c>
      <c r="T17" s="27">
        <v>22250</v>
      </c>
      <c r="U17" s="27">
        <v>23880</v>
      </c>
      <c r="V17" s="27">
        <v>24520</v>
      </c>
      <c r="W17" s="27">
        <v>25220</v>
      </c>
      <c r="X17" s="27">
        <v>25900</v>
      </c>
      <c r="Y17" s="27">
        <v>27470</v>
      </c>
      <c r="Z17" s="27">
        <v>28880</v>
      </c>
      <c r="AA17" s="27">
        <v>29230</v>
      </c>
      <c r="AB17" s="27">
        <v>29690</v>
      </c>
      <c r="AC17" s="27">
        <v>29660</v>
      </c>
      <c r="AD17" s="27">
        <v>27920</v>
      </c>
      <c r="AE17" s="27">
        <v>27320</v>
      </c>
      <c r="AF17" s="27">
        <v>26990</v>
      </c>
      <c r="AG17" s="27">
        <v>27910</v>
      </c>
      <c r="AH17" s="27">
        <v>26870</v>
      </c>
      <c r="AI17" s="27">
        <v>27220</v>
      </c>
      <c r="AJ17" s="27">
        <v>27620</v>
      </c>
      <c r="AK17" s="27">
        <v>27820</v>
      </c>
      <c r="AL17" s="27">
        <v>29570</v>
      </c>
      <c r="AM17" s="27">
        <v>30650</v>
      </c>
      <c r="AN17" s="27">
        <v>31630</v>
      </c>
      <c r="AO17" s="27">
        <v>25180</v>
      </c>
      <c r="AP17" s="27">
        <v>29910</v>
      </c>
      <c r="AQ17" s="27">
        <v>33790</v>
      </c>
      <c r="AR17" s="27">
        <v>35180</v>
      </c>
      <c r="AS17" s="27">
        <v>37020</v>
      </c>
      <c r="AT17" s="27"/>
      <c r="AU17" s="29">
        <f t="shared" si="3"/>
        <v>38542.870671796394</v>
      </c>
      <c r="AV17" s="29">
        <f t="shared" ref="AV17:BS17" si="12">AU17*(1+$D17)</f>
        <v>40128.386807747775</v>
      </c>
      <c r="AW17" s="29">
        <f t="shared" si="12"/>
        <v>41779.125418661344</v>
      </c>
      <c r="AX17" s="29">
        <f t="shared" si="12"/>
        <v>43497.769524371295</v>
      </c>
      <c r="AY17" s="29">
        <f t="shared" si="12"/>
        <v>45287.112514571832</v>
      </c>
      <c r="AZ17" s="29">
        <f t="shared" si="12"/>
        <v>47150.062689039274</v>
      </c>
      <c r="BA17" s="29">
        <f t="shared" si="12"/>
        <v>49089.647984622723</v>
      </c>
      <c r="BB17" s="29">
        <f t="shared" si="12"/>
        <v>51109.020896686219</v>
      </c>
      <c r="BC17" s="29">
        <f t="shared" si="12"/>
        <v>53211.463603001517</v>
      </c>
      <c r="BD17" s="29">
        <f t="shared" si="12"/>
        <v>55400.393298419454</v>
      </c>
      <c r="BE17" s="29">
        <f t="shared" si="12"/>
        <v>57679.36774899072</v>
      </c>
      <c r="BF17" s="29">
        <f t="shared" si="12"/>
        <v>60052.091074563294</v>
      </c>
      <c r="BG17" s="29">
        <f t="shared" si="12"/>
        <v>62522.419769255306</v>
      </c>
      <c r="BH17" s="29">
        <f t="shared" si="12"/>
        <v>65094.368969588686</v>
      </c>
      <c r="BI17" s="29">
        <f t="shared" si="12"/>
        <v>67772.118980471438</v>
      </c>
      <c r="BJ17" s="29">
        <f t="shared" si="12"/>
        <v>70560.022069635554</v>
      </c>
      <c r="BK17" s="29">
        <f t="shared" si="12"/>
        <v>73462.609541573809</v>
      </c>
      <c r="BL17" s="29">
        <f t="shared" si="12"/>
        <v>76484.599102473119</v>
      </c>
      <c r="BM17" s="29">
        <f t="shared" si="12"/>
        <v>79630.902528114952</v>
      </c>
      <c r="BN17" s="29">
        <f t="shared" si="12"/>
        <v>82906.633647205803</v>
      </c>
      <c r="BO17" s="29">
        <f t="shared" si="12"/>
        <v>86317.116653113349</v>
      </c>
      <c r="BP17" s="29">
        <f t="shared" si="12"/>
        <v>89867.894757517832</v>
      </c>
      <c r="BQ17" s="29">
        <f t="shared" si="12"/>
        <v>93564.739200043725</v>
      </c>
      <c r="BR17" s="29">
        <f t="shared" si="12"/>
        <v>97413.658628515492</v>
      </c>
      <c r="BS17" s="29">
        <f t="shared" si="12"/>
        <v>101420.90886508361</v>
      </c>
    </row>
    <row r="18" spans="1:71" x14ac:dyDescent="0.2">
      <c r="A18" s="2" t="s">
        <v>229</v>
      </c>
      <c r="B18" s="2" t="s">
        <v>230</v>
      </c>
      <c r="C18" s="11" t="s">
        <v>79</v>
      </c>
      <c r="D18" s="26">
        <f>'Growth calculation'!G19</f>
        <v>1.3831469962155563E-2</v>
      </c>
      <c r="E18" s="27">
        <v>28790</v>
      </c>
      <c r="F18" s="12">
        <v>2025</v>
      </c>
      <c r="G18" s="2" t="s">
        <v>162</v>
      </c>
      <c r="H18" s="27">
        <v>8630</v>
      </c>
      <c r="I18" s="27">
        <v>8730</v>
      </c>
      <c r="J18" s="27">
        <v>8530</v>
      </c>
      <c r="K18" s="27">
        <v>9880</v>
      </c>
      <c r="L18" s="27">
        <v>11240</v>
      </c>
      <c r="M18" s="27">
        <v>11380</v>
      </c>
      <c r="N18" s="27">
        <v>11590</v>
      </c>
      <c r="O18" s="27">
        <v>11180</v>
      </c>
      <c r="P18" s="27">
        <v>11920</v>
      </c>
      <c r="Q18" s="27">
        <v>12380</v>
      </c>
      <c r="R18" s="27">
        <v>11890</v>
      </c>
      <c r="S18" s="27">
        <v>11650</v>
      </c>
      <c r="T18" s="27">
        <v>11570</v>
      </c>
      <c r="U18" s="27">
        <v>12500</v>
      </c>
      <c r="V18" s="27">
        <v>12730</v>
      </c>
      <c r="W18" s="27">
        <v>12480</v>
      </c>
      <c r="X18" s="27">
        <v>13180</v>
      </c>
      <c r="Y18" s="27">
        <v>14680</v>
      </c>
      <c r="Z18" s="27">
        <v>16550</v>
      </c>
      <c r="AA18" s="27">
        <v>17850</v>
      </c>
      <c r="AB18" s="27">
        <v>19600</v>
      </c>
      <c r="AC18" s="27">
        <v>21070</v>
      </c>
      <c r="AD18" s="27">
        <v>18940</v>
      </c>
      <c r="AE18" s="27">
        <v>19510</v>
      </c>
      <c r="AF18" s="27">
        <v>20040</v>
      </c>
      <c r="AG18" s="27">
        <v>24670</v>
      </c>
      <c r="AH18" s="27">
        <v>25970</v>
      </c>
      <c r="AI18" s="27">
        <v>25480</v>
      </c>
      <c r="AJ18" s="27">
        <v>23640</v>
      </c>
      <c r="AK18" s="27">
        <v>22720</v>
      </c>
      <c r="AL18" s="27">
        <v>22360</v>
      </c>
      <c r="AM18" s="27">
        <v>24200</v>
      </c>
      <c r="AN18" s="27">
        <v>25800</v>
      </c>
      <c r="AO18" s="27">
        <v>23870</v>
      </c>
      <c r="AP18" s="27">
        <v>25240</v>
      </c>
      <c r="AQ18" s="27">
        <v>28300</v>
      </c>
      <c r="AR18" s="27">
        <v>28460</v>
      </c>
      <c r="AS18" s="27">
        <v>28170</v>
      </c>
      <c r="AT18" s="27">
        <v>28790</v>
      </c>
      <c r="AU18" s="29">
        <f t="shared" si="3"/>
        <v>29188.208020210459</v>
      </c>
      <c r="AV18" s="29">
        <f t="shared" ref="AV18:BS18" si="13">AU18*(1+$D18)</f>
        <v>29591.923842691147</v>
      </c>
      <c r="AW18" s="29">
        <f t="shared" si="13"/>
        <v>30001.223648443724</v>
      </c>
      <c r="AX18" s="29">
        <f t="shared" si="13"/>
        <v>30416.184672165084</v>
      </c>
      <c r="AY18" s="29">
        <f t="shared" si="13"/>
        <v>30836.885216821513</v>
      </c>
      <c r="AZ18" s="29">
        <f t="shared" si="13"/>
        <v>31263.404668424417</v>
      </c>
      <c r="BA18" s="29">
        <f t="shared" si="13"/>
        <v>31695.823511010443</v>
      </c>
      <c r="BB18" s="29">
        <f t="shared" si="13"/>
        <v>32134.223341828769</v>
      </c>
      <c r="BC18" s="29">
        <f t="shared" si="13"/>
        <v>32578.686886738473</v>
      </c>
      <c r="BD18" s="29">
        <f t="shared" si="13"/>
        <v>33029.298015818866</v>
      </c>
      <c r="BE18" s="29">
        <f t="shared" si="13"/>
        <v>33486.141759195751</v>
      </c>
      <c r="BF18" s="29">
        <f t="shared" si="13"/>
        <v>33949.304323086551</v>
      </c>
      <c r="BG18" s="29">
        <f t="shared" si="13"/>
        <v>34418.873106067404</v>
      </c>
      <c r="BH18" s="29">
        <f t="shared" si="13"/>
        <v>34894.936715565222</v>
      </c>
      <c r="BI18" s="29">
        <f t="shared" si="13"/>
        <v>35377.584984577879</v>
      </c>
      <c r="BJ18" s="29">
        <f t="shared" si="13"/>
        <v>35866.908988625677</v>
      </c>
      <c r="BK18" s="29">
        <f t="shared" si="13"/>
        <v>36363.001062937219</v>
      </c>
      <c r="BL18" s="29">
        <f t="shared" si="13"/>
        <v>36865.954819873063</v>
      </c>
      <c r="BM18" s="29">
        <f t="shared" si="13"/>
        <v>37375.865166590323</v>
      </c>
      <c r="BN18" s="29">
        <f t="shared" si="13"/>
        <v>37892.828322951595</v>
      </c>
      <c r="BO18" s="29">
        <f t="shared" si="13"/>
        <v>38416.941839681618</v>
      </c>
      <c r="BP18" s="29">
        <f t="shared" si="13"/>
        <v>38948.304616775051</v>
      </c>
      <c r="BQ18" s="29">
        <f t="shared" si="13"/>
        <v>39487.016922158859</v>
      </c>
      <c r="BR18" s="29">
        <f t="shared" si="13"/>
        <v>40033.180410612826</v>
      </c>
      <c r="BS18" s="29">
        <f t="shared" si="13"/>
        <v>40586.898142951773</v>
      </c>
    </row>
    <row r="19" spans="1:71" x14ac:dyDescent="0.2">
      <c r="A19" s="2" t="s">
        <v>231</v>
      </c>
      <c r="B19" s="2" t="s">
        <v>232</v>
      </c>
      <c r="C19" s="11" t="s">
        <v>210</v>
      </c>
      <c r="D19" s="26">
        <f>'Growth calculation'!G20</f>
        <v>7.4680999999999997E-2</v>
      </c>
      <c r="E19" s="27">
        <v>2840</v>
      </c>
      <c r="F19" s="12">
        <v>2025</v>
      </c>
      <c r="G19" s="28" t="s">
        <v>233</v>
      </c>
      <c r="H19" s="27">
        <v>250</v>
      </c>
      <c r="I19" s="27">
        <v>270</v>
      </c>
      <c r="J19" s="27">
        <v>280</v>
      </c>
      <c r="K19" s="27">
        <v>290</v>
      </c>
      <c r="L19" s="27">
        <v>300</v>
      </c>
      <c r="M19" s="27">
        <v>300</v>
      </c>
      <c r="N19" s="27">
        <v>300</v>
      </c>
      <c r="O19" s="27">
        <v>300</v>
      </c>
      <c r="P19" s="27">
        <v>320</v>
      </c>
      <c r="Q19" s="27">
        <v>350</v>
      </c>
      <c r="R19" s="27">
        <v>370</v>
      </c>
      <c r="S19" s="27">
        <v>390</v>
      </c>
      <c r="T19" s="27">
        <v>400</v>
      </c>
      <c r="U19" s="27">
        <v>410</v>
      </c>
      <c r="V19" s="27">
        <v>420</v>
      </c>
      <c r="W19" s="27">
        <v>420</v>
      </c>
      <c r="X19" s="27">
        <v>440</v>
      </c>
      <c r="Y19" s="27">
        <v>490</v>
      </c>
      <c r="Z19" s="27">
        <v>530</v>
      </c>
      <c r="AA19" s="27">
        <v>550</v>
      </c>
      <c r="AB19" s="27">
        <v>580</v>
      </c>
      <c r="AC19" s="27">
        <v>640</v>
      </c>
      <c r="AD19" s="27">
        <v>700</v>
      </c>
      <c r="AE19" s="27">
        <v>780</v>
      </c>
      <c r="AF19" s="27">
        <v>870</v>
      </c>
      <c r="AG19" s="27">
        <v>950</v>
      </c>
      <c r="AH19" s="27">
        <v>1010</v>
      </c>
      <c r="AI19" s="27">
        <v>1080</v>
      </c>
      <c r="AJ19" s="27">
        <v>1200</v>
      </c>
      <c r="AK19" s="27">
        <v>1400</v>
      </c>
      <c r="AL19" s="27">
        <v>1640</v>
      </c>
      <c r="AM19" s="27">
        <v>2020</v>
      </c>
      <c r="AN19" s="27">
        <v>2220</v>
      </c>
      <c r="AO19" s="27">
        <v>2320</v>
      </c>
      <c r="AP19" s="27">
        <v>2600</v>
      </c>
      <c r="AQ19" s="27">
        <v>2850</v>
      </c>
      <c r="AR19" s="27">
        <v>2880</v>
      </c>
      <c r="AS19" s="27">
        <v>2820</v>
      </c>
      <c r="AT19" s="27">
        <v>2840</v>
      </c>
      <c r="AU19" s="29">
        <f t="shared" si="3"/>
        <v>3052.0940399999999</v>
      </c>
      <c r="AV19" s="29">
        <f t="shared" ref="AV19:BS19" si="14">AU19*(1+$D19)</f>
        <v>3280.02747500124</v>
      </c>
      <c r="AW19" s="29">
        <f t="shared" si="14"/>
        <v>3524.9832068618075</v>
      </c>
      <c r="AX19" s="29">
        <f t="shared" si="14"/>
        <v>3788.2324777334543</v>
      </c>
      <c r="AY19" s="29">
        <f t="shared" si="14"/>
        <v>4071.1414674030666</v>
      </c>
      <c r="AZ19" s="29">
        <f t="shared" si="14"/>
        <v>4375.1783833301952</v>
      </c>
      <c r="BA19" s="29">
        <f t="shared" si="14"/>
        <v>4701.9210801756772</v>
      </c>
      <c r="BB19" s="29">
        <f t="shared" si="14"/>
        <v>5053.0652483642771</v>
      </c>
      <c r="BC19" s="29">
        <f t="shared" si="14"/>
        <v>5430.4332141773693</v>
      </c>
      <c r="BD19" s="29">
        <f t="shared" si="14"/>
        <v>5835.9833970453492</v>
      </c>
      <c r="BE19" s="29">
        <f t="shared" si="14"/>
        <v>6271.8204731200931</v>
      </c>
      <c r="BF19" s="29">
        <f t="shared" si="14"/>
        <v>6740.2062978731747</v>
      </c>
      <c r="BG19" s="29">
        <f t="shared" si="14"/>
        <v>7243.5716444046411</v>
      </c>
      <c r="BH19" s="29">
        <f t="shared" si="14"/>
        <v>7784.5288183804241</v>
      </c>
      <c r="BI19" s="29">
        <f t="shared" si="14"/>
        <v>8365.8852150658931</v>
      </c>
      <c r="BJ19" s="29">
        <f t="shared" si="14"/>
        <v>8990.6578888122294</v>
      </c>
      <c r="BK19" s="29">
        <f t="shared" si="14"/>
        <v>9662.0892106066149</v>
      </c>
      <c r="BL19" s="29">
        <f t="shared" si="14"/>
        <v>10383.663694943927</v>
      </c>
      <c r="BM19" s="29">
        <f t="shared" si="14"/>
        <v>11159.126083346035</v>
      </c>
      <c r="BN19" s="29">
        <f t="shared" si="14"/>
        <v>11992.500778376399</v>
      </c>
      <c r="BO19" s="29">
        <f t="shared" si="14"/>
        <v>12888.112729006327</v>
      </c>
      <c r="BP19" s="29">
        <f t="shared" si="14"/>
        <v>13850.609875721248</v>
      </c>
      <c r="BQ19" s="29">
        <f t="shared" si="14"/>
        <v>14884.987271849986</v>
      </c>
      <c r="BR19" s="29">
        <f t="shared" si="14"/>
        <v>15996.613006299016</v>
      </c>
      <c r="BS19" s="29">
        <f t="shared" si="14"/>
        <v>17191.256062222434</v>
      </c>
    </row>
    <row r="20" spans="1:71" x14ac:dyDescent="0.2">
      <c r="A20" s="2" t="s">
        <v>234</v>
      </c>
      <c r="B20" s="2" t="s">
        <v>235</v>
      </c>
      <c r="C20" s="11" t="s">
        <v>79</v>
      </c>
      <c r="D20" s="26">
        <f>'Growth calculation'!G21</f>
        <v>2.6986561904655315E-2</v>
      </c>
      <c r="E20" s="27">
        <v>27080</v>
      </c>
      <c r="F20" s="12">
        <v>2025</v>
      </c>
      <c r="G20" s="2" t="s">
        <v>162</v>
      </c>
      <c r="H20" s="27">
        <v>6710</v>
      </c>
      <c r="I20" s="27">
        <v>7460</v>
      </c>
      <c r="J20" s="27">
        <v>7920</v>
      </c>
      <c r="K20" s="27">
        <v>7670</v>
      </c>
      <c r="L20" s="27">
        <v>7640</v>
      </c>
      <c r="M20" s="27">
        <v>7540</v>
      </c>
      <c r="N20" s="27">
        <v>7770</v>
      </c>
      <c r="O20" s="27">
        <v>8110</v>
      </c>
      <c r="P20" s="27">
        <v>8470</v>
      </c>
      <c r="Q20" s="27">
        <v>8850</v>
      </c>
      <c r="R20" s="27">
        <v>9250</v>
      </c>
      <c r="S20" s="27">
        <v>9670</v>
      </c>
      <c r="T20" s="27">
        <v>10110</v>
      </c>
      <c r="U20" s="27">
        <v>11170</v>
      </c>
      <c r="V20" s="27">
        <v>11030</v>
      </c>
      <c r="W20" s="27">
        <v>11030</v>
      </c>
      <c r="X20" s="27">
        <v>11660</v>
      </c>
      <c r="Y20" s="27">
        <v>12660</v>
      </c>
      <c r="Z20" s="27">
        <v>13610</v>
      </c>
      <c r="AA20" s="27">
        <v>14630</v>
      </c>
      <c r="AB20" s="27">
        <v>15950</v>
      </c>
      <c r="AC20" s="27">
        <v>16600</v>
      </c>
      <c r="AD20" s="27">
        <v>16150</v>
      </c>
      <c r="AE20" s="27">
        <v>16220</v>
      </c>
      <c r="AF20" s="27">
        <v>17150</v>
      </c>
      <c r="AG20" s="27">
        <v>19080</v>
      </c>
      <c r="AH20" s="27">
        <v>19410</v>
      </c>
      <c r="AI20" s="27">
        <v>19620</v>
      </c>
      <c r="AJ20" s="27">
        <v>19280</v>
      </c>
      <c r="AK20" s="27">
        <v>19300</v>
      </c>
      <c r="AL20" s="27">
        <v>19570</v>
      </c>
      <c r="AM20" s="27">
        <v>20240</v>
      </c>
      <c r="AN20" s="27">
        <v>20800</v>
      </c>
      <c r="AO20" s="27">
        <v>18290</v>
      </c>
      <c r="AP20" s="27">
        <v>20700</v>
      </c>
      <c r="AQ20" s="27">
        <v>24760</v>
      </c>
      <c r="AR20" s="27">
        <v>24710</v>
      </c>
      <c r="AS20" s="27">
        <v>25360</v>
      </c>
      <c r="AT20" s="27">
        <v>27080</v>
      </c>
      <c r="AU20" s="29">
        <f t="shared" si="3"/>
        <v>27810.796096378064</v>
      </c>
      <c r="AV20" s="29">
        <f t="shared" ref="AV20:BS20" si="15">AU20*(1+$D20)</f>
        <v>28561.313866850713</v>
      </c>
      <c r="AW20" s="29">
        <f t="shared" si="15"/>
        <v>29332.085531596767</v>
      </c>
      <c r="AX20" s="29">
        <f t="shared" si="15"/>
        <v>30123.657673587844</v>
      </c>
      <c r="AY20" s="29">
        <f t="shared" si="15"/>
        <v>30936.591626190766</v>
      </c>
      <c r="AZ20" s="29">
        <f t="shared" si="15"/>
        <v>31771.46387123</v>
      </c>
      <c r="BA20" s="29">
        <f t="shared" si="15"/>
        <v>32628.866447792465</v>
      </c>
      <c r="BB20" s="29">
        <f t="shared" si="15"/>
        <v>33509.407372064547</v>
      </c>
      <c r="BC20" s="29">
        <f t="shared" si="15"/>
        <v>34413.711068499077</v>
      </c>
      <c r="BD20" s="29">
        <f t="shared" si="15"/>
        <v>35342.418812618045</v>
      </c>
      <c r="BE20" s="29">
        <f t="shared" si="15"/>
        <v>36296.189185765012</v>
      </c>
      <c r="BF20" s="29">
        <f t="shared" si="15"/>
        <v>37275.698542129736</v>
      </c>
      <c r="BG20" s="29">
        <f t="shared" si="15"/>
        <v>38281.641488376183</v>
      </c>
      <c r="BH20" s="29">
        <f t="shared" si="15"/>
        <v>39314.731376214062</v>
      </c>
      <c r="BI20" s="29">
        <f t="shared" si="15"/>
        <v>40375.700808263151</v>
      </c>
      <c r="BJ20" s="29">
        <f t="shared" si="15"/>
        <v>41465.302157569182</v>
      </c>
      <c r="BK20" s="29">
        <f t="shared" si="15"/>
        <v>42584.308101139657</v>
      </c>
      <c r="BL20" s="29">
        <f t="shared" si="15"/>
        <v>43733.512167877976</v>
      </c>
      <c r="BM20" s="29">
        <f t="shared" si="15"/>
        <v>44913.729301304404</v>
      </c>
      <c r="BN20" s="29">
        <f t="shared" si="15"/>
        <v>46125.796437462981</v>
      </c>
      <c r="BO20" s="29">
        <f t="shared" si="15"/>
        <v>47370.573098424102</v>
      </c>
      <c r="BP20" s="29">
        <f t="shared" si="15"/>
        <v>48648.94200180372</v>
      </c>
      <c r="BQ20" s="29">
        <f t="shared" si="15"/>
        <v>49961.80968673138</v>
      </c>
      <c r="BR20" s="29">
        <f t="shared" si="15"/>
        <v>51310.107156710961</v>
      </c>
      <c r="BS20" s="29">
        <f t="shared" si="15"/>
        <v>52694.790539830035</v>
      </c>
    </row>
    <row r="21" spans="1:71" x14ac:dyDescent="0.2">
      <c r="A21" s="2" t="s">
        <v>236</v>
      </c>
      <c r="B21" s="2" t="s">
        <v>237</v>
      </c>
      <c r="C21" s="11" t="s">
        <v>82</v>
      </c>
      <c r="D21" s="26">
        <f>'Growth calculation'!G22</f>
        <v>7.2291796369905681E-2</v>
      </c>
      <c r="E21" s="27">
        <v>9160</v>
      </c>
      <c r="F21" s="12">
        <v>2025</v>
      </c>
      <c r="G21" s="2" t="s">
        <v>162</v>
      </c>
      <c r="H21" s="27"/>
      <c r="I21" s="27"/>
      <c r="J21" s="27"/>
      <c r="K21" s="27"/>
      <c r="L21" s="27"/>
      <c r="M21" s="27">
        <v>1680</v>
      </c>
      <c r="N21" s="27">
        <v>1610</v>
      </c>
      <c r="O21" s="27">
        <v>1450</v>
      </c>
      <c r="P21" s="27">
        <v>1360</v>
      </c>
      <c r="Q21" s="27">
        <v>1440</v>
      </c>
      <c r="R21" s="27">
        <v>1520</v>
      </c>
      <c r="S21" s="27">
        <v>1540</v>
      </c>
      <c r="T21" s="27">
        <v>1410</v>
      </c>
      <c r="U21" s="27">
        <v>1380</v>
      </c>
      <c r="V21" s="27">
        <v>1300</v>
      </c>
      <c r="W21" s="27">
        <v>1380</v>
      </c>
      <c r="X21" s="27">
        <v>1630</v>
      </c>
      <c r="Y21" s="27">
        <v>2170</v>
      </c>
      <c r="Z21" s="27">
        <v>2820</v>
      </c>
      <c r="AA21" s="27">
        <v>3510</v>
      </c>
      <c r="AB21" s="27">
        <v>4310</v>
      </c>
      <c r="AC21" s="27">
        <v>5470</v>
      </c>
      <c r="AD21" s="27">
        <v>5660</v>
      </c>
      <c r="AE21" s="27">
        <v>6150</v>
      </c>
      <c r="AF21" s="27">
        <v>6350</v>
      </c>
      <c r="AG21" s="27">
        <v>6630</v>
      </c>
      <c r="AH21" s="27">
        <v>7030</v>
      </c>
      <c r="AI21" s="27">
        <v>7620</v>
      </c>
      <c r="AJ21" s="27">
        <v>6740</v>
      </c>
      <c r="AK21" s="27">
        <v>5640</v>
      </c>
      <c r="AL21" s="27">
        <v>5320</v>
      </c>
      <c r="AM21" s="27">
        <v>5730</v>
      </c>
      <c r="AN21" s="27">
        <v>6370</v>
      </c>
      <c r="AO21" s="27">
        <v>6410</v>
      </c>
      <c r="AP21" s="27">
        <v>7040</v>
      </c>
      <c r="AQ21" s="27">
        <v>7210</v>
      </c>
      <c r="AR21" s="27">
        <v>7850</v>
      </c>
      <c r="AS21" s="27">
        <v>8380</v>
      </c>
      <c r="AT21" s="27">
        <v>9160</v>
      </c>
      <c r="AU21" s="29">
        <f t="shared" si="3"/>
        <v>9822.1928547483367</v>
      </c>
      <c r="AV21" s="29">
        <f t="shared" ref="AV21:BS21" si="16">AU21*(1+$D21)</f>
        <v>10532.256820509747</v>
      </c>
      <c r="AW21" s="29">
        <f t="shared" si="16"/>
        <v>11293.652585893587</v>
      </c>
      <c r="AX21" s="29">
        <f t="shared" si="16"/>
        <v>12110.091018905465</v>
      </c>
      <c r="AY21" s="29">
        <f t="shared" si="16"/>
        <v>12985.551252865202</v>
      </c>
      <c r="AZ21" s="29">
        <f t="shared" si="16"/>
        <v>13924.300079788307</v>
      </c>
      <c r="BA21" s="29">
        <f t="shared" si="16"/>
        <v>14930.912745749825</v>
      </c>
      <c r="BB21" s="29">
        <f t="shared" si="16"/>
        <v>16010.295249582401</v>
      </c>
      <c r="BC21" s="29">
        <f t="shared" si="16"/>
        <v>17167.70825358728</v>
      </c>
      <c r="BD21" s="29">
        <f t="shared" si="16"/>
        <v>18408.792722793562</v>
      </c>
      <c r="BE21" s="29">
        <f t="shared" si="16"/>
        <v>19739.597417725556</v>
      </c>
      <c r="BF21" s="29">
        <f t="shared" si="16"/>
        <v>21166.608374671687</v>
      </c>
      <c r="BG21" s="29">
        <f t="shared" si="16"/>
        <v>22696.780517134994</v>
      </c>
      <c r="BH21" s="29">
        <f t="shared" si="16"/>
        <v>24337.571552532158</v>
      </c>
      <c r="BI21" s="29">
        <f t="shared" si="16"/>
        <v>26096.978319345821</v>
      </c>
      <c r="BJ21" s="29">
        <f t="shared" si="16"/>
        <v>27983.575761877812</v>
      </c>
      <c r="BK21" s="29">
        <f t="shared" si="16"/>
        <v>30006.558722557311</v>
      </c>
      <c r="BL21" s="29">
        <f t="shared" si="16"/>
        <v>32175.78675549004</v>
      </c>
      <c r="BM21" s="29">
        <f t="shared" si="16"/>
        <v>34501.832179659432</v>
      </c>
      <c r="BN21" s="29">
        <f t="shared" si="16"/>
        <v>36996.031605980032</v>
      </c>
      <c r="BO21" s="29">
        <f t="shared" si="16"/>
        <v>39670.541189334137</v>
      </c>
      <c r="BP21" s="29">
        <f t="shared" si="16"/>
        <v>42538.395874877438</v>
      </c>
      <c r="BQ21" s="29">
        <f t="shared" si="16"/>
        <v>45613.572927366513</v>
      </c>
      <c r="BR21" s="29">
        <f t="shared" si="16"/>
        <v>48911.060053135538</v>
      </c>
      <c r="BS21" s="29">
        <f t="shared" si="16"/>
        <v>52446.928446733044</v>
      </c>
    </row>
    <row r="22" spans="1:71" x14ac:dyDescent="0.2">
      <c r="A22" s="2" t="s">
        <v>238</v>
      </c>
      <c r="B22" s="2" t="s">
        <v>239</v>
      </c>
      <c r="C22" s="11" t="s">
        <v>79</v>
      </c>
      <c r="D22" s="26">
        <f>'Growth calculation'!G23</f>
        <v>3.3678864849488788E-2</v>
      </c>
      <c r="E22" s="27">
        <v>59500</v>
      </c>
      <c r="F22" s="12">
        <v>2025</v>
      </c>
      <c r="G22" s="2" t="s">
        <v>162</v>
      </c>
      <c r="H22" s="27">
        <v>13090</v>
      </c>
      <c r="I22" s="27">
        <v>17010</v>
      </c>
      <c r="J22" s="27">
        <v>18030</v>
      </c>
      <c r="K22" s="27">
        <v>19310</v>
      </c>
      <c r="L22" s="27">
        <v>20580</v>
      </c>
      <c r="M22" s="27">
        <v>23170</v>
      </c>
      <c r="N22" s="27">
        <v>23410</v>
      </c>
      <c r="O22" s="27">
        <v>25090</v>
      </c>
      <c r="P22" s="27">
        <v>27070</v>
      </c>
      <c r="Q22" s="27">
        <v>28550</v>
      </c>
      <c r="R22" s="27">
        <v>28450</v>
      </c>
      <c r="S22" s="27">
        <v>26530</v>
      </c>
      <c r="T22" s="27">
        <v>25980</v>
      </c>
      <c r="U22" s="27">
        <v>25890</v>
      </c>
      <c r="V22" s="27">
        <v>24460</v>
      </c>
      <c r="W22" s="27">
        <v>24060</v>
      </c>
      <c r="X22" s="27">
        <v>27100</v>
      </c>
      <c r="Y22" s="27">
        <v>32910</v>
      </c>
      <c r="Z22" s="27">
        <v>37780</v>
      </c>
      <c r="AA22" s="27">
        <v>39940</v>
      </c>
      <c r="AB22" s="27">
        <v>42740</v>
      </c>
      <c r="AC22" s="27">
        <v>46570</v>
      </c>
      <c r="AD22" s="27">
        <v>47120</v>
      </c>
      <c r="AE22" s="27">
        <v>47110</v>
      </c>
      <c r="AF22" s="27">
        <v>46720</v>
      </c>
      <c r="AG22" s="27">
        <v>47170</v>
      </c>
      <c r="AH22" s="27">
        <v>47950</v>
      </c>
      <c r="AI22" s="27">
        <v>48050</v>
      </c>
      <c r="AJ22" s="27">
        <v>45520</v>
      </c>
      <c r="AK22" s="27">
        <v>43240</v>
      </c>
      <c r="AL22" s="27">
        <v>42310</v>
      </c>
      <c r="AM22" s="27">
        <v>45980</v>
      </c>
      <c r="AN22" s="27">
        <v>48070</v>
      </c>
      <c r="AO22" s="27">
        <v>46330</v>
      </c>
      <c r="AP22" s="27">
        <v>51140</v>
      </c>
      <c r="AQ22" s="27">
        <v>54330</v>
      </c>
      <c r="AR22" s="27">
        <v>55520</v>
      </c>
      <c r="AS22" s="27">
        <v>55290</v>
      </c>
      <c r="AT22" s="27">
        <v>59500</v>
      </c>
      <c r="AU22" s="29">
        <f t="shared" si="3"/>
        <v>61503.892458544586</v>
      </c>
      <c r="AV22" s="29">
        <f t="shared" ref="AV22:BS22" si="17">AU22*(1+$D22)</f>
        <v>63575.273740373399</v>
      </c>
      <c r="AW22" s="29">
        <f t="shared" si="17"/>
        <v>65716.416792444681</v>
      </c>
      <c r="AX22" s="29">
        <f t="shared" si="17"/>
        <v>67929.671111990101</v>
      </c>
      <c r="AY22" s="29">
        <f t="shared" si="17"/>
        <v>70217.465324641045</v>
      </c>
      <c r="AZ22" s="29">
        <f t="shared" si="17"/>
        <v>72582.309849383295</v>
      </c>
      <c r="BA22" s="29">
        <f t="shared" si="17"/>
        <v>75026.799653264388</v>
      </c>
      <c r="BB22" s="29">
        <f t="shared" si="17"/>
        <v>77553.617098876348</v>
      </c>
      <c r="BC22" s="29">
        <f t="shared" si="17"/>
        <v>80165.534887738409</v>
      </c>
      <c r="BD22" s="29">
        <f t="shared" si="17"/>
        <v>82865.419102809523</v>
      </c>
      <c r="BE22" s="29">
        <f t="shared" si="17"/>
        <v>85656.232353469284</v>
      </c>
      <c r="BF22" s="29">
        <f t="shared" si="17"/>
        <v>88541.037026418184</v>
      </c>
      <c r="BG22" s="29">
        <f t="shared" si="17"/>
        <v>91522.998646064501</v>
      </c>
      <c r="BH22" s="29">
        <f t="shared" si="17"/>
        <v>94605.389348085257</v>
      </c>
      <c r="BI22" s="29">
        <f t="shared" si="17"/>
        <v>97791.591469972685</v>
      </c>
      <c r="BJ22" s="29">
        <f t="shared" si="17"/>
        <v>101085.10126250632</v>
      </c>
      <c r="BK22" s="29">
        <f t="shared" si="17"/>
        <v>104489.53272622316</v>
      </c>
      <c r="BL22" s="29">
        <f t="shared" si="17"/>
        <v>108008.62157709587</v>
      </c>
      <c r="BM22" s="29">
        <f t="shared" si="17"/>
        <v>111646.22934577045</v>
      </c>
      <c r="BN22" s="29">
        <f t="shared" si="17"/>
        <v>115406.34761486169</v>
      </c>
      <c r="BO22" s="29">
        <f t="shared" si="17"/>
        <v>119293.10239895574</v>
      </c>
      <c r="BP22" s="29">
        <f t="shared" si="17"/>
        <v>123310.75867212639</v>
      </c>
      <c r="BQ22" s="29">
        <f t="shared" si="17"/>
        <v>127463.72504793286</v>
      </c>
      <c r="BR22" s="29">
        <f t="shared" si="17"/>
        <v>131756.55861703461</v>
      </c>
      <c r="BS22" s="29">
        <f t="shared" si="17"/>
        <v>136193.96994773147</v>
      </c>
    </row>
    <row r="23" spans="1:71" x14ac:dyDescent="0.2">
      <c r="A23" s="2" t="s">
        <v>240</v>
      </c>
      <c r="B23" s="2" t="s">
        <v>241</v>
      </c>
      <c r="C23" s="11" t="s">
        <v>82</v>
      </c>
      <c r="D23" s="26">
        <f>'Growth calculation'!G24</f>
        <v>3.2319336080184669E-2</v>
      </c>
      <c r="E23" s="27">
        <v>7530</v>
      </c>
      <c r="F23" s="12">
        <v>2025</v>
      </c>
      <c r="G23" s="2" t="s">
        <v>162</v>
      </c>
      <c r="H23" s="27">
        <v>2200</v>
      </c>
      <c r="I23" s="27">
        <v>2550</v>
      </c>
      <c r="J23" s="27">
        <v>2830</v>
      </c>
      <c r="K23" s="27">
        <v>3080</v>
      </c>
      <c r="L23" s="27">
        <v>3320</v>
      </c>
      <c r="M23" s="27">
        <v>3690</v>
      </c>
      <c r="N23" s="27">
        <v>3830</v>
      </c>
      <c r="O23" s="27">
        <v>3800</v>
      </c>
      <c r="P23" s="27">
        <v>3890</v>
      </c>
      <c r="Q23" s="27">
        <v>3910</v>
      </c>
      <c r="R23" s="27">
        <v>3950</v>
      </c>
      <c r="S23" s="27">
        <v>3860</v>
      </c>
      <c r="T23" s="27">
        <v>4060</v>
      </c>
      <c r="U23" s="27">
        <v>4470</v>
      </c>
      <c r="V23" s="27">
        <v>4470</v>
      </c>
      <c r="W23" s="27">
        <v>4550</v>
      </c>
      <c r="X23" s="27">
        <v>4820</v>
      </c>
      <c r="Y23" s="27">
        <v>5000</v>
      </c>
      <c r="Z23" s="27">
        <v>5050</v>
      </c>
      <c r="AA23" s="27">
        <v>5160</v>
      </c>
      <c r="AB23" s="27">
        <v>5210</v>
      </c>
      <c r="AC23" s="27">
        <v>5170</v>
      </c>
      <c r="AD23" s="27">
        <v>5280</v>
      </c>
      <c r="AE23" s="27">
        <v>5060</v>
      </c>
      <c r="AF23" s="27">
        <v>5160</v>
      </c>
      <c r="AG23" s="27">
        <v>5330</v>
      </c>
      <c r="AH23" s="27">
        <v>5580</v>
      </c>
      <c r="AI23" s="27">
        <v>5670</v>
      </c>
      <c r="AJ23" s="27">
        <v>5790</v>
      </c>
      <c r="AK23" s="27">
        <v>5640</v>
      </c>
      <c r="AL23" s="27">
        <v>5490</v>
      </c>
      <c r="AM23" s="27">
        <v>5610</v>
      </c>
      <c r="AN23" s="27">
        <v>5850</v>
      </c>
      <c r="AO23" s="27">
        <v>5170</v>
      </c>
      <c r="AP23" s="27">
        <v>6120</v>
      </c>
      <c r="AQ23" s="27">
        <v>6710</v>
      </c>
      <c r="AR23" s="27">
        <v>6850</v>
      </c>
      <c r="AS23" s="27">
        <v>7150</v>
      </c>
      <c r="AT23" s="27">
        <v>7530</v>
      </c>
      <c r="AU23" s="29">
        <f t="shared" si="3"/>
        <v>7773.3646006837917</v>
      </c>
      <c r="AV23" s="29">
        <f t="shared" ref="AV23:BS23" si="18">AU23*(1+$D23)</f>
        <v>8024.5945836871024</v>
      </c>
      <c r="AW23" s="29">
        <f t="shared" si="18"/>
        <v>8283.9441529445157</v>
      </c>
      <c r="AX23" s="29">
        <f t="shared" si="18"/>
        <v>8551.6757280930105</v>
      </c>
      <c r="AY23" s="29">
        <f t="shared" si="18"/>
        <v>8828.0602099980078</v>
      </c>
      <c r="AZ23" s="29">
        <f t="shared" si="18"/>
        <v>9113.3772548610395</v>
      </c>
      <c r="BA23" s="29">
        <f t="shared" si="18"/>
        <v>9407.9155571864048</v>
      </c>
      <c r="BB23" s="29">
        <f t="shared" si="18"/>
        <v>9711.9731418931115</v>
      </c>
      <c r="BC23" s="29">
        <f t="shared" si="18"/>
        <v>10025.857665867683</v>
      </c>
      <c r="BD23" s="29">
        <f t="shared" si="18"/>
        <v>10349.886729262958</v>
      </c>
      <c r="BE23" s="29">
        <f t="shared" si="18"/>
        <v>10684.388196857852</v>
      </c>
      <c r="BF23" s="29">
        <f t="shared" si="18"/>
        <v>11029.70052980326</v>
      </c>
      <c r="BG23" s="29">
        <f t="shared" si="18"/>
        <v>11386.173128089764</v>
      </c>
      <c r="BH23" s="29">
        <f t="shared" si="18"/>
        <v>11754.166684083666</v>
      </c>
      <c r="BI23" s="29">
        <f t="shared" si="18"/>
        <v>12134.053547489077</v>
      </c>
      <c r="BJ23" s="29">
        <f t="shared" si="18"/>
        <v>12526.218102105335</v>
      </c>
      <c r="BK23" s="29">
        <f t="shared" si="18"/>
        <v>12931.057154760971</v>
      </c>
      <c r="BL23" s="29">
        <f t="shared" si="18"/>
        <v>13348.980336817769</v>
      </c>
      <c r="BM23" s="29">
        <f t="shared" si="18"/>
        <v>13780.410518651161</v>
      </c>
      <c r="BN23" s="29">
        <f t="shared" si="18"/>
        <v>14225.784237526361</v>
      </c>
      <c r="BO23" s="29">
        <f t="shared" si="18"/>
        <v>14685.55213930317</v>
      </c>
      <c r="BP23" s="29">
        <f t="shared" si="18"/>
        <v>15160.179434416386</v>
      </c>
      <c r="BQ23" s="29">
        <f t="shared" si="18"/>
        <v>15650.146368593196</v>
      </c>
      <c r="BR23" s="29">
        <f t="shared" si="18"/>
        <v>16155.948708783842</v>
      </c>
      <c r="BS23" s="29">
        <f t="shared" si="18"/>
        <v>16678.098244797256</v>
      </c>
    </row>
    <row r="24" spans="1:71" x14ac:dyDescent="0.2">
      <c r="A24" s="2" t="s">
        <v>242</v>
      </c>
      <c r="B24" s="2" t="s">
        <v>243</v>
      </c>
      <c r="C24" s="11" t="s">
        <v>210</v>
      </c>
      <c r="D24" s="26">
        <f>'Growth calculation'!G25</f>
        <v>3.6709917780061718E-2</v>
      </c>
      <c r="E24" s="27">
        <v>1600</v>
      </c>
      <c r="F24" s="12">
        <v>2025</v>
      </c>
      <c r="G24" s="2" t="s">
        <v>162</v>
      </c>
      <c r="H24" s="27">
        <v>290</v>
      </c>
      <c r="I24" s="27">
        <v>340</v>
      </c>
      <c r="J24" s="27">
        <v>320</v>
      </c>
      <c r="K24" s="27">
        <v>350</v>
      </c>
      <c r="L24" s="27">
        <v>360</v>
      </c>
      <c r="M24" s="27">
        <v>350</v>
      </c>
      <c r="N24" s="27">
        <v>360</v>
      </c>
      <c r="O24" s="27">
        <v>310</v>
      </c>
      <c r="P24" s="27">
        <v>340</v>
      </c>
      <c r="Q24" s="27">
        <v>330</v>
      </c>
      <c r="R24" s="27">
        <v>360</v>
      </c>
      <c r="S24" s="27">
        <v>350</v>
      </c>
      <c r="T24" s="27">
        <v>390</v>
      </c>
      <c r="U24" s="27">
        <v>450</v>
      </c>
      <c r="V24" s="27">
        <v>510</v>
      </c>
      <c r="W24" s="27">
        <v>510</v>
      </c>
      <c r="X24" s="27">
        <v>570</v>
      </c>
      <c r="Y24" s="27">
        <v>690</v>
      </c>
      <c r="Z24" s="27">
        <v>780</v>
      </c>
      <c r="AA24" s="27">
        <v>810</v>
      </c>
      <c r="AB24" s="27">
        <v>870</v>
      </c>
      <c r="AC24" s="27">
        <v>970</v>
      </c>
      <c r="AD24" s="27">
        <v>1020</v>
      </c>
      <c r="AE24" s="27">
        <v>1020</v>
      </c>
      <c r="AF24" s="27">
        <v>1030</v>
      </c>
      <c r="AG24" s="27">
        <v>1050</v>
      </c>
      <c r="AH24" s="27">
        <v>1140</v>
      </c>
      <c r="AI24" s="27">
        <v>1180</v>
      </c>
      <c r="AJ24" s="27">
        <v>1100</v>
      </c>
      <c r="AK24" s="27">
        <v>1040</v>
      </c>
      <c r="AL24" s="27">
        <v>1020</v>
      </c>
      <c r="AM24" s="27">
        <v>1120</v>
      </c>
      <c r="AN24" s="27">
        <v>1170</v>
      </c>
      <c r="AO24" s="27">
        <v>1190</v>
      </c>
      <c r="AP24" s="27">
        <v>1280</v>
      </c>
      <c r="AQ24" s="27">
        <v>1360</v>
      </c>
      <c r="AR24" s="27">
        <v>1390</v>
      </c>
      <c r="AS24" s="27">
        <v>1430</v>
      </c>
      <c r="AT24" s="27">
        <v>1600</v>
      </c>
      <c r="AU24" s="29">
        <f t="shared" si="3"/>
        <v>1658.7358684480989</v>
      </c>
      <c r="AV24" s="29">
        <f t="shared" ref="AV24:BS24" si="19">AU24*(1+$D24)</f>
        <v>1719.627925797668</v>
      </c>
      <c r="AW24" s="29">
        <f t="shared" si="19"/>
        <v>1782.7553255659986</v>
      </c>
      <c r="AX24" s="29">
        <f t="shared" si="19"/>
        <v>1848.2001269894938</v>
      </c>
      <c r="AY24" s="29">
        <f t="shared" si="19"/>
        <v>1916.0474016923779</v>
      </c>
      <c r="AZ24" s="29">
        <f t="shared" si="19"/>
        <v>1986.3853442712061</v>
      </c>
      <c r="BA24" s="29">
        <f t="shared" si="19"/>
        <v>2059.3053869389219</v>
      </c>
      <c r="BB24" s="29">
        <f t="shared" si="19"/>
        <v>2134.902318377488</v>
      </c>
      <c r="BC24" s="29">
        <f t="shared" si="19"/>
        <v>2213.2744069535888</v>
      </c>
      <c r="BD24" s="29">
        <f t="shared" si="19"/>
        <v>2294.5235284575701</v>
      </c>
      <c r="BE24" s="29">
        <f t="shared" si="19"/>
        <v>2378.7552985316647</v>
      </c>
      <c r="BF24" s="29">
        <f t="shared" si="19"/>
        <v>2466.0792099596488</v>
      </c>
      <c r="BG24" s="29">
        <f t="shared" si="19"/>
        <v>2556.6087749963872</v>
      </c>
      <c r="BH24" s="29">
        <f t="shared" si="19"/>
        <v>2650.4616729222889</v>
      </c>
      <c r="BI24" s="29">
        <f t="shared" si="19"/>
        <v>2747.7599030144711</v>
      </c>
      <c r="BJ24" s="29">
        <f t="shared" si="19"/>
        <v>2848.6299431334828</v>
      </c>
      <c r="BK24" s="29">
        <f t="shared" si="19"/>
        <v>2953.2029141317353</v>
      </c>
      <c r="BL24" s="29">
        <f t="shared" si="19"/>
        <v>3061.6147502973504</v>
      </c>
      <c r="BM24" s="29">
        <f t="shared" si="19"/>
        <v>3174.0063760549906</v>
      </c>
      <c r="BN24" s="29">
        <f t="shared" si="19"/>
        <v>3290.5238891533613</v>
      </c>
      <c r="BO24" s="29">
        <f t="shared" si="19"/>
        <v>3411.3187505775104</v>
      </c>
      <c r="BP24" s="29">
        <f t="shared" si="19"/>
        <v>3536.5479814327941</v>
      </c>
      <c r="BQ24" s="29">
        <f t="shared" si="19"/>
        <v>3666.3743670564359</v>
      </c>
      <c r="BR24" s="29">
        <f t="shared" si="19"/>
        <v>3800.9666686220039</v>
      </c>
      <c r="BS24" s="29">
        <f t="shared" si="19"/>
        <v>3940.4998425118733</v>
      </c>
    </row>
    <row r="25" spans="1:71" x14ac:dyDescent="0.2">
      <c r="A25" s="2" t="s">
        <v>244</v>
      </c>
      <c r="B25" s="2" t="s">
        <v>245</v>
      </c>
      <c r="C25" s="11" t="s">
        <v>79</v>
      </c>
      <c r="D25" s="26">
        <f>'Growth calculation'!G26</f>
        <v>3.2610611669310785E-2</v>
      </c>
      <c r="E25" s="27">
        <v>139370</v>
      </c>
      <c r="F25" s="12">
        <v>2024</v>
      </c>
      <c r="G25" s="2" t="s">
        <v>162</v>
      </c>
      <c r="H25" s="27"/>
      <c r="I25" s="27"/>
      <c r="J25" s="27"/>
      <c r="K25" s="27"/>
      <c r="L25" s="27"/>
      <c r="M25" s="27"/>
      <c r="N25" s="27"/>
      <c r="O25" s="27"/>
      <c r="P25" s="27"/>
      <c r="Q25" s="27"/>
      <c r="R25" s="27"/>
      <c r="S25" s="27"/>
      <c r="T25" s="27"/>
      <c r="U25" s="27"/>
      <c r="V25" s="27"/>
      <c r="W25" s="27"/>
      <c r="X25" s="27"/>
      <c r="Y25" s="27"/>
      <c r="Z25" s="27"/>
      <c r="AA25" s="27"/>
      <c r="AB25" s="27"/>
      <c r="AC25" s="27"/>
      <c r="AD25" s="27"/>
      <c r="AE25" s="27">
        <v>105750</v>
      </c>
      <c r="AF25" s="27">
        <v>102930</v>
      </c>
      <c r="AG25" s="27">
        <v>101910</v>
      </c>
      <c r="AH25" s="27">
        <v>104040</v>
      </c>
      <c r="AI25" s="27">
        <v>102450</v>
      </c>
      <c r="AJ25" s="27">
        <v>103940</v>
      </c>
      <c r="AK25" s="27">
        <v>105430</v>
      </c>
      <c r="AL25" s="27">
        <v>113460</v>
      </c>
      <c r="AM25" s="27">
        <v>117160</v>
      </c>
      <c r="AN25" s="27">
        <v>116920</v>
      </c>
      <c r="AO25" s="27">
        <v>110850</v>
      </c>
      <c r="AP25" s="27">
        <v>120460</v>
      </c>
      <c r="AQ25" s="27">
        <v>131560</v>
      </c>
      <c r="AR25" s="27">
        <v>133460</v>
      </c>
      <c r="AS25" s="27">
        <v>139370</v>
      </c>
      <c r="AT25" s="27"/>
      <c r="AU25" s="29">
        <f t="shared" si="3"/>
        <v>143914.94094835184</v>
      </c>
      <c r="AV25" s="29">
        <f t="shared" ref="AV25:BS25" si="20">AU25*(1+$D25)</f>
        <v>148608.09520103034</v>
      </c>
      <c r="AW25" s="29">
        <f t="shared" si="20"/>
        <v>153454.29608454712</v>
      </c>
      <c r="AX25" s="29">
        <f t="shared" si="20"/>
        <v>158458.53454314772</v>
      </c>
      <c r="AY25" s="29">
        <f t="shared" si="20"/>
        <v>163625.96427882239</v>
      </c>
      <c r="AZ25" s="29">
        <f t="shared" si="20"/>
        <v>168961.90705893558</v>
      </c>
      <c r="BA25" s="29">
        <f t="shared" si="20"/>
        <v>174471.85819694071</v>
      </c>
      <c r="BB25" s="29">
        <f t="shared" si="20"/>
        <v>180161.4922118242</v>
      </c>
      <c r="BC25" s="29">
        <f t="shared" si="20"/>
        <v>186036.66867210757</v>
      </c>
      <c r="BD25" s="29">
        <f t="shared" si="20"/>
        <v>192103.43823042591</v>
      </c>
      <c r="BE25" s="29">
        <f t="shared" si="20"/>
        <v>198368.04885489776</v>
      </c>
      <c r="BF25" s="29">
        <f t="shared" si="20"/>
        <v>204836.95226370369</v>
      </c>
      <c r="BG25" s="29">
        <f t="shared" si="20"/>
        <v>211516.81056950046</v>
      </c>
      <c r="BH25" s="29">
        <f t="shared" si="20"/>
        <v>218414.50314051361</v>
      </c>
      <c r="BI25" s="29">
        <f t="shared" si="20"/>
        <v>225537.13368537437</v>
      </c>
      <c r="BJ25" s="29">
        <f t="shared" si="20"/>
        <v>232892.03756899753</v>
      </c>
      <c r="BK25" s="29">
        <f t="shared" si="20"/>
        <v>240486.78936703465</v>
      </c>
      <c r="BL25" s="29">
        <f t="shared" si="20"/>
        <v>248329.21066668237</v>
      </c>
      <c r="BM25" s="29">
        <f t="shared" si="20"/>
        <v>256427.37812188003</v>
      </c>
      <c r="BN25" s="29">
        <f t="shared" si="20"/>
        <v>264789.63177119219</v>
      </c>
      <c r="BO25" s="29">
        <f t="shared" si="20"/>
        <v>273424.58362694236</v>
      </c>
      <c r="BP25" s="29">
        <f t="shared" si="20"/>
        <v>282341.12654444354</v>
      </c>
      <c r="BQ25" s="29">
        <f t="shared" si="20"/>
        <v>291548.44338046014</v>
      </c>
      <c r="BR25" s="29">
        <f t="shared" si="20"/>
        <v>301056.01645033236</v>
      </c>
      <c r="BS25" s="29">
        <f t="shared" si="20"/>
        <v>310873.63729350379</v>
      </c>
    </row>
    <row r="26" spans="1:71" x14ac:dyDescent="0.2">
      <c r="A26" s="2" t="s">
        <v>246</v>
      </c>
      <c r="B26" s="2" t="s">
        <v>247</v>
      </c>
      <c r="C26" s="11" t="s">
        <v>210</v>
      </c>
      <c r="D26" s="26">
        <f>'Growth calculation'!G27</f>
        <v>5.7642039850069104E-2</v>
      </c>
      <c r="E26" s="27">
        <v>4310</v>
      </c>
      <c r="F26" s="12">
        <v>2025</v>
      </c>
      <c r="G26" s="2" t="s">
        <v>162</v>
      </c>
      <c r="H26" s="27">
        <v>430</v>
      </c>
      <c r="I26" s="27">
        <v>480</v>
      </c>
      <c r="J26" s="27">
        <v>500</v>
      </c>
      <c r="K26" s="27">
        <v>500</v>
      </c>
      <c r="L26" s="27">
        <v>430</v>
      </c>
      <c r="M26" s="27">
        <v>420</v>
      </c>
      <c r="N26" s="27">
        <v>400</v>
      </c>
      <c r="O26" s="27">
        <v>430</v>
      </c>
      <c r="P26" s="27">
        <v>450</v>
      </c>
      <c r="Q26" s="27">
        <v>500</v>
      </c>
      <c r="R26" s="27">
        <v>550</v>
      </c>
      <c r="S26" s="27">
        <v>520</v>
      </c>
      <c r="T26" s="27">
        <v>550</v>
      </c>
      <c r="U26" s="27">
        <v>710</v>
      </c>
      <c r="V26" s="27">
        <v>780</v>
      </c>
      <c r="W26" s="27">
        <v>860</v>
      </c>
      <c r="X26" s="27">
        <v>960</v>
      </c>
      <c r="Y26" s="27">
        <v>1090</v>
      </c>
      <c r="Z26" s="27">
        <v>1260</v>
      </c>
      <c r="AA26" s="27">
        <v>1390</v>
      </c>
      <c r="AB26" s="27">
        <v>1700</v>
      </c>
      <c r="AC26" s="27">
        <v>1850</v>
      </c>
      <c r="AD26" s="27">
        <v>1980</v>
      </c>
      <c r="AE26" s="27">
        <v>2180</v>
      </c>
      <c r="AF26" s="27">
        <v>2430</v>
      </c>
      <c r="AG26" s="27">
        <v>2620</v>
      </c>
      <c r="AH26" s="27">
        <v>2630</v>
      </c>
      <c r="AI26" s="27">
        <v>2670</v>
      </c>
      <c r="AJ26" s="27">
        <v>2740</v>
      </c>
      <c r="AK26" s="27">
        <v>2880</v>
      </c>
      <c r="AL26" s="27">
        <v>2960</v>
      </c>
      <c r="AM26" s="27">
        <v>3150</v>
      </c>
      <c r="AN26" s="27">
        <v>3370</v>
      </c>
      <c r="AO26" s="27">
        <v>3040</v>
      </c>
      <c r="AP26" s="27">
        <v>3300</v>
      </c>
      <c r="AQ26" s="27">
        <v>3600</v>
      </c>
      <c r="AR26" s="27">
        <v>3730</v>
      </c>
      <c r="AS26" s="27">
        <v>3910</v>
      </c>
      <c r="AT26" s="27">
        <v>4310</v>
      </c>
      <c r="AU26" s="29">
        <f t="shared" si="3"/>
        <v>4558.4371917537974</v>
      </c>
      <c r="AV26" s="29">
        <f t="shared" ref="AV26:BS26" si="21">AU26*(1+$D26)</f>
        <v>4821.1948100149066</v>
      </c>
      <c r="AW26" s="29">
        <f t="shared" si="21"/>
        <v>5099.0983133787313</v>
      </c>
      <c r="AX26" s="29">
        <f t="shared" si="21"/>
        <v>5393.020741557928</v>
      </c>
      <c r="AY26" s="29">
        <f t="shared" si="21"/>
        <v>5703.8854580550587</v>
      </c>
      <c r="AZ26" s="29">
        <f t="shared" si="21"/>
        <v>6032.6690509284972</v>
      </c>
      <c r="BA26" s="29">
        <f t="shared" si="21"/>
        <v>6380.4044007643952</v>
      </c>
      <c r="BB26" s="29">
        <f t="shared" si="21"/>
        <v>6748.1839254928118</v>
      </c>
      <c r="BC26" s="29">
        <f t="shared" si="21"/>
        <v>7137.1630122416636</v>
      </c>
      <c r="BD26" s="29">
        <f t="shared" si="21"/>
        <v>7548.5636470097361</v>
      </c>
      <c r="BE26" s="29">
        <f t="shared" si="21"/>
        <v>7983.6782535614539</v>
      </c>
      <c r="BF26" s="29">
        <f t="shared" si="21"/>
        <v>8443.8737536033732</v>
      </c>
      <c r="BG26" s="29">
        <f t="shared" si="21"/>
        <v>8930.5958609975296</v>
      </c>
      <c r="BH26" s="29">
        <f t="shared" si="21"/>
        <v>9445.3736235020097</v>
      </c>
      <c r="BI26" s="29">
        <f t="shared" si="21"/>
        <v>9989.8242263067023</v>
      </c>
      <c r="BJ26" s="29">
        <f t="shared" si="21"/>
        <v>10565.658072454658</v>
      </c>
      <c r="BK26" s="29">
        <f t="shared" si="21"/>
        <v>11174.684156109293</v>
      </c>
      <c r="BL26" s="29">
        <f t="shared" si="21"/>
        <v>11818.815745547679</v>
      </c>
      <c r="BM26" s="29">
        <f t="shared" si="21"/>
        <v>12500.076393733161</v>
      </c>
      <c r="BN26" s="29">
        <f t="shared" si="21"/>
        <v>13220.606295349635</v>
      </c>
      <c r="BO26" s="29">
        <f t="shared" si="21"/>
        <v>13982.669010268251</v>
      </c>
      <c r="BP26" s="29">
        <f t="shared" si="21"/>
        <v>14788.658574568459</v>
      </c>
      <c r="BQ26" s="29">
        <f t="shared" si="21"/>
        <v>15641.107021452799</v>
      </c>
      <c r="BR26" s="29">
        <f t="shared" si="21"/>
        <v>16542.692335682576</v>
      </c>
      <c r="BS26" s="29">
        <f t="shared" si="21"/>
        <v>17496.246866523423</v>
      </c>
    </row>
    <row r="27" spans="1:71" x14ac:dyDescent="0.2">
      <c r="A27" s="2" t="s">
        <v>248</v>
      </c>
      <c r="B27" s="2" t="s">
        <v>249</v>
      </c>
      <c r="C27" s="11" t="s">
        <v>210</v>
      </c>
      <c r="D27" s="26">
        <f>'Growth calculation'!G28</f>
        <v>5.6312656641604009E-2</v>
      </c>
      <c r="E27" s="27">
        <v>4420</v>
      </c>
      <c r="F27" s="12">
        <v>2025</v>
      </c>
      <c r="G27" s="2" t="s">
        <v>162</v>
      </c>
      <c r="H27" s="27">
        <v>690</v>
      </c>
      <c r="I27" s="27">
        <v>690</v>
      </c>
      <c r="J27" s="27">
        <v>690</v>
      </c>
      <c r="K27" s="27">
        <v>690</v>
      </c>
      <c r="L27" s="27">
        <v>710</v>
      </c>
      <c r="M27" s="27">
        <v>740</v>
      </c>
      <c r="N27" s="27">
        <v>760</v>
      </c>
      <c r="O27" s="27">
        <v>790</v>
      </c>
      <c r="P27" s="27">
        <v>820</v>
      </c>
      <c r="Q27" s="27">
        <v>870</v>
      </c>
      <c r="R27" s="27">
        <v>930</v>
      </c>
      <c r="S27" s="27">
        <v>960</v>
      </c>
      <c r="T27" s="27">
        <v>950</v>
      </c>
      <c r="U27" s="27">
        <v>960</v>
      </c>
      <c r="V27" s="27">
        <v>930</v>
      </c>
      <c r="W27" s="27">
        <v>900</v>
      </c>
      <c r="X27" s="27">
        <v>890</v>
      </c>
      <c r="Y27" s="27">
        <v>940</v>
      </c>
      <c r="Z27" s="27">
        <v>1000</v>
      </c>
      <c r="AA27" s="27">
        <v>1090</v>
      </c>
      <c r="AB27" s="27">
        <v>1210</v>
      </c>
      <c r="AC27" s="27">
        <v>1460</v>
      </c>
      <c r="AD27" s="27">
        <v>1600</v>
      </c>
      <c r="AE27" s="27">
        <v>1760</v>
      </c>
      <c r="AF27" s="27">
        <v>1970</v>
      </c>
      <c r="AG27" s="27">
        <v>2220</v>
      </c>
      <c r="AH27" s="27">
        <v>2550</v>
      </c>
      <c r="AI27" s="27">
        <v>2800</v>
      </c>
      <c r="AJ27" s="27">
        <v>2920</v>
      </c>
      <c r="AK27" s="27">
        <v>3000</v>
      </c>
      <c r="AL27" s="27">
        <v>3250</v>
      </c>
      <c r="AM27" s="27">
        <v>3730</v>
      </c>
      <c r="AN27" s="27">
        <v>4170</v>
      </c>
      <c r="AO27" s="27">
        <v>3620</v>
      </c>
      <c r="AP27" s="27">
        <v>3990</v>
      </c>
      <c r="AQ27" s="27">
        <v>4190</v>
      </c>
      <c r="AR27" s="27">
        <v>4230</v>
      </c>
      <c r="AS27" s="27">
        <v>4160</v>
      </c>
      <c r="AT27" s="27">
        <v>4420</v>
      </c>
      <c r="AU27" s="29">
        <f t="shared" si="3"/>
        <v>4668.9019423558893</v>
      </c>
      <c r="AV27" s="29">
        <f t="shared" ref="AV27:BS27" si="22">AU27*(1+$D27)</f>
        <v>4931.8202143290937</v>
      </c>
      <c r="AW27" s="29">
        <f t="shared" si="22"/>
        <v>5209.5441126767291</v>
      </c>
      <c r="AX27" s="29">
        <f t="shared" si="22"/>
        <v>5502.9073815531829</v>
      </c>
      <c r="AY27" s="29">
        <f t="shared" si="22"/>
        <v>5812.7907154611348</v>
      </c>
      <c r="AZ27" s="29">
        <f t="shared" si="22"/>
        <v>6140.1244031504011</v>
      </c>
      <c r="BA27" s="29">
        <f t="shared" si="22"/>
        <v>6485.8911204017431</v>
      </c>
      <c r="BB27" s="29">
        <f t="shared" si="22"/>
        <v>6851.1288800797538</v>
      </c>
      <c r="BC27" s="29">
        <f t="shared" si="22"/>
        <v>7236.9341483110611</v>
      </c>
      <c r="BD27" s="29">
        <f t="shared" si="22"/>
        <v>7644.4651361428005</v>
      </c>
      <c r="BE27" s="29">
        <f t="shared" si="22"/>
        <v>8074.9452765631222</v>
      </c>
      <c r="BF27" s="29">
        <f t="shared" si="22"/>
        <v>8529.6668973219621</v>
      </c>
      <c r="BG27" s="29">
        <f t="shared" si="22"/>
        <v>9009.9951005781095</v>
      </c>
      <c r="BH27" s="29">
        <f t="shared" si="22"/>
        <v>9517.3718610194974</v>
      </c>
      <c r="BI27" s="29">
        <f t="shared" si="22"/>
        <v>10053.320354759551</v>
      </c>
      <c r="BJ27" s="29">
        <f t="shared" si="22"/>
        <v>10619.449532005174</v>
      </c>
      <c r="BK27" s="29">
        <f t="shared" si="22"/>
        <v>11217.458947223822</v>
      </c>
      <c r="BL27" s="29">
        <f t="shared" si="22"/>
        <v>11849.143861310125</v>
      </c>
      <c r="BM27" s="29">
        <f t="shared" si="22"/>
        <v>12516.400631069051</v>
      </c>
      <c r="BN27" s="29">
        <f t="shared" si="22"/>
        <v>13221.232402195197</v>
      </c>
      <c r="BO27" s="29">
        <f t="shared" si="22"/>
        <v>13965.755122838864</v>
      </c>
      <c r="BP27" s="29">
        <f t="shared" si="22"/>
        <v>14752.20389581201</v>
      </c>
      <c r="BQ27" s="29">
        <f t="shared" si="22"/>
        <v>15582.939688503804</v>
      </c>
      <c r="BR27" s="29">
        <f t="shared" si="22"/>
        <v>16460.456420649341</v>
      </c>
      <c r="BS27" s="29">
        <f t="shared" si="22"/>
        <v>17387.388451229453</v>
      </c>
    </row>
    <row r="28" spans="1:71" x14ac:dyDescent="0.2">
      <c r="A28" s="2" t="s">
        <v>250</v>
      </c>
      <c r="B28" s="2" t="s">
        <v>251</v>
      </c>
      <c r="C28" s="11" t="s">
        <v>82</v>
      </c>
      <c r="D28" s="26">
        <f>'Growth calculation'!G29</f>
        <v>7.717477075453727E-2</v>
      </c>
      <c r="E28" s="27">
        <v>9940</v>
      </c>
      <c r="F28" s="12">
        <v>2025</v>
      </c>
      <c r="G28" s="2" t="s">
        <v>162</v>
      </c>
      <c r="H28" s="27"/>
      <c r="I28" s="27"/>
      <c r="J28" s="27"/>
      <c r="K28" s="27"/>
      <c r="L28" s="27"/>
      <c r="M28" s="27">
        <v>1140</v>
      </c>
      <c r="N28" s="27">
        <v>980</v>
      </c>
      <c r="O28" s="27">
        <v>580</v>
      </c>
      <c r="P28" s="27">
        <v>510</v>
      </c>
      <c r="Q28" s="27">
        <v>640</v>
      </c>
      <c r="R28" s="27">
        <v>900</v>
      </c>
      <c r="S28" s="27">
        <v>1230</v>
      </c>
      <c r="T28" s="27">
        <v>1270</v>
      </c>
      <c r="U28" s="27">
        <v>1340</v>
      </c>
      <c r="V28" s="27">
        <v>1430</v>
      </c>
      <c r="W28" s="27">
        <v>1590</v>
      </c>
      <c r="X28" s="27">
        <v>1860</v>
      </c>
      <c r="Y28" s="27">
        <v>2360</v>
      </c>
      <c r="Z28" s="27">
        <v>2810</v>
      </c>
      <c r="AA28" s="27">
        <v>3160</v>
      </c>
      <c r="AB28" s="27">
        <v>3680</v>
      </c>
      <c r="AC28" s="27">
        <v>4500</v>
      </c>
      <c r="AD28" s="27">
        <v>4790</v>
      </c>
      <c r="AE28" s="27">
        <v>4820</v>
      </c>
      <c r="AF28" s="27">
        <v>4900</v>
      </c>
      <c r="AG28" s="27">
        <v>4900</v>
      </c>
      <c r="AH28" s="27">
        <v>5170</v>
      </c>
      <c r="AI28" s="27">
        <v>5180</v>
      </c>
      <c r="AJ28" s="27">
        <v>5140</v>
      </c>
      <c r="AK28" s="27">
        <v>5070</v>
      </c>
      <c r="AL28" s="27">
        <v>5070</v>
      </c>
      <c r="AM28" s="27">
        <v>5720</v>
      </c>
      <c r="AN28" s="27">
        <v>6180</v>
      </c>
      <c r="AO28" s="27">
        <v>6160</v>
      </c>
      <c r="AP28" s="27">
        <v>6970</v>
      </c>
      <c r="AQ28" s="27">
        <v>7710</v>
      </c>
      <c r="AR28" s="27">
        <v>8280</v>
      </c>
      <c r="AS28" s="27">
        <v>8810</v>
      </c>
      <c r="AT28" s="27">
        <v>9940</v>
      </c>
      <c r="AU28" s="29">
        <f t="shared" si="3"/>
        <v>10707.117221300101</v>
      </c>
      <c r="AV28" s="29">
        <f t="shared" ref="AV28:BS28" si="23">AU28*(1+$D28)</f>
        <v>11533.436538295895</v>
      </c>
      <c r="AW28" s="29">
        <f t="shared" si="23"/>
        <v>12423.526859150887</v>
      </c>
      <c r="AX28" s="29">
        <f t="shared" si="23"/>
        <v>13382.309696468694</v>
      </c>
      <c r="AY28" s="29">
        <f t="shared" si="23"/>
        <v>14415.086379459888</v>
      </c>
      <c r="AZ28" s="29">
        <f t="shared" si="23"/>
        <v>15527.56736620156</v>
      </c>
      <c r="BA28" s="29">
        <f t="shared" si="23"/>
        <v>16725.903818063802</v>
      </c>
      <c r="BB28" s="29">
        <f t="shared" si="23"/>
        <v>18016.721610885317</v>
      </c>
      <c r="BC28" s="29">
        <f t="shared" si="23"/>
        <v>19407.157970953711</v>
      </c>
      <c r="BD28" s="29">
        <f t="shared" si="23"/>
        <v>20904.900938359155</v>
      </c>
      <c r="BE28" s="29">
        <f t="shared" si="23"/>
        <v>22518.231875923335</v>
      </c>
      <c r="BF28" s="29">
        <f t="shared" si="23"/>
        <v>24256.071258745236</v>
      </c>
      <c r="BG28" s="29">
        <f t="shared" si="23"/>
        <v>26128.027997544621</v>
      </c>
      <c r="BH28" s="29">
        <f t="shared" si="23"/>
        <v>28144.452568523262</v>
      </c>
      <c r="BI28" s="29">
        <f t="shared" si="23"/>
        <v>30316.494243510995</v>
      </c>
      <c r="BJ28" s="29">
        <f t="shared" si="23"/>
        <v>32656.162736835209</v>
      </c>
      <c r="BK28" s="29">
        <f t="shared" si="23"/>
        <v>35176.394609773335</v>
      </c>
      <c r="BL28" s="29">
        <f t="shared" si="23"/>
        <v>37891.124799753736</v>
      </c>
      <c r="BM28" s="29">
        <f t="shared" si="23"/>
        <v>40815.363669806298</v>
      </c>
      <c r="BN28" s="29">
        <f t="shared" si="23"/>
        <v>43965.280004286673</v>
      </c>
      <c r="BO28" s="29">
        <f t="shared" si="23"/>
        <v>47358.290409776542</v>
      </c>
      <c r="BP28" s="29">
        <f t="shared" si="23"/>
        <v>51013.155615477852</v>
      </c>
      <c r="BQ28" s="29">
        <f t="shared" si="23"/>
        <v>54950.084205567895</v>
      </c>
      <c r="BR28" s="29">
        <f t="shared" si="23"/>
        <v>59190.844357075126</v>
      </c>
      <c r="BS28" s="29">
        <f t="shared" si="23"/>
        <v>63758.8842010999</v>
      </c>
    </row>
    <row r="29" spans="1:71" x14ac:dyDescent="0.2">
      <c r="A29" s="2" t="s">
        <v>252</v>
      </c>
      <c r="B29" s="2" t="s">
        <v>253</v>
      </c>
      <c r="C29" s="11" t="s">
        <v>82</v>
      </c>
      <c r="D29" s="26">
        <f>'Growth calculation'!G30</f>
        <v>2.9177312892579632E-2</v>
      </c>
      <c r="E29" s="27">
        <v>7390</v>
      </c>
      <c r="F29" s="12">
        <v>2025</v>
      </c>
      <c r="G29" s="2" t="s">
        <v>162</v>
      </c>
      <c r="H29" s="27">
        <v>1290</v>
      </c>
      <c r="I29" s="27">
        <v>1930</v>
      </c>
      <c r="J29" s="27">
        <v>2270</v>
      </c>
      <c r="K29" s="27">
        <v>2680</v>
      </c>
      <c r="L29" s="27">
        <v>3030</v>
      </c>
      <c r="M29" s="27">
        <v>3230</v>
      </c>
      <c r="N29" s="27">
        <v>3280</v>
      </c>
      <c r="O29" s="27">
        <v>2900</v>
      </c>
      <c r="P29" s="27">
        <v>3200</v>
      </c>
      <c r="Q29" s="27">
        <v>3120</v>
      </c>
      <c r="R29" s="27">
        <v>3260</v>
      </c>
      <c r="S29" s="27">
        <v>3150</v>
      </c>
      <c r="T29" s="27">
        <v>3090</v>
      </c>
      <c r="U29" s="27">
        <v>3110</v>
      </c>
      <c r="V29" s="27">
        <v>3190</v>
      </c>
      <c r="W29" s="27">
        <v>2860</v>
      </c>
      <c r="X29" s="27">
        <v>3300</v>
      </c>
      <c r="Y29" s="27">
        <v>3830</v>
      </c>
      <c r="Z29" s="27">
        <v>4830</v>
      </c>
      <c r="AA29" s="27">
        <v>5400</v>
      </c>
      <c r="AB29" s="27">
        <v>5620</v>
      </c>
      <c r="AC29" s="27">
        <v>5470</v>
      </c>
      <c r="AD29" s="27">
        <v>4890</v>
      </c>
      <c r="AE29" s="27">
        <v>5370</v>
      </c>
      <c r="AF29" s="27">
        <v>6500</v>
      </c>
      <c r="AG29" s="27">
        <v>6680</v>
      </c>
      <c r="AH29" s="27">
        <v>6950</v>
      </c>
      <c r="AI29" s="27">
        <v>6990</v>
      </c>
      <c r="AJ29" s="27">
        <v>6140</v>
      </c>
      <c r="AK29" s="27">
        <v>6060</v>
      </c>
      <c r="AL29" s="27">
        <v>6210</v>
      </c>
      <c r="AM29" s="27">
        <v>6680</v>
      </c>
      <c r="AN29" s="27">
        <v>7100</v>
      </c>
      <c r="AO29" s="27">
        <v>6600</v>
      </c>
      <c r="AP29" s="27">
        <v>7440</v>
      </c>
      <c r="AQ29" s="27">
        <v>7690</v>
      </c>
      <c r="AR29" s="27">
        <v>8150</v>
      </c>
      <c r="AS29" s="27">
        <v>7610</v>
      </c>
      <c r="AT29" s="27">
        <v>7390</v>
      </c>
      <c r="AU29" s="29">
        <f t="shared" si="3"/>
        <v>7605.6203422761637</v>
      </c>
      <c r="AV29" s="29">
        <f t="shared" ref="AV29:BS29" si="24">AU29*(1+$D29)</f>
        <v>7827.5319067449236</v>
      </c>
      <c r="AW29" s="29">
        <f t="shared" si="24"/>
        <v>8055.9182543646712</v>
      </c>
      <c r="AX29" s="29">
        <f t="shared" si="24"/>
        <v>8290.9683019093136</v>
      </c>
      <c r="AY29" s="29">
        <f t="shared" si="24"/>
        <v>8532.8764782365815</v>
      </c>
      <c r="AZ29" s="29">
        <f t="shared" si="24"/>
        <v>8781.8428851158224</v>
      </c>
      <c r="BA29" s="29">
        <f t="shared" si="24"/>
        <v>9038.0734627483216</v>
      </c>
      <c r="BB29" s="29">
        <f t="shared" si="24"/>
        <v>9301.7801601170504</v>
      </c>
      <c r="BC29" s="29">
        <f t="shared" si="24"/>
        <v>9573.1811103067757</v>
      </c>
      <c r="BD29" s="29">
        <f t="shared" si="24"/>
        <v>9852.5008109395294</v>
      </c>
      <c r="BE29" s="29">
        <f t="shared" si="24"/>
        <v>10139.970309874707</v>
      </c>
      <c r="BF29" s="29">
        <f t="shared" si="24"/>
        <v>10435.82739632739</v>
      </c>
      <c r="BG29" s="29">
        <f t="shared" si="24"/>
        <v>10740.316797562988</v>
      </c>
      <c r="BH29" s="29">
        <f t="shared" si="24"/>
        <v>11053.690381330911</v>
      </c>
      <c r="BI29" s="29">
        <f t="shared" si="24"/>
        <v>11376.2073642047</v>
      </c>
      <c r="BJ29" s="29">
        <f t="shared" si="24"/>
        <v>11708.134526000969</v>
      </c>
      <c r="BK29" s="29">
        <f t="shared" si="24"/>
        <v>12049.746430454514</v>
      </c>
      <c r="BL29" s="29">
        <f t="shared" si="24"/>
        <v>12401.325652332129</v>
      </c>
      <c r="BM29" s="29">
        <f t="shared" si="24"/>
        <v>12763.163011172997</v>
      </c>
      <c r="BN29" s="29">
        <f t="shared" si="24"/>
        <v>13135.55781184899</v>
      </c>
      <c r="BO29" s="29">
        <f t="shared" si="24"/>
        <v>13518.818092143876</v>
      </c>
      <c r="BP29" s="29">
        <f t="shared" si="24"/>
        <v>13913.260877556224</v>
      </c>
      <c r="BQ29" s="29">
        <f t="shared" si="24"/>
        <v>14319.21244353677</v>
      </c>
      <c r="BR29" s="29">
        <f t="shared" si="24"/>
        <v>14737.008585377162</v>
      </c>
      <c r="BS29" s="29">
        <f t="shared" si="24"/>
        <v>15166.994895973343</v>
      </c>
    </row>
    <row r="30" spans="1:71" x14ac:dyDescent="0.2">
      <c r="A30" s="2" t="s">
        <v>254</v>
      </c>
      <c r="B30" s="2" t="s">
        <v>255</v>
      </c>
      <c r="C30" s="11" t="s">
        <v>82</v>
      </c>
      <c r="D30" s="26">
        <f>'Growth calculation'!G31</f>
        <v>2.8401527172813301E-2</v>
      </c>
      <c r="E30" s="27">
        <v>10550</v>
      </c>
      <c r="F30" s="12">
        <v>2025</v>
      </c>
      <c r="G30" s="2" t="s">
        <v>162</v>
      </c>
      <c r="H30" s="27">
        <v>2030</v>
      </c>
      <c r="I30" s="27">
        <v>2300</v>
      </c>
      <c r="J30" s="27">
        <v>2630</v>
      </c>
      <c r="K30" s="27">
        <v>2470</v>
      </c>
      <c r="L30" s="27">
        <v>2510</v>
      </c>
      <c r="M30" s="27">
        <v>2330</v>
      </c>
      <c r="N30" s="27">
        <v>2310</v>
      </c>
      <c r="O30" s="27">
        <v>2620</v>
      </c>
      <c r="P30" s="27">
        <v>3440</v>
      </c>
      <c r="Q30" s="27">
        <v>4420</v>
      </c>
      <c r="R30" s="27">
        <v>5110</v>
      </c>
      <c r="S30" s="27">
        <v>4980</v>
      </c>
      <c r="T30" s="27">
        <v>4230</v>
      </c>
      <c r="U30" s="27">
        <v>3950</v>
      </c>
      <c r="V30" s="27">
        <v>3370</v>
      </c>
      <c r="W30" s="27">
        <v>3120</v>
      </c>
      <c r="X30" s="27">
        <v>3010</v>
      </c>
      <c r="Y30" s="27">
        <v>3370</v>
      </c>
      <c r="Z30" s="27">
        <v>4030</v>
      </c>
      <c r="AA30" s="27">
        <v>4890</v>
      </c>
      <c r="AB30" s="27">
        <v>6240</v>
      </c>
      <c r="AC30" s="27">
        <v>7680</v>
      </c>
      <c r="AD30" s="27">
        <v>8400</v>
      </c>
      <c r="AE30" s="27">
        <v>9750</v>
      </c>
      <c r="AF30" s="27">
        <v>11210</v>
      </c>
      <c r="AG30" s="27">
        <v>12460</v>
      </c>
      <c r="AH30" s="27">
        <v>12950</v>
      </c>
      <c r="AI30" s="27">
        <v>12280</v>
      </c>
      <c r="AJ30" s="27">
        <v>10330</v>
      </c>
      <c r="AK30" s="27">
        <v>9050</v>
      </c>
      <c r="AL30" s="27">
        <v>8830</v>
      </c>
      <c r="AM30" s="27">
        <v>9320</v>
      </c>
      <c r="AN30" s="27">
        <v>9410</v>
      </c>
      <c r="AO30" s="27">
        <v>8080</v>
      </c>
      <c r="AP30" s="27">
        <v>8060</v>
      </c>
      <c r="AQ30" s="27">
        <v>8440</v>
      </c>
      <c r="AR30" s="27">
        <v>9310</v>
      </c>
      <c r="AS30" s="27">
        <v>9930</v>
      </c>
      <c r="AT30" s="27">
        <v>10550</v>
      </c>
      <c r="AU30" s="29">
        <f t="shared" si="3"/>
        <v>10849.63611167318</v>
      </c>
      <c r="AV30" s="29">
        <f t="shared" ref="AV30:BS30" si="25">AU30*(1+$D30)</f>
        <v>11157.782346514003</v>
      </c>
      <c r="AW30" s="29">
        <f t="shared" si="25"/>
        <v>11474.680405016858</v>
      </c>
      <c r="AX30" s="29">
        <f t="shared" si="25"/>
        <v>11800.578852339293</v>
      </c>
      <c r="AY30" s="29">
        <f t="shared" si="25"/>
        <v>12135.733313268933</v>
      </c>
      <c r="AZ30" s="29">
        <f t="shared" si="25"/>
        <v>12480.406672727757</v>
      </c>
      <c r="BA30" s="29">
        <f t="shared" si="25"/>
        <v>12834.869281970994</v>
      </c>
      <c r="BB30" s="29">
        <f t="shared" si="25"/>
        <v>13199.3991706424</v>
      </c>
      <c r="BC30" s="29">
        <f t="shared" si="25"/>
        <v>13574.282264852211</v>
      </c>
      <c r="BD30" s="29">
        <f t="shared" si="25"/>
        <v>13959.812611448848</v>
      </c>
      <c r="BE30" s="29">
        <f t="shared" si="25"/>
        <v>14356.292608660295</v>
      </c>
      <c r="BF30" s="29">
        <f t="shared" si="25"/>
        <v>14764.03324328602</v>
      </c>
      <c r="BG30" s="29">
        <f t="shared" si="25"/>
        <v>15183.354334625526</v>
      </c>
      <c r="BH30" s="29">
        <f t="shared" si="25"/>
        <v>15614.584785334846</v>
      </c>
      <c r="BI30" s="29">
        <f t="shared" si="25"/>
        <v>16058.06283940773</v>
      </c>
      <c r="BJ30" s="29">
        <f t="shared" si="25"/>
        <v>16514.136347483913</v>
      </c>
      <c r="BK30" s="29">
        <f t="shared" si="25"/>
        <v>16983.163039692521</v>
      </c>
      <c r="BL30" s="29">
        <f t="shared" si="25"/>
        <v>17465.510806244667</v>
      </c>
      <c r="BM30" s="29">
        <f t="shared" si="25"/>
        <v>17961.557985995289</v>
      </c>
      <c r="BN30" s="29">
        <f t="shared" si="25"/>
        <v>18471.693663200596</v>
      </c>
      <c r="BO30" s="29">
        <f t="shared" si="25"/>
        <v>18996.31797270387</v>
      </c>
      <c r="BP30" s="29">
        <f t="shared" si="25"/>
        <v>19535.842413789022</v>
      </c>
      <c r="BQ30" s="29">
        <f t="shared" si="25"/>
        <v>20090.690172948049</v>
      </c>
      <c r="BR30" s="29">
        <f t="shared" si="25"/>
        <v>20661.296455815605</v>
      </c>
      <c r="BS30" s="29">
        <f t="shared" si="25"/>
        <v>21248.108828531003</v>
      </c>
    </row>
    <row r="31" spans="1:71" x14ac:dyDescent="0.2">
      <c r="A31" s="2" t="s">
        <v>256</v>
      </c>
      <c r="B31" s="2" t="s">
        <v>257</v>
      </c>
      <c r="C31" s="11" t="s">
        <v>79</v>
      </c>
      <c r="G31" s="28" t="s">
        <v>204</v>
      </c>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row>
    <row r="32" spans="1:71" x14ac:dyDescent="0.2">
      <c r="A32" s="2" t="s">
        <v>258</v>
      </c>
      <c r="B32" s="2" t="s">
        <v>259</v>
      </c>
      <c r="C32" s="11" t="s">
        <v>79</v>
      </c>
      <c r="D32" s="26">
        <f>'Growth calculation'!G33</f>
        <v>1.244E-2</v>
      </c>
      <c r="E32" s="27">
        <v>34790</v>
      </c>
      <c r="F32" s="12">
        <v>2025</v>
      </c>
      <c r="G32" s="28" t="s">
        <v>260</v>
      </c>
      <c r="H32" s="27"/>
      <c r="I32" s="27"/>
      <c r="J32" s="27">
        <v>20550</v>
      </c>
      <c r="K32" s="27">
        <v>21430</v>
      </c>
      <c r="L32" s="27">
        <v>23400</v>
      </c>
      <c r="M32" s="27">
        <v>23920</v>
      </c>
      <c r="N32" s="27">
        <v>23250</v>
      </c>
      <c r="O32" s="27">
        <v>23220</v>
      </c>
      <c r="P32" s="27">
        <v>24460</v>
      </c>
      <c r="Q32" s="27">
        <v>25200</v>
      </c>
      <c r="R32" s="27">
        <v>26590</v>
      </c>
      <c r="S32" s="27">
        <v>21000</v>
      </c>
      <c r="T32" s="27">
        <v>19960</v>
      </c>
      <c r="U32" s="27">
        <v>19390</v>
      </c>
      <c r="V32" s="27">
        <v>19270</v>
      </c>
      <c r="W32" s="27">
        <v>18960</v>
      </c>
      <c r="X32" s="27">
        <v>19840</v>
      </c>
      <c r="Y32" s="27">
        <v>22190</v>
      </c>
      <c r="Z32" s="27">
        <v>25670</v>
      </c>
      <c r="AA32" s="27">
        <v>30720</v>
      </c>
      <c r="AB32" s="27">
        <v>33470</v>
      </c>
      <c r="AC32" s="27">
        <v>36700</v>
      </c>
      <c r="AD32" s="27">
        <v>35470</v>
      </c>
      <c r="AE32" s="27">
        <v>35370</v>
      </c>
      <c r="AF32" s="27">
        <v>36520</v>
      </c>
      <c r="AG32" s="27">
        <v>41690</v>
      </c>
      <c r="AH32" s="27">
        <v>44580</v>
      </c>
      <c r="AI32" s="27">
        <v>42370</v>
      </c>
      <c r="AJ32" s="27">
        <v>38180</v>
      </c>
      <c r="AK32" s="27">
        <v>32570</v>
      </c>
      <c r="AL32" s="27">
        <v>29230</v>
      </c>
      <c r="AM32" s="27">
        <v>28790</v>
      </c>
      <c r="AN32" s="27">
        <v>31550</v>
      </c>
      <c r="AO32" s="27">
        <v>30810</v>
      </c>
      <c r="AP32" s="27">
        <v>29890</v>
      </c>
      <c r="AQ32" s="27">
        <v>30970</v>
      </c>
      <c r="AR32" s="27">
        <v>34390</v>
      </c>
      <c r="AS32" s="27">
        <v>36020</v>
      </c>
      <c r="AT32" s="27">
        <v>34790</v>
      </c>
      <c r="AU32" s="29">
        <f t="shared" ref="AU32:AU42" si="26">$E32*(1+$D32)</f>
        <v>35222.787600000003</v>
      </c>
      <c r="AV32" s="29">
        <f t="shared" ref="AV32:BS32" si="27">AU32*(1+$D32)</f>
        <v>35660.959077744003</v>
      </c>
      <c r="AW32" s="29">
        <f t="shared" si="27"/>
        <v>36104.58140867114</v>
      </c>
      <c r="AX32" s="29">
        <f t="shared" si="27"/>
        <v>36553.722401395011</v>
      </c>
      <c r="AY32" s="29">
        <f t="shared" si="27"/>
        <v>37008.450708068362</v>
      </c>
      <c r="AZ32" s="29">
        <f t="shared" si="27"/>
        <v>37468.835834876729</v>
      </c>
      <c r="BA32" s="29">
        <f t="shared" si="27"/>
        <v>37934.948152662597</v>
      </c>
      <c r="BB32" s="29">
        <f t="shared" si="27"/>
        <v>38406.858907681722</v>
      </c>
      <c r="BC32" s="29">
        <f t="shared" si="27"/>
        <v>38884.640232493286</v>
      </c>
      <c r="BD32" s="29">
        <f t="shared" si="27"/>
        <v>39368.365156985499</v>
      </c>
      <c r="BE32" s="29">
        <f t="shared" si="27"/>
        <v>39858.107619538401</v>
      </c>
      <c r="BF32" s="29">
        <f t="shared" si="27"/>
        <v>40353.942478325458</v>
      </c>
      <c r="BG32" s="29">
        <f t="shared" si="27"/>
        <v>40855.945522755828</v>
      </c>
      <c r="BH32" s="29">
        <f t="shared" si="27"/>
        <v>41364.19348505891</v>
      </c>
      <c r="BI32" s="29">
        <f t="shared" si="27"/>
        <v>41878.764052013044</v>
      </c>
      <c r="BJ32" s="29">
        <f t="shared" si="27"/>
        <v>42399.735876820087</v>
      </c>
      <c r="BK32" s="29">
        <f t="shared" si="27"/>
        <v>42927.188591127728</v>
      </c>
      <c r="BL32" s="29">
        <f t="shared" si="27"/>
        <v>43461.20281720136</v>
      </c>
      <c r="BM32" s="29">
        <f t="shared" si="27"/>
        <v>44001.860180247342</v>
      </c>
      <c r="BN32" s="29">
        <f t="shared" si="27"/>
        <v>44549.243320889618</v>
      </c>
      <c r="BO32" s="29">
        <f t="shared" si="27"/>
        <v>45103.435907801482</v>
      </c>
      <c r="BP32" s="29">
        <f t="shared" si="27"/>
        <v>45664.522650494531</v>
      </c>
      <c r="BQ32" s="29">
        <f t="shared" si="27"/>
        <v>46232.589312266682</v>
      </c>
      <c r="BR32" s="29">
        <f t="shared" si="27"/>
        <v>46807.722723311279</v>
      </c>
      <c r="BS32" s="29">
        <f t="shared" si="27"/>
        <v>47390.01079398927</v>
      </c>
    </row>
    <row r="33" spans="1:71" x14ac:dyDescent="0.2">
      <c r="A33" s="2" t="s">
        <v>261</v>
      </c>
      <c r="B33" s="2" t="s">
        <v>262</v>
      </c>
      <c r="C33" s="11" t="s">
        <v>79</v>
      </c>
      <c r="D33" s="26">
        <f>'Growth calculation'!G34</f>
        <v>7.1689000000000003E-2</v>
      </c>
      <c r="E33" s="27">
        <v>17780</v>
      </c>
      <c r="F33" s="12">
        <v>2025</v>
      </c>
      <c r="G33" s="28" t="s">
        <v>263</v>
      </c>
      <c r="H33" s="27">
        <v>2750</v>
      </c>
      <c r="I33" s="27">
        <v>3140</v>
      </c>
      <c r="J33" s="27">
        <v>2850</v>
      </c>
      <c r="K33" s="27">
        <v>2260</v>
      </c>
      <c r="L33" s="27">
        <v>1340</v>
      </c>
      <c r="M33" s="27">
        <v>1150</v>
      </c>
      <c r="N33" s="27">
        <v>1030</v>
      </c>
      <c r="O33" s="27">
        <v>1170</v>
      </c>
      <c r="P33" s="27">
        <v>1520</v>
      </c>
      <c r="Q33" s="27">
        <v>1590</v>
      </c>
      <c r="R33" s="27">
        <v>1460</v>
      </c>
      <c r="S33" s="27">
        <v>1440</v>
      </c>
      <c r="T33" s="27">
        <v>1480</v>
      </c>
      <c r="U33" s="27">
        <v>1660</v>
      </c>
      <c r="V33" s="27">
        <v>1770</v>
      </c>
      <c r="W33" s="27">
        <v>1970</v>
      </c>
      <c r="X33" s="27">
        <v>2370</v>
      </c>
      <c r="Y33" s="27">
        <v>3060</v>
      </c>
      <c r="Z33" s="27">
        <v>3800</v>
      </c>
      <c r="AA33" s="27">
        <v>4300</v>
      </c>
      <c r="AB33" s="27">
        <v>4820</v>
      </c>
      <c r="AC33" s="27">
        <v>6080</v>
      </c>
      <c r="AD33" s="27">
        <v>6680</v>
      </c>
      <c r="AE33" s="27">
        <v>6960</v>
      </c>
      <c r="AF33" s="27">
        <v>7210</v>
      </c>
      <c r="AG33" s="27">
        <v>7400</v>
      </c>
      <c r="AH33" s="27">
        <v>7580</v>
      </c>
      <c r="AI33" s="27">
        <v>7780</v>
      </c>
      <c r="AJ33" s="27">
        <v>7530</v>
      </c>
      <c r="AK33" s="27">
        <v>7490</v>
      </c>
      <c r="AL33" s="27">
        <v>7730</v>
      </c>
      <c r="AM33" s="27">
        <v>8860</v>
      </c>
      <c r="AN33" s="27">
        <v>9920</v>
      </c>
      <c r="AO33" s="27">
        <v>10090</v>
      </c>
      <c r="AP33" s="27">
        <v>11720</v>
      </c>
      <c r="AQ33" s="27">
        <v>13100</v>
      </c>
      <c r="AR33" s="27">
        <v>14240</v>
      </c>
      <c r="AS33" s="27">
        <v>15370</v>
      </c>
      <c r="AT33" s="27">
        <v>17780</v>
      </c>
      <c r="AU33" s="29">
        <f t="shared" si="26"/>
        <v>19054.630420000001</v>
      </c>
      <c r="AV33" s="29">
        <f t="shared" ref="AV33:BS33" si="28">AU33*(1+$D33)</f>
        <v>20420.637820179385</v>
      </c>
      <c r="AW33" s="29">
        <f t="shared" si="28"/>
        <v>21884.572924870226</v>
      </c>
      <c r="AX33" s="29">
        <f t="shared" si="28"/>
        <v>23453.45607328125</v>
      </c>
      <c r="AY33" s="29">
        <f t="shared" si="28"/>
        <v>25134.810885718711</v>
      </c>
      <c r="AZ33" s="29">
        <f t="shared" si="28"/>
        <v>26936.700343305001</v>
      </c>
      <c r="BA33" s="29">
        <f t="shared" si="28"/>
        <v>28867.765454216198</v>
      </c>
      <c r="BB33" s="29">
        <f t="shared" si="28"/>
        <v>30937.266691863508</v>
      </c>
      <c r="BC33" s="29">
        <f t="shared" si="28"/>
        <v>33155.128403736511</v>
      </c>
      <c r="BD33" s="29">
        <f t="shared" si="28"/>
        <v>35531.986403871982</v>
      </c>
      <c r="BE33" s="29">
        <f t="shared" si="28"/>
        <v>38079.238977179164</v>
      </c>
      <c r="BF33" s="29">
        <f t="shared" si="28"/>
        <v>40809.101540214164</v>
      </c>
      <c r="BG33" s="29">
        <f t="shared" si="28"/>
        <v>43734.66522053058</v>
      </c>
      <c r="BH33" s="29">
        <f t="shared" si="28"/>
        <v>46869.9596355252</v>
      </c>
      <c r="BI33" s="29">
        <f t="shared" si="28"/>
        <v>50230.020171836368</v>
      </c>
      <c r="BJ33" s="29">
        <f t="shared" si="28"/>
        <v>53830.960087935149</v>
      </c>
      <c r="BK33" s="29">
        <f t="shared" si="28"/>
        <v>57690.04778567914</v>
      </c>
      <c r="BL33" s="29">
        <f t="shared" si="28"/>
        <v>61825.789621386699</v>
      </c>
      <c r="BM33" s="29">
        <f t="shared" si="28"/>
        <v>66258.018653554303</v>
      </c>
      <c r="BN33" s="29">
        <f t="shared" si="28"/>
        <v>71007.989752808964</v>
      </c>
      <c r="BO33" s="29">
        <f t="shared" si="28"/>
        <v>76098.4815301981</v>
      </c>
      <c r="BP33" s="29">
        <f t="shared" si="28"/>
        <v>81553.905572616481</v>
      </c>
      <c r="BQ33" s="29">
        <f t="shared" si="28"/>
        <v>87400.423509211789</v>
      </c>
      <c r="BR33" s="29">
        <f t="shared" si="28"/>
        <v>93666.072470163679</v>
      </c>
      <c r="BS33" s="29">
        <f t="shared" si="28"/>
        <v>100380.89953947725</v>
      </c>
    </row>
    <row r="34" spans="1:71" x14ac:dyDescent="0.2">
      <c r="A34" s="2" t="s">
        <v>264</v>
      </c>
      <c r="B34" s="2" t="s">
        <v>265</v>
      </c>
      <c r="C34" s="11" t="s">
        <v>75</v>
      </c>
      <c r="D34" s="26">
        <f>'Growth calculation'!G35</f>
        <v>2.5893752088205879E-2</v>
      </c>
      <c r="E34" s="27">
        <v>980</v>
      </c>
      <c r="F34" s="12">
        <v>2025</v>
      </c>
      <c r="G34" s="2" t="s">
        <v>162</v>
      </c>
      <c r="H34" s="27">
        <v>260</v>
      </c>
      <c r="I34" s="27">
        <v>310</v>
      </c>
      <c r="J34" s="27">
        <v>320</v>
      </c>
      <c r="K34" s="27">
        <v>320</v>
      </c>
      <c r="L34" s="27">
        <v>340</v>
      </c>
      <c r="M34" s="27">
        <v>360</v>
      </c>
      <c r="N34" s="27">
        <v>350</v>
      </c>
      <c r="O34" s="27">
        <v>270</v>
      </c>
      <c r="P34" s="27">
        <v>250</v>
      </c>
      <c r="Q34" s="27">
        <v>240</v>
      </c>
      <c r="R34" s="27">
        <v>250</v>
      </c>
      <c r="S34" s="27">
        <v>240</v>
      </c>
      <c r="T34" s="27">
        <v>260</v>
      </c>
      <c r="U34" s="27">
        <v>260</v>
      </c>
      <c r="V34" s="27">
        <v>270</v>
      </c>
      <c r="W34" s="27">
        <v>260</v>
      </c>
      <c r="X34" s="27">
        <v>310</v>
      </c>
      <c r="Y34" s="27">
        <v>370</v>
      </c>
      <c r="Z34" s="27">
        <v>440</v>
      </c>
      <c r="AA34" s="27">
        <v>470</v>
      </c>
      <c r="AB34" s="27">
        <v>490</v>
      </c>
      <c r="AC34" s="27">
        <v>550</v>
      </c>
      <c r="AD34" s="27">
        <v>590</v>
      </c>
      <c r="AE34" s="27">
        <v>630</v>
      </c>
      <c r="AF34" s="27">
        <v>660</v>
      </c>
      <c r="AG34" s="27">
        <v>710</v>
      </c>
      <c r="AH34" s="27">
        <v>750</v>
      </c>
      <c r="AI34" s="27">
        <v>730</v>
      </c>
      <c r="AJ34" s="27">
        <v>680</v>
      </c>
      <c r="AK34" s="27">
        <v>650</v>
      </c>
      <c r="AL34" s="27">
        <v>650</v>
      </c>
      <c r="AM34" s="27">
        <v>730</v>
      </c>
      <c r="AN34" s="27">
        <v>750</v>
      </c>
      <c r="AO34" s="27">
        <v>780</v>
      </c>
      <c r="AP34" s="27">
        <v>820</v>
      </c>
      <c r="AQ34" s="27">
        <v>840</v>
      </c>
      <c r="AR34" s="27">
        <v>840</v>
      </c>
      <c r="AS34" s="27">
        <v>850</v>
      </c>
      <c r="AT34" s="27">
        <v>980</v>
      </c>
      <c r="AU34" s="29">
        <f t="shared" si="26"/>
        <v>1005.3758770464418</v>
      </c>
      <c r="AV34" s="29">
        <f t="shared" ref="AV34:BS34" si="29">AU34*(1+$D34)</f>
        <v>1031.408830762145</v>
      </c>
      <c r="AW34" s="29">
        <f t="shared" si="29"/>
        <v>1058.1158753274863</v>
      </c>
      <c r="AX34" s="29">
        <f t="shared" si="29"/>
        <v>1085.5144654838111</v>
      </c>
      <c r="AY34" s="29">
        <f t="shared" si="29"/>
        <v>1113.6225079412102</v>
      </c>
      <c r="AZ34" s="29">
        <f t="shared" si="29"/>
        <v>1142.458373081686</v>
      </c>
      <c r="BA34" s="29">
        <f t="shared" si="29"/>
        <v>1172.0409069653581</v>
      </c>
      <c r="BB34" s="29">
        <f t="shared" si="29"/>
        <v>1202.389443647555</v>
      </c>
      <c r="BC34" s="29">
        <f t="shared" si="29"/>
        <v>1233.5238178148406</v>
      </c>
      <c r="BD34" s="29">
        <f t="shared" si="29"/>
        <v>1265.4643777482354</v>
      </c>
      <c r="BE34" s="29">
        <f t="shared" si="29"/>
        <v>1298.2319986221039</v>
      </c>
      <c r="BF34" s="29">
        <f t="shared" si="29"/>
        <v>1331.8480961474006</v>
      </c>
      <c r="BG34" s="29">
        <f t="shared" si="29"/>
        <v>1366.3346405681905</v>
      </c>
      <c r="BH34" s="29">
        <f t="shared" si="29"/>
        <v>1401.714171020591</v>
      </c>
      <c r="BI34" s="29">
        <f t="shared" si="29"/>
        <v>1438.0098102635231</v>
      </c>
      <c r="BJ34" s="29">
        <f t="shared" si="29"/>
        <v>1475.2452797908948</v>
      </c>
      <c r="BK34" s="29">
        <f t="shared" si="29"/>
        <v>1513.4449153350961</v>
      </c>
      <c r="BL34" s="29">
        <f t="shared" si="29"/>
        <v>1552.6336827719388</v>
      </c>
      <c r="BM34" s="29">
        <f t="shared" si="29"/>
        <v>1592.8371944374335</v>
      </c>
      <c r="BN34" s="29">
        <f t="shared" si="29"/>
        <v>1634.0817258670697</v>
      </c>
      <c r="BO34" s="29">
        <f t="shared" si="29"/>
        <v>1676.3942329685392</v>
      </c>
      <c r="BP34" s="29">
        <f t="shared" si="29"/>
        <v>1719.8023696391247</v>
      </c>
      <c r="BQ34" s="29">
        <f t="shared" si="29"/>
        <v>1764.3345058392692</v>
      </c>
      <c r="BR34" s="29">
        <f t="shared" si="29"/>
        <v>1810.0197461341386</v>
      </c>
      <c r="BS34" s="29">
        <f t="shared" si="29"/>
        <v>1856.8879487152933</v>
      </c>
    </row>
    <row r="35" spans="1:71" x14ac:dyDescent="0.2">
      <c r="A35" s="2" t="s">
        <v>266</v>
      </c>
      <c r="B35" s="2" t="s">
        <v>267</v>
      </c>
      <c r="C35" s="11" t="s">
        <v>75</v>
      </c>
      <c r="D35" s="26">
        <f>'Growth calculation'!G36</f>
        <v>1.244E-2</v>
      </c>
      <c r="E35" s="27">
        <v>240</v>
      </c>
      <c r="F35" s="12">
        <v>2025</v>
      </c>
      <c r="G35" s="28" t="s">
        <v>268</v>
      </c>
      <c r="H35" s="27">
        <v>250</v>
      </c>
      <c r="I35" s="27">
        <v>240</v>
      </c>
      <c r="J35" s="27">
        <v>220</v>
      </c>
      <c r="K35" s="27">
        <v>210</v>
      </c>
      <c r="L35" s="27">
        <v>210</v>
      </c>
      <c r="M35" s="27">
        <v>200</v>
      </c>
      <c r="N35" s="27">
        <v>180</v>
      </c>
      <c r="O35" s="27">
        <v>170</v>
      </c>
      <c r="P35" s="27">
        <v>150</v>
      </c>
      <c r="Q35" s="27">
        <v>140</v>
      </c>
      <c r="R35" s="27">
        <v>150</v>
      </c>
      <c r="S35" s="27">
        <v>150</v>
      </c>
      <c r="T35" s="27">
        <v>140</v>
      </c>
      <c r="U35" s="27">
        <v>130</v>
      </c>
      <c r="V35" s="27">
        <v>130</v>
      </c>
      <c r="W35" s="27">
        <v>130</v>
      </c>
      <c r="X35" s="27">
        <v>120</v>
      </c>
      <c r="Y35" s="27">
        <v>120</v>
      </c>
      <c r="Z35" s="27">
        <v>130</v>
      </c>
      <c r="AA35" s="27">
        <v>150</v>
      </c>
      <c r="AB35" s="27">
        <v>160</v>
      </c>
      <c r="AC35" s="27">
        <v>180</v>
      </c>
      <c r="AD35" s="27">
        <v>190</v>
      </c>
      <c r="AE35" s="27">
        <v>200</v>
      </c>
      <c r="AF35" s="27">
        <v>220</v>
      </c>
      <c r="AG35" s="27">
        <v>230</v>
      </c>
      <c r="AH35" s="27">
        <v>240</v>
      </c>
      <c r="AI35" s="27">
        <v>240</v>
      </c>
      <c r="AJ35" s="27">
        <v>240</v>
      </c>
      <c r="AK35" s="27">
        <v>240</v>
      </c>
      <c r="AL35" s="27">
        <v>240</v>
      </c>
      <c r="AM35" s="27">
        <v>250</v>
      </c>
      <c r="AN35" s="27">
        <v>250</v>
      </c>
      <c r="AO35" s="27">
        <v>240</v>
      </c>
      <c r="AP35" s="27">
        <v>250</v>
      </c>
      <c r="AQ35" s="27">
        <v>280</v>
      </c>
      <c r="AR35" s="27">
        <v>280</v>
      </c>
      <c r="AS35" s="27">
        <v>250</v>
      </c>
      <c r="AT35" s="27">
        <v>240</v>
      </c>
      <c r="AU35" s="29">
        <f t="shared" si="26"/>
        <v>242.98560000000001</v>
      </c>
      <c r="AV35" s="29">
        <f t="shared" ref="AV35:BS35" si="30">AU35*(1+$D35)</f>
        <v>246.00834086400002</v>
      </c>
      <c r="AW35" s="29">
        <f t="shared" si="30"/>
        <v>249.06868462434818</v>
      </c>
      <c r="AX35" s="29">
        <f t="shared" si="30"/>
        <v>252.16709906107508</v>
      </c>
      <c r="AY35" s="29">
        <f t="shared" si="30"/>
        <v>255.30405777339485</v>
      </c>
      <c r="AZ35" s="29">
        <f t="shared" si="30"/>
        <v>258.48004025209588</v>
      </c>
      <c r="BA35" s="29">
        <f t="shared" si="30"/>
        <v>261.69553195283197</v>
      </c>
      <c r="BB35" s="29">
        <f t="shared" si="30"/>
        <v>264.95102437032523</v>
      </c>
      <c r="BC35" s="29">
        <f t="shared" si="30"/>
        <v>268.24701511349207</v>
      </c>
      <c r="BD35" s="29">
        <f t="shared" si="30"/>
        <v>271.58400798150393</v>
      </c>
      <c r="BE35" s="29">
        <f t="shared" si="30"/>
        <v>274.96251304079385</v>
      </c>
      <c r="BF35" s="29">
        <f t="shared" si="30"/>
        <v>278.38304670302131</v>
      </c>
      <c r="BG35" s="29">
        <f t="shared" si="30"/>
        <v>281.84613180400692</v>
      </c>
      <c r="BH35" s="29">
        <f t="shared" si="30"/>
        <v>285.35229768364877</v>
      </c>
      <c r="BI35" s="29">
        <f t="shared" si="30"/>
        <v>288.90208026683337</v>
      </c>
      <c r="BJ35" s="29">
        <f t="shared" si="30"/>
        <v>292.49602214535275</v>
      </c>
      <c r="BK35" s="29">
        <f t="shared" si="30"/>
        <v>296.13467266084092</v>
      </c>
      <c r="BL35" s="29">
        <f t="shared" si="30"/>
        <v>299.8185879887418</v>
      </c>
      <c r="BM35" s="29">
        <f t="shared" si="30"/>
        <v>303.54833122332172</v>
      </c>
      <c r="BN35" s="29">
        <f t="shared" si="30"/>
        <v>307.32447246373982</v>
      </c>
      <c r="BO35" s="29">
        <f t="shared" si="30"/>
        <v>311.14758890118873</v>
      </c>
      <c r="BP35" s="29">
        <f t="shared" si="30"/>
        <v>315.01826490711954</v>
      </c>
      <c r="BQ35" s="29">
        <f t="shared" si="30"/>
        <v>318.93709212256414</v>
      </c>
      <c r="BR35" s="29">
        <f t="shared" si="30"/>
        <v>322.90466954856885</v>
      </c>
      <c r="BS35" s="29">
        <f t="shared" si="30"/>
        <v>326.92160363775304</v>
      </c>
    </row>
    <row r="36" spans="1:71" x14ac:dyDescent="0.2">
      <c r="A36" s="2" t="s">
        <v>269</v>
      </c>
      <c r="B36" s="2" t="s">
        <v>270</v>
      </c>
      <c r="C36" s="11" t="s">
        <v>82</v>
      </c>
      <c r="D36" s="26">
        <f>'Growth calculation'!G37</f>
        <v>6.8126749383799146E-2</v>
      </c>
      <c r="E36" s="27">
        <v>5590</v>
      </c>
      <c r="F36" s="12">
        <v>2025</v>
      </c>
      <c r="G36" s="2" t="s">
        <v>162</v>
      </c>
      <c r="H36" s="27">
        <v>580</v>
      </c>
      <c r="I36" s="27">
        <v>750</v>
      </c>
      <c r="J36" s="27">
        <v>810</v>
      </c>
      <c r="K36" s="27">
        <v>810</v>
      </c>
      <c r="L36" s="27">
        <v>820</v>
      </c>
      <c r="M36" s="27">
        <v>940</v>
      </c>
      <c r="N36" s="27">
        <v>1080</v>
      </c>
      <c r="O36" s="27">
        <v>1190</v>
      </c>
      <c r="P36" s="27">
        <v>1300</v>
      </c>
      <c r="Q36" s="27">
        <v>1250</v>
      </c>
      <c r="R36" s="27">
        <v>1260</v>
      </c>
      <c r="S36" s="27">
        <v>1240</v>
      </c>
      <c r="T36" s="27">
        <v>1290</v>
      </c>
      <c r="U36" s="27">
        <v>1330</v>
      </c>
      <c r="V36" s="27">
        <v>1270</v>
      </c>
      <c r="W36" s="27">
        <v>1230</v>
      </c>
      <c r="X36" s="27">
        <v>1440</v>
      </c>
      <c r="Y36" s="27">
        <v>1810</v>
      </c>
      <c r="Z36" s="27">
        <v>2070</v>
      </c>
      <c r="AA36" s="27">
        <v>2200</v>
      </c>
      <c r="AB36" s="27">
        <v>2770</v>
      </c>
      <c r="AC36" s="27">
        <v>3360</v>
      </c>
      <c r="AD36" s="27">
        <v>3650</v>
      </c>
      <c r="AE36" s="27">
        <v>3600</v>
      </c>
      <c r="AF36" s="27">
        <v>3760</v>
      </c>
      <c r="AG36" s="27">
        <v>3730</v>
      </c>
      <c r="AH36" s="27">
        <v>3840</v>
      </c>
      <c r="AI36" s="27">
        <v>3750</v>
      </c>
      <c r="AJ36" s="27">
        <v>3620</v>
      </c>
      <c r="AK36" s="27">
        <v>3580</v>
      </c>
      <c r="AL36" s="27">
        <v>3620</v>
      </c>
      <c r="AM36" s="27">
        <v>4040</v>
      </c>
      <c r="AN36" s="27">
        <v>4420</v>
      </c>
      <c r="AO36" s="27">
        <v>3510</v>
      </c>
      <c r="AP36" s="27">
        <v>3870</v>
      </c>
      <c r="AQ36" s="27">
        <v>4550</v>
      </c>
      <c r="AR36" s="27">
        <v>4740</v>
      </c>
      <c r="AS36" s="27">
        <v>4940</v>
      </c>
      <c r="AT36" s="27">
        <v>5590</v>
      </c>
      <c r="AU36" s="29">
        <f t="shared" si="26"/>
        <v>5970.8285290554368</v>
      </c>
      <c r="AV36" s="29">
        <f t="shared" ref="AV36:BS36" si="31">AU36*(1+$D36)</f>
        <v>6377.6016678680344</v>
      </c>
      <c r="AW36" s="29">
        <f t="shared" si="31"/>
        <v>6812.0869383645795</v>
      </c>
      <c r="AX36" s="29">
        <f t="shared" si="31"/>
        <v>7276.1722779951951</v>
      </c>
      <c r="AY36" s="29">
        <f t="shared" si="31"/>
        <v>7771.874243251521</v>
      </c>
      <c r="AZ36" s="29">
        <f t="shared" si="31"/>
        <v>8301.3467720639201</v>
      </c>
      <c r="BA36" s="29">
        <f t="shared" si="31"/>
        <v>8866.890543152329</v>
      </c>
      <c r="BB36" s="29">
        <f t="shared" si="31"/>
        <v>9470.9629729992466</v>
      </c>
      <c r="BC36" s="29">
        <f t="shared" si="31"/>
        <v>10116.188893884007</v>
      </c>
      <c r="BD36" s="29">
        <f t="shared" si="31"/>
        <v>10805.371959376816</v>
      </c>
      <c r="BE36" s="29">
        <f t="shared" si="31"/>
        <v>11541.506826852012</v>
      </c>
      <c r="BF36" s="29">
        <f t="shared" si="31"/>
        <v>12327.792169956365</v>
      </c>
      <c r="BG36" s="29">
        <f t="shared" si="31"/>
        <v>13167.644577574543</v>
      </c>
      <c r="BH36" s="29">
        <f t="shared" si="31"/>
        <v>14064.713399685907</v>
      </c>
      <c r="BI36" s="29">
        <f t="shared" si="31"/>
        <v>15022.89660462127</v>
      </c>
      <c r="BJ36" s="29">
        <f t="shared" si="31"/>
        <v>16046.35771662303</v>
      </c>
      <c r="BK36" s="29">
        <f t="shared" si="31"/>
        <v>17139.543907306197</v>
      </c>
      <c r="BL36" s="29">
        <f t="shared" si="31"/>
        <v>18307.205319631867</v>
      </c>
      <c r="BM36" s="29">
        <f t="shared" si="31"/>
        <v>19554.415708360182</v>
      </c>
      <c r="BN36" s="29">
        <f t="shared" si="31"/>
        <v>20886.594486670263</v>
      </c>
      <c r="BO36" s="29">
        <f t="shared" si="31"/>
        <v>22309.530274744688</v>
      </c>
      <c r="BP36" s="29">
        <f t="shared" si="31"/>
        <v>23829.406052642498</v>
      </c>
      <c r="BQ36" s="29">
        <f t="shared" si="31"/>
        <v>25452.826026755662</v>
      </c>
      <c r="BR36" s="29">
        <f t="shared" si="31"/>
        <v>27186.844326589886</v>
      </c>
      <c r="BS36" s="29">
        <f t="shared" si="31"/>
        <v>29038.995656563835</v>
      </c>
    </row>
    <row r="37" spans="1:71" x14ac:dyDescent="0.2">
      <c r="A37" s="2" t="s">
        <v>271</v>
      </c>
      <c r="B37" s="2" t="s">
        <v>272</v>
      </c>
      <c r="C37" s="11" t="s">
        <v>210</v>
      </c>
      <c r="D37" s="26">
        <f>'Growth calculation'!G38</f>
        <v>7.4593044765075778E-2</v>
      </c>
      <c r="E37" s="27">
        <v>2750</v>
      </c>
      <c r="F37" s="12">
        <v>2025</v>
      </c>
      <c r="G37" s="2" t="s">
        <v>162</v>
      </c>
      <c r="H37" s="27">
        <v>160</v>
      </c>
      <c r="I37" s="27">
        <v>190</v>
      </c>
      <c r="J37" s="27">
        <v>170</v>
      </c>
      <c r="K37" s="27">
        <v>170</v>
      </c>
      <c r="L37" s="27">
        <v>170</v>
      </c>
      <c r="M37" s="27">
        <v>210</v>
      </c>
      <c r="N37" s="27">
        <v>290</v>
      </c>
      <c r="O37" s="27">
        <v>210</v>
      </c>
      <c r="P37" s="27">
        <v>260</v>
      </c>
      <c r="Q37" s="27">
        <v>320</v>
      </c>
      <c r="R37" s="27">
        <v>310</v>
      </c>
      <c r="S37" s="27">
        <v>280</v>
      </c>
      <c r="T37" s="27">
        <v>290</v>
      </c>
      <c r="U37" s="27">
        <v>290</v>
      </c>
      <c r="V37" s="27">
        <v>310</v>
      </c>
      <c r="W37" s="27">
        <v>320</v>
      </c>
      <c r="X37" s="27">
        <v>370</v>
      </c>
      <c r="Y37" s="27">
        <v>430</v>
      </c>
      <c r="Z37" s="27">
        <v>510</v>
      </c>
      <c r="AA37" s="27">
        <v>580</v>
      </c>
      <c r="AB37" s="27">
        <v>670</v>
      </c>
      <c r="AC37" s="27">
        <v>780</v>
      </c>
      <c r="AD37" s="27">
        <v>840</v>
      </c>
      <c r="AE37" s="27">
        <v>910</v>
      </c>
      <c r="AF37" s="27">
        <v>990</v>
      </c>
      <c r="AG37" s="27">
        <v>1110</v>
      </c>
      <c r="AH37" s="27">
        <v>1230</v>
      </c>
      <c r="AI37" s="27">
        <v>1330</v>
      </c>
      <c r="AJ37" s="27">
        <v>1430</v>
      </c>
      <c r="AK37" s="27">
        <v>1550</v>
      </c>
      <c r="AL37" s="27">
        <v>1690</v>
      </c>
      <c r="AM37" s="27">
        <v>1920</v>
      </c>
      <c r="AN37" s="27">
        <v>2100</v>
      </c>
      <c r="AO37" s="27">
        <v>2050</v>
      </c>
      <c r="AP37" s="27">
        <v>2120</v>
      </c>
      <c r="AQ37" s="27">
        <v>2270</v>
      </c>
      <c r="AR37" s="27">
        <v>2390</v>
      </c>
      <c r="AS37" s="27">
        <v>2550</v>
      </c>
      <c r="AT37" s="27">
        <v>2750</v>
      </c>
      <c r="AU37" s="29">
        <f t="shared" si="26"/>
        <v>2955.1308731039585</v>
      </c>
      <c r="AV37" s="29">
        <f t="shared" ref="AV37:BS37" si="32">AU37*(1+$D37)</f>
        <v>3175.5630826080596</v>
      </c>
      <c r="AW37" s="29">
        <f t="shared" si="32"/>
        <v>3412.4380017833646</v>
      </c>
      <c r="AX37" s="29">
        <f t="shared" si="32"/>
        <v>3666.9821424084366</v>
      </c>
      <c r="AY37" s="29">
        <f t="shared" si="32"/>
        <v>3940.5135055098426</v>
      </c>
      <c r="AZ37" s="29">
        <f t="shared" si="32"/>
        <v>4234.448405823724</v>
      </c>
      <c r="BA37" s="29">
        <f t="shared" si="32"/>
        <v>4550.3088053147367</v>
      </c>
      <c r="BB37" s="29">
        <f t="shared" si="32"/>
        <v>4889.7301937244974</v>
      </c>
      <c r="BC37" s="29">
        <f t="shared" si="32"/>
        <v>5254.4700569541319</v>
      </c>
      <c r="BD37" s="29">
        <f t="shared" si="32"/>
        <v>5646.4169771292618</v>
      </c>
      <c r="BE37" s="29">
        <f t="shared" si="32"/>
        <v>6067.6004114665484</v>
      </c>
      <c r="BF37" s="29">
        <f t="shared" si="32"/>
        <v>6520.2012005756651</v>
      </c>
      <c r="BG37" s="29">
        <f t="shared" si="32"/>
        <v>7006.5628606075061</v>
      </c>
      <c r="BH37" s="29">
        <f t="shared" si="32"/>
        <v>7529.2037177181192</v>
      </c>
      <c r="BI37" s="29">
        <f t="shared" si="32"/>
        <v>8090.8299476792417</v>
      </c>
      <c r="BJ37" s="29">
        <f t="shared" si="32"/>
        <v>8694.3495881530944</v>
      </c>
      <c r="BK37" s="29">
        <f t="shared" si="32"/>
        <v>9342.8875961854155</v>
      </c>
      <c r="BL37" s="29">
        <f t="shared" si="32"/>
        <v>10039.802028882745</v>
      </c>
      <c r="BM37" s="29">
        <f t="shared" si="32"/>
        <v>10788.701431055693</v>
      </c>
      <c r="BN37" s="29">
        <f t="shared" si="32"/>
        <v>11593.463519859468</v>
      </c>
      <c r="BO37" s="29">
        <f t="shared" si="32"/>
        <v>12458.255263178618</v>
      </c>
      <c r="BP37" s="29">
        <f t="shared" si="32"/>
        <v>13387.554455719643</v>
      </c>
      <c r="BQ37" s="29">
        <f t="shared" si="32"/>
        <v>14386.172904530027</v>
      </c>
      <c r="BR37" s="29">
        <f t="shared" si="32"/>
        <v>15459.281343995755</v>
      </c>
      <c r="BS37" s="29">
        <f t="shared" si="32"/>
        <v>16612.436209324333</v>
      </c>
    </row>
    <row r="38" spans="1:71" x14ac:dyDescent="0.2">
      <c r="A38" s="2" t="s">
        <v>273</v>
      </c>
      <c r="B38" s="2" t="s">
        <v>274</v>
      </c>
      <c r="C38" s="11" t="s">
        <v>210</v>
      </c>
      <c r="D38" s="26">
        <f>'Growth calculation'!G39</f>
        <v>1.9181991122384279E-2</v>
      </c>
      <c r="E38" s="27">
        <v>1860</v>
      </c>
      <c r="F38" s="12">
        <v>2025</v>
      </c>
      <c r="G38" s="2" t="s">
        <v>162</v>
      </c>
      <c r="H38" s="27">
        <v>1150</v>
      </c>
      <c r="I38" s="27">
        <v>1230</v>
      </c>
      <c r="J38" s="27">
        <v>1120</v>
      </c>
      <c r="K38" s="27">
        <v>1000</v>
      </c>
      <c r="L38" s="27">
        <v>930</v>
      </c>
      <c r="M38" s="27">
        <v>960</v>
      </c>
      <c r="N38" s="27">
        <v>990</v>
      </c>
      <c r="O38" s="27">
        <v>890</v>
      </c>
      <c r="P38" s="27">
        <v>870</v>
      </c>
      <c r="Q38" s="27">
        <v>770</v>
      </c>
      <c r="R38" s="27">
        <v>790</v>
      </c>
      <c r="S38" s="27">
        <v>770</v>
      </c>
      <c r="T38" s="27">
        <v>760</v>
      </c>
      <c r="U38" s="27">
        <v>730</v>
      </c>
      <c r="V38" s="27">
        <v>700</v>
      </c>
      <c r="W38" s="27">
        <v>700</v>
      </c>
      <c r="X38" s="27">
        <v>820</v>
      </c>
      <c r="Y38" s="27">
        <v>1030</v>
      </c>
      <c r="Z38" s="27">
        <v>1140</v>
      </c>
      <c r="AA38" s="27">
        <v>1200</v>
      </c>
      <c r="AB38" s="27">
        <v>1250</v>
      </c>
      <c r="AC38" s="27">
        <v>1360</v>
      </c>
      <c r="AD38" s="27">
        <v>1460</v>
      </c>
      <c r="AE38" s="27">
        <v>1450</v>
      </c>
      <c r="AF38" s="27">
        <v>1470</v>
      </c>
      <c r="AG38" s="27">
        <v>1470</v>
      </c>
      <c r="AH38" s="27">
        <v>1530</v>
      </c>
      <c r="AI38" s="27">
        <v>1570</v>
      </c>
      <c r="AJ38" s="27">
        <v>1530</v>
      </c>
      <c r="AK38" s="27">
        <v>1470</v>
      </c>
      <c r="AL38" s="27">
        <v>1410</v>
      </c>
      <c r="AM38" s="27">
        <v>1520</v>
      </c>
      <c r="AN38" s="27">
        <v>1560</v>
      </c>
      <c r="AO38" s="27">
        <v>1540</v>
      </c>
      <c r="AP38" s="27">
        <v>1610</v>
      </c>
      <c r="AQ38" s="27">
        <v>1660</v>
      </c>
      <c r="AR38" s="27">
        <v>1680</v>
      </c>
      <c r="AS38" s="27">
        <v>1690</v>
      </c>
      <c r="AT38" s="27">
        <v>1860</v>
      </c>
      <c r="AU38" s="29">
        <f t="shared" si="26"/>
        <v>1895.6785034876348</v>
      </c>
      <c r="AV38" s="29">
        <f t="shared" ref="AV38:BS38" si="33">AU38*(1+$D38)</f>
        <v>1932.0413917124292</v>
      </c>
      <c r="AW38" s="29">
        <f t="shared" si="33"/>
        <v>1969.101792536336</v>
      </c>
      <c r="AX38" s="29">
        <f t="shared" si="33"/>
        <v>2006.873085639839</v>
      </c>
      <c r="AY38" s="29">
        <f t="shared" si="33"/>
        <v>2045.3689073523344</v>
      </c>
      <c r="AZ38" s="29">
        <f t="shared" si="33"/>
        <v>2084.6031555751679</v>
      </c>
      <c r="BA38" s="29">
        <f t="shared" si="33"/>
        <v>2124.5899947991052</v>
      </c>
      <c r="BB38" s="29">
        <f t="shared" si="33"/>
        <v>2165.343861218048</v>
      </c>
      <c r="BC38" s="29">
        <f t="shared" si="33"/>
        <v>2206.879467940842</v>
      </c>
      <c r="BD38" s="29">
        <f t="shared" si="33"/>
        <v>2249.2118103030552</v>
      </c>
      <c r="BE38" s="29">
        <f t="shared" si="33"/>
        <v>2292.3561712806504</v>
      </c>
      <c r="BF38" s="29">
        <f t="shared" si="33"/>
        <v>2336.3281270074986</v>
      </c>
      <c r="BG38" s="29">
        <f t="shared" si="33"/>
        <v>2381.1435523987329</v>
      </c>
      <c r="BH38" s="29">
        <f t="shared" si="33"/>
        <v>2426.8186268819682</v>
      </c>
      <c r="BI38" s="29">
        <f t="shared" si="33"/>
        <v>2473.3698402384548</v>
      </c>
      <c r="BJ38" s="29">
        <f t="shared" si="33"/>
        <v>2520.8139985562821</v>
      </c>
      <c r="BK38" s="29">
        <f t="shared" si="33"/>
        <v>2569.1682302977706</v>
      </c>
      <c r="BL38" s="29">
        <f t="shared" si="33"/>
        <v>2618.4499924832544</v>
      </c>
      <c r="BM38" s="29">
        <f t="shared" si="33"/>
        <v>2668.6770769934756</v>
      </c>
      <c r="BN38" s="29">
        <f t="shared" si="33"/>
        <v>2719.8676169928749</v>
      </c>
      <c r="BO38" s="29">
        <f t="shared" si="33"/>
        <v>2772.0400934760928</v>
      </c>
      <c r="BP38" s="29">
        <f t="shared" si="33"/>
        <v>2825.2133419400443</v>
      </c>
      <c r="BQ38" s="29">
        <f t="shared" si="33"/>
        <v>2879.4065591839799</v>
      </c>
      <c r="BR38" s="29">
        <f t="shared" si="33"/>
        <v>2934.639310239982</v>
      </c>
      <c r="BS38" s="29">
        <f t="shared" si="33"/>
        <v>2990.9315354364053</v>
      </c>
    </row>
    <row r="39" spans="1:71" x14ac:dyDescent="0.2">
      <c r="A39" s="2" t="s">
        <v>275</v>
      </c>
      <c r="B39" s="2" t="s">
        <v>276</v>
      </c>
      <c r="C39" s="11" t="s">
        <v>79</v>
      </c>
      <c r="D39" s="26">
        <f>'Growth calculation'!G40</f>
        <v>2.8610435864606876E-2</v>
      </c>
      <c r="E39" s="27">
        <v>56420</v>
      </c>
      <c r="F39" s="12">
        <v>2025</v>
      </c>
      <c r="G39" s="2" t="s">
        <v>162</v>
      </c>
      <c r="H39" s="27">
        <v>16320</v>
      </c>
      <c r="I39" s="27">
        <v>18620</v>
      </c>
      <c r="J39" s="27">
        <v>19860</v>
      </c>
      <c r="K39" s="27">
        <v>20650</v>
      </c>
      <c r="L39" s="27">
        <v>20990</v>
      </c>
      <c r="M39" s="27">
        <v>21420</v>
      </c>
      <c r="N39" s="27">
        <v>21270</v>
      </c>
      <c r="O39" s="27">
        <v>20890</v>
      </c>
      <c r="P39" s="27">
        <v>20850</v>
      </c>
      <c r="Q39" s="27">
        <v>20820</v>
      </c>
      <c r="R39" s="27">
        <v>21330</v>
      </c>
      <c r="S39" s="27">
        <v>20900</v>
      </c>
      <c r="T39" s="27">
        <v>21450</v>
      </c>
      <c r="U39" s="27">
        <v>22740</v>
      </c>
      <c r="V39" s="27">
        <v>23120</v>
      </c>
      <c r="W39" s="27">
        <v>23590</v>
      </c>
      <c r="X39" s="27">
        <v>25480</v>
      </c>
      <c r="Y39" s="27">
        <v>29530</v>
      </c>
      <c r="Z39" s="27">
        <v>34310</v>
      </c>
      <c r="AA39" s="27">
        <v>37900</v>
      </c>
      <c r="AB39" s="27">
        <v>41540</v>
      </c>
      <c r="AC39" s="27">
        <v>44930</v>
      </c>
      <c r="AD39" s="27">
        <v>43230</v>
      </c>
      <c r="AE39" s="27">
        <v>44490</v>
      </c>
      <c r="AF39" s="27">
        <v>47190</v>
      </c>
      <c r="AG39" s="27">
        <v>51080</v>
      </c>
      <c r="AH39" s="27">
        <v>52800</v>
      </c>
      <c r="AI39" s="27">
        <v>52200</v>
      </c>
      <c r="AJ39" s="27">
        <v>47580</v>
      </c>
      <c r="AK39" s="27">
        <v>43900</v>
      </c>
      <c r="AL39" s="27">
        <v>42900</v>
      </c>
      <c r="AM39" s="27">
        <v>45060</v>
      </c>
      <c r="AN39" s="27">
        <v>46580</v>
      </c>
      <c r="AO39" s="27">
        <v>43900</v>
      </c>
      <c r="AP39" s="27">
        <v>49080</v>
      </c>
      <c r="AQ39" s="27">
        <v>54070</v>
      </c>
      <c r="AR39" s="27">
        <v>55340</v>
      </c>
      <c r="AS39" s="27">
        <v>54110</v>
      </c>
      <c r="AT39" s="27">
        <v>56420</v>
      </c>
      <c r="AU39" s="29">
        <f t="shared" si="26"/>
        <v>58034.200791481118</v>
      </c>
      <c r="AV39" s="29">
        <f t="shared" ref="AV39:BS39" si="34">AU39*(1+$D39)</f>
        <v>59694.584571179505</v>
      </c>
      <c r="AW39" s="29">
        <f t="shared" si="34"/>
        <v>61402.472654517587</v>
      </c>
      <c r="AX39" s="29">
        <f t="shared" si="34"/>
        <v>63159.22416032794</v>
      </c>
      <c r="AY39" s="29">
        <f t="shared" si="34"/>
        <v>64966.237092425334</v>
      </c>
      <c r="AZ39" s="29">
        <f t="shared" si="34"/>
        <v>66824.949452123008</v>
      </c>
      <c r="BA39" s="29">
        <f t="shared" si="34"/>
        <v>68736.840382578564</v>
      </c>
      <c r="BB39" s="29">
        <f t="shared" si="34"/>
        <v>70703.431345880046</v>
      </c>
      <c r="BC39" s="29">
        <f t="shared" si="34"/>
        <v>72726.287333808985</v>
      </c>
      <c r="BD39" s="29">
        <f t="shared" si="34"/>
        <v>74807.018113243903</v>
      </c>
      <c r="BE39" s="29">
        <f t="shared" si="34"/>
        <v>76947.279507195359</v>
      </c>
      <c r="BF39" s="29">
        <f t="shared" si="34"/>
        <v>79148.774712491955</v>
      </c>
      <c r="BG39" s="29">
        <f t="shared" si="34"/>
        <v>81413.255655165922</v>
      </c>
      <c r="BH39" s="29">
        <f t="shared" si="34"/>
        <v>83742.524384616889</v>
      </c>
      <c r="BI39" s="29">
        <f t="shared" si="34"/>
        <v>86138.434507663245</v>
      </c>
      <c r="BJ39" s="29">
        <f t="shared" si="34"/>
        <v>88602.892663622391</v>
      </c>
      <c r="BK39" s="29">
        <f t="shared" si="34"/>
        <v>91137.860041593609</v>
      </c>
      <c r="BL39" s="29">
        <f t="shared" si="34"/>
        <v>93745.353941151145</v>
      </c>
      <c r="BM39" s="29">
        <f t="shared" si="34"/>
        <v>96427.449377689321</v>
      </c>
      <c r="BN39" s="29">
        <f t="shared" si="34"/>
        <v>99186.280733697335</v>
      </c>
      <c r="BO39" s="29">
        <f t="shared" si="34"/>
        <v>102024.04345727767</v>
      </c>
      <c r="BP39" s="29">
        <f t="shared" si="34"/>
        <v>104942.99580925998</v>
      </c>
      <c r="BQ39" s="29">
        <f t="shared" si="34"/>
        <v>107945.46066030052</v>
      </c>
      <c r="BR39" s="29">
        <f t="shared" si="34"/>
        <v>111033.8273393975</v>
      </c>
      <c r="BS39" s="29">
        <f t="shared" si="34"/>
        <v>114210.55353529316</v>
      </c>
    </row>
    <row r="40" spans="1:71" x14ac:dyDescent="0.2">
      <c r="A40" s="2" t="s">
        <v>277</v>
      </c>
      <c r="B40" s="2" t="s">
        <v>278</v>
      </c>
      <c r="C40" s="11" t="s">
        <v>79</v>
      </c>
      <c r="D40" s="26">
        <f>'Growth calculation'!G41</f>
        <v>7.1689000000000003E-2</v>
      </c>
      <c r="E40" s="27">
        <v>81920</v>
      </c>
      <c r="F40" s="12">
        <v>2024</v>
      </c>
      <c r="G40" s="28" t="s">
        <v>279</v>
      </c>
      <c r="H40" s="27"/>
      <c r="I40" s="27"/>
      <c r="J40" s="27"/>
      <c r="K40" s="27"/>
      <c r="L40" s="27"/>
      <c r="M40" s="27"/>
      <c r="N40" s="27"/>
      <c r="O40" s="27"/>
      <c r="P40" s="27"/>
      <c r="Q40" s="27"/>
      <c r="R40" s="27"/>
      <c r="S40" s="27"/>
      <c r="T40" s="27"/>
      <c r="U40" s="27"/>
      <c r="V40" s="27"/>
      <c r="W40" s="27"/>
      <c r="X40" s="27"/>
      <c r="Y40" s="27"/>
      <c r="Z40" s="27"/>
      <c r="AA40" s="27"/>
      <c r="AB40" s="27"/>
      <c r="AC40" s="27"/>
      <c r="AD40" s="27"/>
      <c r="AE40" s="27">
        <v>73550</v>
      </c>
      <c r="AF40" s="27">
        <v>73950</v>
      </c>
      <c r="AG40" s="27">
        <v>51150</v>
      </c>
      <c r="AH40" s="27">
        <v>44990</v>
      </c>
      <c r="AI40" s="27">
        <v>43420</v>
      </c>
      <c r="AJ40" s="27">
        <v>44430</v>
      </c>
      <c r="AK40" s="27">
        <v>47830</v>
      </c>
      <c r="AL40" s="27">
        <v>51890</v>
      </c>
      <c r="AM40" s="27">
        <v>57880</v>
      </c>
      <c r="AN40" s="27">
        <v>64520</v>
      </c>
      <c r="AO40" s="27">
        <v>62420</v>
      </c>
      <c r="AP40" s="27">
        <v>76260</v>
      </c>
      <c r="AQ40" s="27">
        <v>73960</v>
      </c>
      <c r="AR40" s="27">
        <v>73970</v>
      </c>
      <c r="AS40" s="27">
        <v>81920</v>
      </c>
      <c r="AT40" s="27"/>
      <c r="AU40" s="29">
        <f t="shared" si="26"/>
        <v>87792.762880000009</v>
      </c>
      <c r="AV40" s="29">
        <f t="shared" ref="AV40:BS40" si="35">AU40*(1+$D40)</f>
        <v>94086.538258104338</v>
      </c>
      <c r="AW40" s="29">
        <f t="shared" si="35"/>
        <v>100831.5080992896</v>
      </c>
      <c r="AX40" s="29">
        <f t="shared" si="35"/>
        <v>108060.01808341958</v>
      </c>
      <c r="AY40" s="29">
        <f t="shared" si="35"/>
        <v>115806.73271980186</v>
      </c>
      <c r="AZ40" s="29">
        <f t="shared" si="35"/>
        <v>124108.80158175174</v>
      </c>
      <c r="BA40" s="29">
        <f t="shared" si="35"/>
        <v>133006.03745834596</v>
      </c>
      <c r="BB40" s="29">
        <f t="shared" si="35"/>
        <v>142541.10727769733</v>
      </c>
      <c r="BC40" s="29">
        <f t="shared" si="35"/>
        <v>152759.7367173282</v>
      </c>
      <c r="BD40" s="29">
        <f t="shared" si="35"/>
        <v>163710.92948285677</v>
      </c>
      <c r="BE40" s="29">
        <f t="shared" si="35"/>
        <v>175447.20230655331</v>
      </c>
      <c r="BF40" s="29">
        <f t="shared" si="35"/>
        <v>188024.83679270782</v>
      </c>
      <c r="BG40" s="29">
        <f t="shared" si="35"/>
        <v>201504.14931754029</v>
      </c>
      <c r="BH40" s="29">
        <f t="shared" si="35"/>
        <v>215949.78027796544</v>
      </c>
      <c r="BI40" s="29">
        <f t="shared" si="35"/>
        <v>231431.00407631253</v>
      </c>
      <c r="BJ40" s="29">
        <f t="shared" si="35"/>
        <v>248022.06132753933</v>
      </c>
      <c r="BK40" s="29">
        <f t="shared" si="35"/>
        <v>265802.51488204935</v>
      </c>
      <c r="BL40" s="29">
        <f t="shared" si="35"/>
        <v>284857.63137142861</v>
      </c>
      <c r="BM40" s="29">
        <f t="shared" si="35"/>
        <v>305278.79010681499</v>
      </c>
      <c r="BN40" s="29">
        <f t="shared" si="35"/>
        <v>327163.92129078251</v>
      </c>
      <c r="BO40" s="29">
        <f t="shared" si="35"/>
        <v>350617.97564419743</v>
      </c>
      <c r="BP40" s="29">
        <f t="shared" si="35"/>
        <v>375753.42770015437</v>
      </c>
      <c r="BQ40" s="29">
        <f t="shared" si="35"/>
        <v>402690.81517855078</v>
      </c>
      <c r="BR40" s="29">
        <f t="shared" si="35"/>
        <v>431559.31702788593</v>
      </c>
      <c r="BS40" s="29">
        <f t="shared" si="35"/>
        <v>462497.37290629809</v>
      </c>
    </row>
    <row r="41" spans="1:71" x14ac:dyDescent="0.2">
      <c r="A41" s="2" t="s">
        <v>280</v>
      </c>
      <c r="B41" s="2" t="s">
        <v>281</v>
      </c>
      <c r="C41" s="11" t="s">
        <v>75</v>
      </c>
      <c r="D41" s="26">
        <f>'Growth calculation'!G42</f>
        <v>3.322867608581892E-2</v>
      </c>
      <c r="E41" s="27">
        <v>560</v>
      </c>
      <c r="F41" s="12">
        <v>2025</v>
      </c>
      <c r="G41" s="2" t="s">
        <v>162</v>
      </c>
      <c r="H41" s="27">
        <v>410</v>
      </c>
      <c r="I41" s="27">
        <v>480</v>
      </c>
      <c r="J41" s="27">
        <v>480</v>
      </c>
      <c r="K41" s="27">
        <v>470</v>
      </c>
      <c r="L41" s="27">
        <v>460</v>
      </c>
      <c r="M41" s="27">
        <v>460</v>
      </c>
      <c r="N41" s="27">
        <v>430</v>
      </c>
      <c r="O41" s="27">
        <v>360</v>
      </c>
      <c r="P41" s="27">
        <v>340</v>
      </c>
      <c r="Q41" s="27">
        <v>290</v>
      </c>
      <c r="R41" s="27">
        <v>290</v>
      </c>
      <c r="S41" s="27">
        <v>270</v>
      </c>
      <c r="T41" s="27">
        <v>260</v>
      </c>
      <c r="U41" s="27">
        <v>240</v>
      </c>
      <c r="V41" s="27">
        <v>240</v>
      </c>
      <c r="W41" s="27">
        <v>240</v>
      </c>
      <c r="X41" s="27">
        <v>250</v>
      </c>
      <c r="Y41" s="27">
        <v>290</v>
      </c>
      <c r="Z41" s="27">
        <v>320</v>
      </c>
      <c r="AA41" s="27">
        <v>330</v>
      </c>
      <c r="AB41" s="27">
        <v>360</v>
      </c>
      <c r="AC41" s="27">
        <v>390</v>
      </c>
      <c r="AD41" s="27">
        <v>460</v>
      </c>
      <c r="AE41" s="27">
        <v>500</v>
      </c>
      <c r="AF41" s="27">
        <v>510</v>
      </c>
      <c r="AG41" s="27">
        <v>540</v>
      </c>
      <c r="AH41" s="27">
        <v>360</v>
      </c>
      <c r="AI41" s="27">
        <v>380</v>
      </c>
      <c r="AJ41" s="27">
        <v>390</v>
      </c>
      <c r="AK41" s="27">
        <v>400</v>
      </c>
      <c r="AL41" s="27">
        <v>420</v>
      </c>
      <c r="AM41" s="27">
        <v>470</v>
      </c>
      <c r="AN41" s="27">
        <v>500</v>
      </c>
      <c r="AO41" s="27">
        <v>490</v>
      </c>
      <c r="AP41" s="27">
        <v>510</v>
      </c>
      <c r="AQ41" s="27">
        <v>520</v>
      </c>
      <c r="AR41" s="27">
        <v>530</v>
      </c>
      <c r="AS41" s="27">
        <v>510</v>
      </c>
      <c r="AT41" s="27">
        <v>560</v>
      </c>
      <c r="AU41" s="29">
        <f t="shared" si="26"/>
        <v>578.60805860805863</v>
      </c>
      <c r="AV41" s="29">
        <f t="shared" ref="AV41:BS41" si="36">AU41*(1+$D41)</f>
        <v>597.83443836819038</v>
      </c>
      <c r="AW41" s="29">
        <f t="shared" si="36"/>
        <v>617.6996852736745</v>
      </c>
      <c r="AX41" s="29">
        <f t="shared" si="36"/>
        <v>638.2250280339457</v>
      </c>
      <c r="AY41" s="29">
        <f t="shared" si="36"/>
        <v>659.4324007603484</v>
      </c>
      <c r="AZ41" s="29">
        <f t="shared" si="36"/>
        <v>681.34446640570798</v>
      </c>
      <c r="BA41" s="29">
        <f t="shared" si="36"/>
        <v>703.98464098276838</v>
      </c>
      <c r="BB41" s="29">
        <f t="shared" si="36"/>
        <v>727.37711858737634</v>
      </c>
      <c r="BC41" s="29">
        <f t="shared" si="36"/>
        <v>751.54689725315257</v>
      </c>
      <c r="BD41" s="29">
        <f t="shared" si="36"/>
        <v>776.51980566527982</v>
      </c>
      <c r="BE41" s="29">
        <f t="shared" si="36"/>
        <v>802.32253076195445</v>
      </c>
      <c r="BF41" s="29">
        <f t="shared" si="36"/>
        <v>828.98264625299794</v>
      </c>
      <c r="BG41" s="29">
        <f t="shared" si="36"/>
        <v>856.52864208610379</v>
      </c>
      <c r="BH41" s="29">
        <f t="shared" si="36"/>
        <v>884.98995489220931</v>
      </c>
      <c r="BI41" s="29">
        <f t="shared" si="36"/>
        <v>914.39699944252607</v>
      </c>
      <c r="BJ41" s="29">
        <f t="shared" si="36"/>
        <v>944.78120115084653</v>
      </c>
      <c r="BK41" s="29">
        <f t="shared" si="36"/>
        <v>976.17502965585891</v>
      </c>
      <c r="BL41" s="29">
        <f t="shared" si="36"/>
        <v>1008.6120335193581</v>
      </c>
      <c r="BM41" s="29">
        <f t="shared" si="36"/>
        <v>1042.1268760774319</v>
      </c>
      <c r="BN41" s="29">
        <f t="shared" si="36"/>
        <v>1076.7553724829352</v>
      </c>
      <c r="BO41" s="29">
        <f t="shared" si="36"/>
        <v>1112.534527978836</v>
      </c>
      <c r="BP41" s="29">
        <f t="shared" si="36"/>
        <v>1149.5025774433341</v>
      </c>
      <c r="BQ41" s="29">
        <f t="shared" si="36"/>
        <v>1187.6990262490126</v>
      </c>
      <c r="BR41" s="29">
        <f t="shared" si="36"/>
        <v>1227.1646924796835</v>
      </c>
      <c r="BS41" s="29">
        <f t="shared" si="36"/>
        <v>1267.9417505500444</v>
      </c>
    </row>
    <row r="42" spans="1:71" x14ac:dyDescent="0.2">
      <c r="A42" s="2" t="s">
        <v>282</v>
      </c>
      <c r="B42" s="2" t="s">
        <v>283</v>
      </c>
      <c r="C42" s="11" t="s">
        <v>75</v>
      </c>
      <c r="D42" s="26">
        <f>'Growth calculation'!G43</f>
        <v>1.244E-2</v>
      </c>
      <c r="E42" s="27">
        <v>970</v>
      </c>
      <c r="F42" s="12">
        <v>2025</v>
      </c>
      <c r="G42" s="28" t="s">
        <v>284</v>
      </c>
      <c r="H42" s="27">
        <v>210</v>
      </c>
      <c r="I42" s="27">
        <v>270</v>
      </c>
      <c r="J42" s="27">
        <v>270</v>
      </c>
      <c r="K42" s="27">
        <v>270</v>
      </c>
      <c r="L42" s="27">
        <v>290</v>
      </c>
      <c r="M42" s="27">
        <v>320</v>
      </c>
      <c r="N42" s="27">
        <v>240</v>
      </c>
      <c r="O42" s="27">
        <v>220</v>
      </c>
      <c r="P42" s="27">
        <v>200</v>
      </c>
      <c r="Q42" s="27">
        <v>200</v>
      </c>
      <c r="R42" s="27">
        <v>210</v>
      </c>
      <c r="S42" s="27">
        <v>210</v>
      </c>
      <c r="T42" s="27">
        <v>190</v>
      </c>
      <c r="U42" s="27">
        <v>180</v>
      </c>
      <c r="V42" s="27">
        <v>180</v>
      </c>
      <c r="W42" s="27">
        <v>190</v>
      </c>
      <c r="X42" s="27">
        <v>210</v>
      </c>
      <c r="Y42" s="27">
        <v>330</v>
      </c>
      <c r="Z42" s="27">
        <v>510</v>
      </c>
      <c r="AA42" s="27">
        <v>630</v>
      </c>
      <c r="AB42" s="27">
        <v>820</v>
      </c>
      <c r="AC42" s="27">
        <v>910</v>
      </c>
      <c r="AD42" s="27">
        <v>1020</v>
      </c>
      <c r="AE42" s="27">
        <v>1150</v>
      </c>
      <c r="AF42" s="27">
        <v>1190</v>
      </c>
      <c r="AG42" s="27">
        <v>1310</v>
      </c>
      <c r="AH42" s="27">
        <v>1310</v>
      </c>
      <c r="AI42" s="27">
        <v>1260</v>
      </c>
      <c r="AJ42" s="27">
        <v>1130</v>
      </c>
      <c r="AK42" s="27">
        <v>940</v>
      </c>
      <c r="AL42" s="27">
        <v>830</v>
      </c>
      <c r="AM42" s="27">
        <v>890</v>
      </c>
      <c r="AN42" s="27">
        <v>930</v>
      </c>
      <c r="AO42" s="27">
        <v>890</v>
      </c>
      <c r="AP42" s="27">
        <v>890</v>
      </c>
      <c r="AQ42" s="27">
        <v>920</v>
      </c>
      <c r="AR42" s="27">
        <v>910</v>
      </c>
      <c r="AS42" s="27">
        <v>930</v>
      </c>
      <c r="AT42" s="27">
        <v>970</v>
      </c>
      <c r="AU42" s="29">
        <f t="shared" si="26"/>
        <v>982.06680000000006</v>
      </c>
      <c r="AV42" s="29">
        <f t="shared" ref="AV42:BS42" si="37">AU42*(1+$D42)</f>
        <v>994.28371099200001</v>
      </c>
      <c r="AW42" s="29">
        <f t="shared" si="37"/>
        <v>1006.6526003567405</v>
      </c>
      <c r="AX42" s="29">
        <f t="shared" si="37"/>
        <v>1019.1753587051784</v>
      </c>
      <c r="AY42" s="29">
        <f t="shared" si="37"/>
        <v>1031.8539001674708</v>
      </c>
      <c r="AZ42" s="29">
        <f t="shared" si="37"/>
        <v>1044.690162685554</v>
      </c>
      <c r="BA42" s="29">
        <f t="shared" si="37"/>
        <v>1057.6861083093622</v>
      </c>
      <c r="BB42" s="29">
        <f t="shared" si="37"/>
        <v>1070.8437234967307</v>
      </c>
      <c r="BC42" s="29">
        <f t="shared" si="37"/>
        <v>1084.16501941703</v>
      </c>
      <c r="BD42" s="29">
        <f t="shared" si="37"/>
        <v>1097.6520322585777</v>
      </c>
      <c r="BE42" s="29">
        <f t="shared" si="37"/>
        <v>1111.3068235398744</v>
      </c>
      <c r="BF42" s="29">
        <f t="shared" si="37"/>
        <v>1125.1314804247104</v>
      </c>
      <c r="BG42" s="29">
        <f t="shared" si="37"/>
        <v>1139.1281160411938</v>
      </c>
      <c r="BH42" s="29">
        <f t="shared" si="37"/>
        <v>1153.2988698047463</v>
      </c>
      <c r="BI42" s="29">
        <f t="shared" si="37"/>
        <v>1167.6459077451175</v>
      </c>
      <c r="BJ42" s="29">
        <f t="shared" si="37"/>
        <v>1182.1714228374667</v>
      </c>
      <c r="BK42" s="29">
        <f t="shared" si="37"/>
        <v>1196.8776353375647</v>
      </c>
      <c r="BL42" s="29">
        <f t="shared" si="37"/>
        <v>1211.766793121164</v>
      </c>
      <c r="BM42" s="29">
        <f t="shared" si="37"/>
        <v>1226.8411720275913</v>
      </c>
      <c r="BN42" s="29">
        <f t="shared" si="37"/>
        <v>1242.1030762076145</v>
      </c>
      <c r="BO42" s="29">
        <f t="shared" si="37"/>
        <v>1257.5548384756373</v>
      </c>
      <c r="BP42" s="29">
        <f t="shared" si="37"/>
        <v>1273.1988206662743</v>
      </c>
      <c r="BQ42" s="29">
        <f t="shared" si="37"/>
        <v>1289.0374139953628</v>
      </c>
      <c r="BR42" s="29">
        <f t="shared" si="37"/>
        <v>1305.0730394254651</v>
      </c>
      <c r="BS42" s="29">
        <f t="shared" si="37"/>
        <v>1321.3081480359178</v>
      </c>
    </row>
    <row r="43" spans="1:71" x14ac:dyDescent="0.2">
      <c r="A43" s="2" t="s">
        <v>285</v>
      </c>
      <c r="B43" s="2" t="s">
        <v>286</v>
      </c>
      <c r="C43" s="11" t="s">
        <v>79</v>
      </c>
      <c r="G43" s="28" t="s">
        <v>204</v>
      </c>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row>
    <row r="44" spans="1:71" x14ac:dyDescent="0.2">
      <c r="A44" s="2" t="s">
        <v>287</v>
      </c>
      <c r="B44" s="2" t="s">
        <v>288</v>
      </c>
      <c r="C44" s="11" t="s">
        <v>79</v>
      </c>
      <c r="D44" s="26">
        <f>'Growth calculation'!G45</f>
        <v>2.5797134966372037E-2</v>
      </c>
      <c r="E44" s="27">
        <v>16960</v>
      </c>
      <c r="F44" s="12">
        <v>2025</v>
      </c>
      <c r="G44" s="2" t="s">
        <v>162</v>
      </c>
      <c r="H44" s="27">
        <v>1670</v>
      </c>
      <c r="I44" s="27">
        <v>1940</v>
      </c>
      <c r="J44" s="27">
        <v>2200</v>
      </c>
      <c r="K44" s="27">
        <v>2340</v>
      </c>
      <c r="L44" s="27">
        <v>2600</v>
      </c>
      <c r="M44" s="27">
        <v>3120</v>
      </c>
      <c r="N44" s="27">
        <v>3450</v>
      </c>
      <c r="O44" s="27">
        <v>3740</v>
      </c>
      <c r="P44" s="27">
        <v>4430</v>
      </c>
      <c r="Q44" s="27">
        <v>5070</v>
      </c>
      <c r="R44" s="27">
        <v>5580</v>
      </c>
      <c r="S44" s="27">
        <v>5470</v>
      </c>
      <c r="T44" s="27">
        <v>5100</v>
      </c>
      <c r="U44" s="27">
        <v>5030</v>
      </c>
      <c r="V44" s="27">
        <v>4780</v>
      </c>
      <c r="W44" s="27">
        <v>4520</v>
      </c>
      <c r="X44" s="27">
        <v>4570</v>
      </c>
      <c r="Y44" s="27">
        <v>5200</v>
      </c>
      <c r="Z44" s="27">
        <v>6200</v>
      </c>
      <c r="AA44" s="27">
        <v>7350</v>
      </c>
      <c r="AB44" s="27">
        <v>8700</v>
      </c>
      <c r="AC44" s="27">
        <v>9950</v>
      </c>
      <c r="AD44" s="27">
        <v>9880</v>
      </c>
      <c r="AE44" s="27">
        <v>10720</v>
      </c>
      <c r="AF44" s="27">
        <v>11860</v>
      </c>
      <c r="AG44" s="27">
        <v>14170</v>
      </c>
      <c r="AH44" s="27">
        <v>15080</v>
      </c>
      <c r="AI44" s="27">
        <v>14690</v>
      </c>
      <c r="AJ44" s="27">
        <v>14080</v>
      </c>
      <c r="AK44" s="27">
        <v>13310</v>
      </c>
      <c r="AL44" s="27">
        <v>13200</v>
      </c>
      <c r="AM44" s="27">
        <v>14460</v>
      </c>
      <c r="AN44" s="27">
        <v>14700</v>
      </c>
      <c r="AO44" s="27">
        <v>12960</v>
      </c>
      <c r="AP44" s="27">
        <v>14790</v>
      </c>
      <c r="AQ44" s="27">
        <v>15430</v>
      </c>
      <c r="AR44" s="27">
        <v>15970</v>
      </c>
      <c r="AS44" s="27">
        <v>15840</v>
      </c>
      <c r="AT44" s="27">
        <v>16960</v>
      </c>
      <c r="AU44" s="29">
        <f t="shared" ref="AU44:AU51" si="38">$E44*(1+$D44)</f>
        <v>17397.519409029672</v>
      </c>
      <c r="AV44" s="29">
        <f t="shared" ref="AV44:BS44" si="39">AU44*(1+$D44)</f>
        <v>17846.325565304491</v>
      </c>
      <c r="AW44" s="29">
        <f t="shared" si="39"/>
        <v>18306.709634566469</v>
      </c>
      <c r="AX44" s="29">
        <f t="shared" si="39"/>
        <v>18778.970293799564</v>
      </c>
      <c r="AY44" s="29">
        <f t="shared" si="39"/>
        <v>19263.413924998204</v>
      </c>
      <c r="AZ44" s="29">
        <f t="shared" si="39"/>
        <v>19760.354813934475</v>
      </c>
      <c r="BA44" s="29">
        <f t="shared" si="39"/>
        <v>20270.115354052945</v>
      </c>
      <c r="BB44" s="29">
        <f t="shared" si="39"/>
        <v>20793.02625562538</v>
      </c>
      <c r="BC44" s="29">
        <f t="shared" si="39"/>
        <v>21329.426760301067</v>
      </c>
      <c r="BD44" s="29">
        <f t="shared" si="39"/>
        <v>21879.664861191904</v>
      </c>
      <c r="BE44" s="29">
        <f t="shared" si="39"/>
        <v>22444.097528635062</v>
      </c>
      <c r="BF44" s="29">
        <f t="shared" si="39"/>
        <v>23023.090941779679</v>
      </c>
      <c r="BG44" s="29">
        <f t="shared" si="39"/>
        <v>23617.020726147828</v>
      </c>
      <c r="BH44" s="29">
        <f t="shared" si="39"/>
        <v>24226.272197323873</v>
      </c>
      <c r="BI44" s="29">
        <f t="shared" si="39"/>
        <v>24851.240610930305</v>
      </c>
      <c r="BJ44" s="29">
        <f t="shared" si="39"/>
        <v>25492.331419052261</v>
      </c>
      <c r="BK44" s="29">
        <f t="shared" si="39"/>
        <v>26149.960533277041</v>
      </c>
      <c r="BL44" s="29">
        <f t="shared" si="39"/>
        <v>26824.554594519293</v>
      </c>
      <c r="BM44" s="29">
        <f t="shared" si="39"/>
        <v>27516.551249806926</v>
      </c>
      <c r="BN44" s="29">
        <f t="shared" si="39"/>
        <v>28226.399436207292</v>
      </c>
      <c r="BO44" s="29">
        <f t="shared" si="39"/>
        <v>28954.559672077863</v>
      </c>
      <c r="BP44" s="29">
        <f t="shared" si="39"/>
        <v>29701.504355830333</v>
      </c>
      <c r="BQ44" s="29">
        <f t="shared" si="39"/>
        <v>30467.718072401978</v>
      </c>
      <c r="BR44" s="29">
        <f t="shared" si="39"/>
        <v>31253.697907633108</v>
      </c>
      <c r="BS44" s="29">
        <f t="shared" si="39"/>
        <v>32059.953770754542</v>
      </c>
    </row>
    <row r="45" spans="1:71" x14ac:dyDescent="0.2">
      <c r="A45" s="2" t="s">
        <v>289</v>
      </c>
      <c r="B45" s="2" t="s">
        <v>290</v>
      </c>
      <c r="C45" s="11" t="s">
        <v>82</v>
      </c>
      <c r="D45" s="26">
        <f>'Growth calculation'!G46</f>
        <v>5.0129789684399517E-2</v>
      </c>
      <c r="E45" s="27">
        <v>14230</v>
      </c>
      <c r="F45" s="12">
        <v>2025</v>
      </c>
      <c r="G45" s="2" t="s">
        <v>162</v>
      </c>
      <c r="H45" s="27">
        <v>320</v>
      </c>
      <c r="I45" s="27">
        <v>330</v>
      </c>
      <c r="J45" s="27">
        <v>320</v>
      </c>
      <c r="K45" s="27">
        <v>330</v>
      </c>
      <c r="L45" s="27">
        <v>360</v>
      </c>
      <c r="M45" s="27">
        <v>400</v>
      </c>
      <c r="N45" s="27">
        <v>420</v>
      </c>
      <c r="O45" s="27">
        <v>470</v>
      </c>
      <c r="P45" s="27">
        <v>540</v>
      </c>
      <c r="Q45" s="27">
        <v>660</v>
      </c>
      <c r="R45" s="27">
        <v>760</v>
      </c>
      <c r="S45" s="27">
        <v>800</v>
      </c>
      <c r="T45" s="27">
        <v>860</v>
      </c>
      <c r="U45" s="27">
        <v>950</v>
      </c>
      <c r="V45" s="27">
        <v>1020</v>
      </c>
      <c r="W45" s="27">
        <v>1130</v>
      </c>
      <c r="X45" s="27">
        <v>1300</v>
      </c>
      <c r="Y45" s="27">
        <v>1530</v>
      </c>
      <c r="Z45" s="27">
        <v>1790</v>
      </c>
      <c r="AA45" s="27">
        <v>2090</v>
      </c>
      <c r="AB45" s="27">
        <v>2550</v>
      </c>
      <c r="AC45" s="27">
        <v>3140</v>
      </c>
      <c r="AD45" s="27">
        <v>3740</v>
      </c>
      <c r="AE45" s="27">
        <v>4410</v>
      </c>
      <c r="AF45" s="27">
        <v>5130</v>
      </c>
      <c r="AG45" s="27">
        <v>6010</v>
      </c>
      <c r="AH45" s="27">
        <v>6860</v>
      </c>
      <c r="AI45" s="27">
        <v>7600</v>
      </c>
      <c r="AJ45" s="27">
        <v>8040</v>
      </c>
      <c r="AK45" s="27">
        <v>8360</v>
      </c>
      <c r="AL45" s="27">
        <v>8830</v>
      </c>
      <c r="AM45" s="27">
        <v>9720</v>
      </c>
      <c r="AN45" s="27">
        <v>10510</v>
      </c>
      <c r="AO45" s="27">
        <v>10740</v>
      </c>
      <c r="AP45" s="27">
        <v>12220</v>
      </c>
      <c r="AQ45" s="27">
        <v>13170</v>
      </c>
      <c r="AR45" s="27">
        <v>13750</v>
      </c>
      <c r="AS45" s="27">
        <v>13660</v>
      </c>
      <c r="AT45" s="27">
        <v>14230</v>
      </c>
      <c r="AU45" s="29">
        <f t="shared" si="38"/>
        <v>14943.346907209005</v>
      </c>
      <c r="AV45" s="29">
        <f t="shared" ref="AV45:BS45" si="40">AU45*(1+$D45)</f>
        <v>15692.453744848413</v>
      </c>
      <c r="AW45" s="29">
        <f t="shared" si="40"/>
        <v>16479.113150709833</v>
      </c>
      <c r="AX45" s="29">
        <f t="shared" si="40"/>
        <v>17305.207627140338</v>
      </c>
      <c r="AY45" s="29">
        <f t="shared" si="40"/>
        <v>18172.71404593375</v>
      </c>
      <c r="AZ45" s="29">
        <f t="shared" si="40"/>
        <v>19083.708379051142</v>
      </c>
      <c r="BA45" s="29">
        <f t="shared" si="40"/>
        <v>20040.370666491388</v>
      </c>
      <c r="BB45" s="29">
        <f t="shared" si="40"/>
        <v>21044.990233200009</v>
      </c>
      <c r="BC45" s="29">
        <f t="shared" si="40"/>
        <v>22099.971167500567</v>
      </c>
      <c r="BD45" s="29">
        <f t="shared" si="40"/>
        <v>23207.838074158662</v>
      </c>
      <c r="BE45" s="29">
        <f t="shared" si="40"/>
        <v>24371.242115845835</v>
      </c>
      <c r="BF45" s="29">
        <f t="shared" si="40"/>
        <v>25592.967357460766</v>
      </c>
      <c r="BG45" s="29">
        <f t="shared" si="40"/>
        <v>26875.937428489975</v>
      </c>
      <c r="BH45" s="29">
        <f t="shared" si="40"/>
        <v>28223.22251935126</v>
      </c>
      <c r="BI45" s="29">
        <f t="shared" si="40"/>
        <v>29638.046728462348</v>
      </c>
      <c r="BJ45" s="29">
        <f t="shared" si="40"/>
        <v>31123.795777616571</v>
      </c>
      <c r="BK45" s="29">
        <f t="shared" si="40"/>
        <v>32684.025114128694</v>
      </c>
      <c r="BL45" s="29">
        <f t="shared" si="40"/>
        <v>34322.468419139594</v>
      </c>
      <c r="BM45" s="29">
        <f t="shared" si="40"/>
        <v>36043.046542440505</v>
      </c>
      <c r="BN45" s="29">
        <f t="shared" si="40"/>
        <v>37849.876885198071</v>
      </c>
      <c r="BO45" s="29">
        <f t="shared" si="40"/>
        <v>39747.283253033464</v>
      </c>
      <c r="BP45" s="29">
        <f t="shared" si="40"/>
        <v>41739.806203034284</v>
      </c>
      <c r="BQ45" s="29">
        <f t="shared" si="40"/>
        <v>43832.213909459984</v>
      </c>
      <c r="BR45" s="29">
        <f t="shared" si="40"/>
        <v>46029.513574142824</v>
      </c>
      <c r="BS45" s="29">
        <f t="shared" si="40"/>
        <v>48336.963408889816</v>
      </c>
    </row>
    <row r="46" spans="1:71" x14ac:dyDescent="0.2">
      <c r="A46" s="2" t="s">
        <v>291</v>
      </c>
      <c r="B46" s="2" t="s">
        <v>292</v>
      </c>
      <c r="C46" s="11" t="s">
        <v>82</v>
      </c>
      <c r="D46" s="26">
        <f>'Growth calculation'!G47</f>
        <v>4.1857069768022281E-2</v>
      </c>
      <c r="E46" s="27">
        <v>7900</v>
      </c>
      <c r="F46" s="12">
        <v>2025</v>
      </c>
      <c r="G46" s="2" t="s">
        <v>162</v>
      </c>
      <c r="H46" s="27">
        <v>1270</v>
      </c>
      <c r="I46" s="27">
        <v>1330</v>
      </c>
      <c r="J46" s="27">
        <v>1280</v>
      </c>
      <c r="K46" s="27">
        <v>1350</v>
      </c>
      <c r="L46" s="27">
        <v>1400</v>
      </c>
      <c r="M46" s="27">
        <v>1600</v>
      </c>
      <c r="N46" s="27">
        <v>1770</v>
      </c>
      <c r="O46" s="27">
        <v>2080</v>
      </c>
      <c r="P46" s="27">
        <v>2390</v>
      </c>
      <c r="Q46" s="27">
        <v>2580</v>
      </c>
      <c r="R46" s="27">
        <v>2700</v>
      </c>
      <c r="S46" s="27">
        <v>2600</v>
      </c>
      <c r="T46" s="27">
        <v>2370</v>
      </c>
      <c r="U46" s="27">
        <v>2370</v>
      </c>
      <c r="V46" s="27">
        <v>2360</v>
      </c>
      <c r="W46" s="27">
        <v>2410</v>
      </c>
      <c r="X46" s="27">
        <v>2410</v>
      </c>
      <c r="Y46" s="27">
        <v>2650</v>
      </c>
      <c r="Z46" s="27">
        <v>3030</v>
      </c>
      <c r="AA46" s="27">
        <v>3540</v>
      </c>
      <c r="AB46" s="27">
        <v>4170</v>
      </c>
      <c r="AC46" s="27">
        <v>4770</v>
      </c>
      <c r="AD46" s="27">
        <v>5200</v>
      </c>
      <c r="AE46" s="27">
        <v>5690</v>
      </c>
      <c r="AF46" s="27">
        <v>6370</v>
      </c>
      <c r="AG46" s="27">
        <v>7340</v>
      </c>
      <c r="AH46" s="27">
        <v>8010</v>
      </c>
      <c r="AI46" s="27">
        <v>8280</v>
      </c>
      <c r="AJ46" s="27">
        <v>7420</v>
      </c>
      <c r="AK46" s="27">
        <v>6560</v>
      </c>
      <c r="AL46" s="27">
        <v>6030</v>
      </c>
      <c r="AM46" s="27">
        <v>6350</v>
      </c>
      <c r="AN46" s="27">
        <v>6630</v>
      </c>
      <c r="AO46" s="27">
        <v>5850</v>
      </c>
      <c r="AP46" s="27">
        <v>6310</v>
      </c>
      <c r="AQ46" s="27">
        <v>6560</v>
      </c>
      <c r="AR46" s="27">
        <v>6760</v>
      </c>
      <c r="AS46" s="27">
        <v>7090</v>
      </c>
      <c r="AT46" s="27">
        <v>7900</v>
      </c>
      <c r="AU46" s="29">
        <f t="shared" si="38"/>
        <v>8230.6708511673769</v>
      </c>
      <c r="AV46" s="29">
        <f t="shared" ref="AV46:BS46" si="41">AU46*(1+$D46)</f>
        <v>8575.1826152223166</v>
      </c>
      <c r="AW46" s="29">
        <f t="shared" si="41"/>
        <v>8934.114632221208</v>
      </c>
      <c r="AX46" s="29">
        <f t="shared" si="41"/>
        <v>9308.0704916975992</v>
      </c>
      <c r="AY46" s="29">
        <f t="shared" si="41"/>
        <v>9697.6790476742553</v>
      </c>
      <c r="AZ46" s="29">
        <f t="shared" si="41"/>
        <v>10103.595476160644</v>
      </c>
      <c r="BA46" s="29">
        <f t="shared" si="41"/>
        <v>10526.502376914175</v>
      </c>
      <c r="BB46" s="29">
        <f t="shared" si="41"/>
        <v>10967.110921317924</v>
      </c>
      <c r="BC46" s="29">
        <f t="shared" si="41"/>
        <v>11426.162048305168</v>
      </c>
      <c r="BD46" s="29">
        <f t="shared" si="41"/>
        <v>11904.427710341806</v>
      </c>
      <c r="BE46" s="29">
        <f t="shared" si="41"/>
        <v>12402.712171561961</v>
      </c>
      <c r="BF46" s="29">
        <f t="shared" si="41"/>
        <v>12921.853360239729</v>
      </c>
      <c r="BG46" s="29">
        <f t="shared" si="41"/>
        <v>13462.724277871437</v>
      </c>
      <c r="BH46" s="29">
        <f t="shared" si="41"/>
        <v>14026.23446723795</v>
      </c>
      <c r="BI46" s="29">
        <f t="shared" si="41"/>
        <v>14613.331541915768</v>
      </c>
      <c r="BJ46" s="29">
        <f t="shared" si="41"/>
        <v>15225.002779808978</v>
      </c>
      <c r="BK46" s="29">
        <f t="shared" si="41"/>
        <v>15862.276783381776</v>
      </c>
      <c r="BL46" s="29">
        <f t="shared" si="41"/>
        <v>16526.225209383469</v>
      </c>
      <c r="BM46" s="29">
        <f t="shared" si="41"/>
        <v>17217.96457097468</v>
      </c>
      <c r="BN46" s="29">
        <f t="shared" si="41"/>
        <v>17938.658115285303</v>
      </c>
      <c r="BO46" s="29">
        <f t="shared" si="41"/>
        <v>18689.517779561498</v>
      </c>
      <c r="BP46" s="29">
        <f t="shared" si="41"/>
        <v>19471.806229191297</v>
      </c>
      <c r="BQ46" s="29">
        <f t="shared" si="41"/>
        <v>20286.838981035969</v>
      </c>
      <c r="BR46" s="29">
        <f t="shared" si="41"/>
        <v>21135.986615637827</v>
      </c>
      <c r="BS46" s="29">
        <f t="shared" si="41"/>
        <v>22020.677082024566</v>
      </c>
    </row>
    <row r="47" spans="1:71" x14ac:dyDescent="0.2">
      <c r="A47" s="2" t="s">
        <v>293</v>
      </c>
      <c r="B47" s="2" t="s">
        <v>294</v>
      </c>
      <c r="C47" s="11" t="s">
        <v>210</v>
      </c>
      <c r="D47" s="26">
        <f>'Growth calculation'!G48</f>
        <v>2.6001435144147544E-2</v>
      </c>
      <c r="E47" s="27">
        <v>1950</v>
      </c>
      <c r="F47" s="12">
        <v>2025</v>
      </c>
      <c r="G47" s="2" t="s">
        <v>162</v>
      </c>
      <c r="H47" s="27">
        <v>680</v>
      </c>
      <c r="I47" s="27">
        <v>830</v>
      </c>
      <c r="J47" s="27">
        <v>830</v>
      </c>
      <c r="K47" s="27">
        <v>880</v>
      </c>
      <c r="L47" s="27">
        <v>840</v>
      </c>
      <c r="M47" s="27">
        <v>960</v>
      </c>
      <c r="N47" s="27">
        <v>970</v>
      </c>
      <c r="O47" s="27">
        <v>810</v>
      </c>
      <c r="P47" s="27">
        <v>810</v>
      </c>
      <c r="Q47" s="27">
        <v>770</v>
      </c>
      <c r="R47" s="27">
        <v>780</v>
      </c>
      <c r="S47" s="27">
        <v>720</v>
      </c>
      <c r="T47" s="27">
        <v>700</v>
      </c>
      <c r="U47" s="27">
        <v>670</v>
      </c>
      <c r="V47" s="27">
        <v>680</v>
      </c>
      <c r="W47" s="27">
        <v>700</v>
      </c>
      <c r="X47" s="27">
        <v>810</v>
      </c>
      <c r="Y47" s="27">
        <v>980</v>
      </c>
      <c r="Z47" s="27">
        <v>1140</v>
      </c>
      <c r="AA47" s="27">
        <v>1140</v>
      </c>
      <c r="AB47" s="27">
        <v>1190</v>
      </c>
      <c r="AC47" s="27">
        <v>1340</v>
      </c>
      <c r="AD47" s="27">
        <v>1440</v>
      </c>
      <c r="AE47" s="27">
        <v>1450</v>
      </c>
      <c r="AF47" s="27">
        <v>1490</v>
      </c>
      <c r="AG47" s="27">
        <v>1510</v>
      </c>
      <c r="AH47" s="27">
        <v>1590</v>
      </c>
      <c r="AI47" s="27">
        <v>1590</v>
      </c>
      <c r="AJ47" s="27">
        <v>1480</v>
      </c>
      <c r="AK47" s="27">
        <v>1410</v>
      </c>
      <c r="AL47" s="27">
        <v>1380</v>
      </c>
      <c r="AM47" s="27">
        <v>1490</v>
      </c>
      <c r="AN47" s="27">
        <v>1530</v>
      </c>
      <c r="AO47" s="27">
        <v>1530</v>
      </c>
      <c r="AP47" s="27">
        <v>1590</v>
      </c>
      <c r="AQ47" s="27">
        <v>1630</v>
      </c>
      <c r="AR47" s="27">
        <v>1670</v>
      </c>
      <c r="AS47" s="27">
        <v>1730</v>
      </c>
      <c r="AT47" s="27">
        <v>1950</v>
      </c>
      <c r="AU47" s="29">
        <f t="shared" si="38"/>
        <v>2000.7027985310876</v>
      </c>
      <c r="AV47" s="29">
        <f t="shared" ref="AV47:BS47" si="42">AU47*(1+$D47)</f>
        <v>2052.7239425898083</v>
      </c>
      <c r="AW47" s="29">
        <f t="shared" si="42"/>
        <v>2106.0977110518961</v>
      </c>
      <c r="AX47" s="29">
        <f t="shared" si="42"/>
        <v>2160.8592740930494</v>
      </c>
      <c r="AY47" s="29">
        <f t="shared" si="42"/>
        <v>2217.0447163640097</v>
      </c>
      <c r="AZ47" s="29">
        <f t="shared" si="42"/>
        <v>2274.6910607682235</v>
      </c>
      <c r="BA47" s="29">
        <f t="shared" si="42"/>
        <v>2333.8362928577608</v>
      </c>
      <c r="BB47" s="29">
        <f t="shared" si="42"/>
        <v>2394.5193858635594</v>
      </c>
      <c r="BC47" s="29">
        <f t="shared" si="42"/>
        <v>2456.7803263764945</v>
      </c>
      <c r="BD47" s="29">
        <f t="shared" si="42"/>
        <v>2520.6601406961904</v>
      </c>
      <c r="BE47" s="29">
        <f t="shared" si="42"/>
        <v>2586.20092186494</v>
      </c>
      <c r="BF47" s="29">
        <f t="shared" si="42"/>
        <v>2653.4458574045457</v>
      </c>
      <c r="BG47" s="29">
        <f t="shared" si="42"/>
        <v>2722.439257774357</v>
      </c>
      <c r="BH47" s="29">
        <f t="shared" si="42"/>
        <v>2793.2265855692581</v>
      </c>
      <c r="BI47" s="29">
        <f t="shared" si="42"/>
        <v>2865.8544854768456</v>
      </c>
      <c r="BJ47" s="29">
        <f t="shared" si="42"/>
        <v>2940.3708150135362</v>
      </c>
      <c r="BK47" s="29">
        <f t="shared" si="42"/>
        <v>3016.8246760598549</v>
      </c>
      <c r="BL47" s="29">
        <f t="shared" si="42"/>
        <v>3095.2664472156894</v>
      </c>
      <c r="BM47" s="29">
        <f t="shared" si="42"/>
        <v>3175.747816996824</v>
      </c>
      <c r="BN47" s="29">
        <f t="shared" si="42"/>
        <v>3258.3218178946349</v>
      </c>
      <c r="BO47" s="29">
        <f t="shared" si="42"/>
        <v>3343.042861321383</v>
      </c>
      <c r="BP47" s="29">
        <f t="shared" si="42"/>
        <v>3429.9667734641366</v>
      </c>
      <c r="BQ47" s="29">
        <f t="shared" si="42"/>
        <v>3519.1508320709454</v>
      </c>
      <c r="BR47" s="29">
        <f t="shared" si="42"/>
        <v>3610.653804193511</v>
      </c>
      <c r="BS47" s="29">
        <f t="shared" si="42"/>
        <v>3704.5359849112183</v>
      </c>
    </row>
    <row r="48" spans="1:71" x14ac:dyDescent="0.2">
      <c r="A48" s="2" t="s">
        <v>295</v>
      </c>
      <c r="B48" s="2" t="s">
        <v>296</v>
      </c>
      <c r="C48" s="11" t="s">
        <v>75</v>
      </c>
      <c r="D48" s="26">
        <f>'Growth calculation'!G49</f>
        <v>4.4466403162055301E-2</v>
      </c>
      <c r="E48" s="27">
        <v>720</v>
      </c>
      <c r="F48" s="12">
        <v>2025</v>
      </c>
      <c r="G48" s="2" t="s">
        <v>162</v>
      </c>
      <c r="H48" s="27">
        <v>240</v>
      </c>
      <c r="I48" s="27">
        <v>250</v>
      </c>
      <c r="J48" s="27">
        <v>240</v>
      </c>
      <c r="K48" s="27">
        <v>230</v>
      </c>
      <c r="L48" s="27">
        <v>190</v>
      </c>
      <c r="M48" s="27">
        <v>200</v>
      </c>
      <c r="N48" s="27">
        <v>200</v>
      </c>
      <c r="O48" s="27">
        <v>150</v>
      </c>
      <c r="P48" s="27">
        <v>140</v>
      </c>
      <c r="Q48" s="27">
        <v>120</v>
      </c>
      <c r="R48" s="27">
        <v>110</v>
      </c>
      <c r="S48" s="27">
        <v>110</v>
      </c>
      <c r="T48" s="27">
        <v>100</v>
      </c>
      <c r="U48" s="27">
        <v>130</v>
      </c>
      <c r="V48" s="27">
        <v>130</v>
      </c>
      <c r="W48" s="27">
        <v>180</v>
      </c>
      <c r="X48" s="27">
        <v>160</v>
      </c>
      <c r="Y48" s="27">
        <v>180</v>
      </c>
      <c r="Z48" s="27">
        <v>190</v>
      </c>
      <c r="AA48" s="27">
        <v>220</v>
      </c>
      <c r="AB48" s="27">
        <v>260</v>
      </c>
      <c r="AC48" s="27">
        <v>300</v>
      </c>
      <c r="AD48" s="27">
        <v>300</v>
      </c>
      <c r="AE48" s="27">
        <v>320</v>
      </c>
      <c r="AF48" s="27">
        <v>320</v>
      </c>
      <c r="AG48" s="27">
        <v>370</v>
      </c>
      <c r="AH48" s="27">
        <v>420</v>
      </c>
      <c r="AI48" s="27">
        <v>450</v>
      </c>
      <c r="AJ48" s="27">
        <v>460</v>
      </c>
      <c r="AK48" s="27">
        <v>460</v>
      </c>
      <c r="AL48" s="27">
        <v>440</v>
      </c>
      <c r="AM48" s="27">
        <v>460</v>
      </c>
      <c r="AN48" s="27">
        <v>460</v>
      </c>
      <c r="AO48" s="27">
        <v>480</v>
      </c>
      <c r="AP48" s="27">
        <v>530</v>
      </c>
      <c r="AQ48" s="27">
        <v>610</v>
      </c>
      <c r="AR48" s="27">
        <v>680</v>
      </c>
      <c r="AS48" s="27">
        <v>680</v>
      </c>
      <c r="AT48" s="27">
        <v>720</v>
      </c>
      <c r="AU48" s="29">
        <f t="shared" si="38"/>
        <v>752.01581027667976</v>
      </c>
      <c r="AV48" s="29">
        <f t="shared" ref="AV48:BS48" si="43">AU48*(1+$D48)</f>
        <v>785.45524848068226</v>
      </c>
      <c r="AW48" s="29">
        <f t="shared" si="43"/>
        <v>820.38161822537654</v>
      </c>
      <c r="AX48" s="29">
        <f t="shared" si="43"/>
        <v>856.86103800812543</v>
      </c>
      <c r="AY48" s="29">
        <f t="shared" si="43"/>
        <v>894.96256637805186</v>
      </c>
      <c r="AZ48" s="29">
        <f t="shared" si="43"/>
        <v>934.7583326695659</v>
      </c>
      <c r="BA48" s="29">
        <f t="shared" si="43"/>
        <v>976.32367354914129</v>
      </c>
      <c r="BB48" s="29">
        <f t="shared" si="43"/>
        <v>1019.7372756338361</v>
      </c>
      <c r="BC48" s="29">
        <f t="shared" si="43"/>
        <v>1065.0813244515462</v>
      </c>
      <c r="BD48" s="29">
        <f t="shared" si="43"/>
        <v>1112.4416600249842</v>
      </c>
      <c r="BE48" s="29">
        <f t="shared" si="43"/>
        <v>1161.9079393739212</v>
      </c>
      <c r="BF48" s="29">
        <f t="shared" si="43"/>
        <v>1213.5738062433147</v>
      </c>
      <c r="BG48" s="29">
        <f t="shared" si="43"/>
        <v>1267.5370683786398</v>
      </c>
      <c r="BH48" s="29">
        <f t="shared" si="43"/>
        <v>1323.8998826840138</v>
      </c>
      <c r="BI48" s="29">
        <f t="shared" si="43"/>
        <v>1382.7689486136387</v>
      </c>
      <c r="BJ48" s="29">
        <f t="shared" si="43"/>
        <v>1444.2557101626639</v>
      </c>
      <c r="BK48" s="29">
        <f t="shared" si="43"/>
        <v>1508.4765668398572</v>
      </c>
      <c r="BL48" s="29">
        <f t="shared" si="43"/>
        <v>1575.5530940214712</v>
      </c>
      <c r="BM48" s="29">
        <f t="shared" si="43"/>
        <v>1645.6122731034534</v>
      </c>
      <c r="BN48" s="29">
        <f t="shared" si="43"/>
        <v>1718.7867318876977</v>
      </c>
      <c r="BO48" s="29">
        <f t="shared" si="43"/>
        <v>1795.2149956574074</v>
      </c>
      <c r="BP48" s="29">
        <f t="shared" si="43"/>
        <v>1875.0417494168769</v>
      </c>
      <c r="BQ48" s="29">
        <f t="shared" si="43"/>
        <v>1958.418111792133</v>
      </c>
      <c r="BR48" s="29">
        <f t="shared" si="43"/>
        <v>2045.5019211109529</v>
      </c>
      <c r="BS48" s="29">
        <f t="shared" si="43"/>
        <v>2136.4580342038312</v>
      </c>
    </row>
    <row r="49" spans="1:71" x14ac:dyDescent="0.2">
      <c r="A49" s="2" t="s">
        <v>297</v>
      </c>
      <c r="B49" s="2" t="s">
        <v>298</v>
      </c>
      <c r="C49" s="11" t="s">
        <v>210</v>
      </c>
      <c r="D49" s="26">
        <f>'Growth calculation'!G50</f>
        <v>1.3670533080063052E-2</v>
      </c>
      <c r="E49" s="27">
        <v>2280</v>
      </c>
      <c r="F49" s="12">
        <v>2025</v>
      </c>
      <c r="G49" s="2" t="s">
        <v>162</v>
      </c>
      <c r="H49" s="27">
        <v>1050</v>
      </c>
      <c r="I49" s="27">
        <v>920</v>
      </c>
      <c r="J49" s="27">
        <v>940</v>
      </c>
      <c r="K49" s="27">
        <v>920</v>
      </c>
      <c r="L49" s="27">
        <v>950</v>
      </c>
      <c r="M49" s="27">
        <v>1050</v>
      </c>
      <c r="N49" s="27">
        <v>900</v>
      </c>
      <c r="O49" s="27">
        <v>750</v>
      </c>
      <c r="P49" s="27">
        <v>470</v>
      </c>
      <c r="Q49" s="27">
        <v>460</v>
      </c>
      <c r="R49" s="27">
        <v>590</v>
      </c>
      <c r="S49" s="27">
        <v>580</v>
      </c>
      <c r="T49" s="27">
        <v>490</v>
      </c>
      <c r="U49" s="27">
        <v>560</v>
      </c>
      <c r="V49" s="27">
        <v>620</v>
      </c>
      <c r="W49" s="27">
        <v>670</v>
      </c>
      <c r="X49" s="27">
        <v>690</v>
      </c>
      <c r="Y49" s="27">
        <v>760</v>
      </c>
      <c r="Z49" s="27">
        <v>1100</v>
      </c>
      <c r="AA49" s="27">
        <v>1560</v>
      </c>
      <c r="AB49" s="27">
        <v>1650</v>
      </c>
      <c r="AC49" s="27">
        <v>2090</v>
      </c>
      <c r="AD49" s="27">
        <v>2410</v>
      </c>
      <c r="AE49" s="27">
        <v>2640</v>
      </c>
      <c r="AF49" s="27">
        <v>2580</v>
      </c>
      <c r="AG49" s="27">
        <v>3330</v>
      </c>
      <c r="AH49" s="27">
        <v>3560</v>
      </c>
      <c r="AI49" s="27">
        <v>3800</v>
      </c>
      <c r="AJ49" s="27">
        <v>3080</v>
      </c>
      <c r="AK49" s="27">
        <v>2260</v>
      </c>
      <c r="AL49" s="27">
        <v>1740</v>
      </c>
      <c r="AM49" s="27">
        <v>2070</v>
      </c>
      <c r="AN49" s="27">
        <v>2180</v>
      </c>
      <c r="AO49" s="27">
        <v>2230</v>
      </c>
      <c r="AP49" s="27">
        <v>2040</v>
      </c>
      <c r="AQ49" s="27">
        <v>2170</v>
      </c>
      <c r="AR49" s="27">
        <v>2310</v>
      </c>
      <c r="AS49" s="27">
        <v>2270</v>
      </c>
      <c r="AT49" s="27">
        <v>2280</v>
      </c>
      <c r="AU49" s="29">
        <f t="shared" si="38"/>
        <v>2311.168815422544</v>
      </c>
      <c r="AV49" s="29">
        <f t="shared" ref="AV49:BS49" si="44">AU49*(1+$D49)</f>
        <v>2342.7637251673882</v>
      </c>
      <c r="AW49" s="29">
        <f t="shared" si="44"/>
        <v>2374.7905541710606</v>
      </c>
      <c r="AX49" s="29">
        <f t="shared" si="44"/>
        <v>2407.2552070000775</v>
      </c>
      <c r="AY49" s="29">
        <f t="shared" si="44"/>
        <v>2440.1636689395259</v>
      </c>
      <c r="AZ49" s="29">
        <f t="shared" si="44"/>
        <v>2473.5220070965315</v>
      </c>
      <c r="BA49" s="29">
        <f t="shared" si="44"/>
        <v>2507.3363715188084</v>
      </c>
      <c r="BB49" s="29">
        <f t="shared" si="44"/>
        <v>2541.6129963285016</v>
      </c>
      <c r="BC49" s="29">
        <f t="shared" si="44"/>
        <v>2576.3582008715284</v>
      </c>
      <c r="BD49" s="29">
        <f t="shared" si="44"/>
        <v>2611.5783908826343</v>
      </c>
      <c r="BE49" s="29">
        <f t="shared" si="44"/>
        <v>2647.2800596663733</v>
      </c>
      <c r="BF49" s="29">
        <f t="shared" si="44"/>
        <v>2683.4697892942336</v>
      </c>
      <c r="BG49" s="29">
        <f t="shared" si="44"/>
        <v>2720.1542518181304</v>
      </c>
      <c r="BH49" s="29">
        <f t="shared" si="44"/>
        <v>2757.3402105004843</v>
      </c>
      <c r="BI49" s="29">
        <f t="shared" si="44"/>
        <v>2795.034521061119</v>
      </c>
      <c r="BJ49" s="29">
        <f t="shared" si="44"/>
        <v>2833.2441329412031</v>
      </c>
      <c r="BK49" s="29">
        <f t="shared" si="44"/>
        <v>2871.9760905844705</v>
      </c>
      <c r="BL49" s="29">
        <f t="shared" si="44"/>
        <v>2911.2375347359557</v>
      </c>
      <c r="BM49" s="29">
        <f t="shared" si="44"/>
        <v>2951.0357037584849</v>
      </c>
      <c r="BN49" s="29">
        <f t="shared" si="44"/>
        <v>2991.3779349671627</v>
      </c>
      <c r="BO49" s="29">
        <f t="shared" si="44"/>
        <v>3032.2716659821021</v>
      </c>
      <c r="BP49" s="29">
        <f t="shared" si="44"/>
        <v>3073.7244360996483</v>
      </c>
      <c r="BQ49" s="29">
        <f t="shared" si="44"/>
        <v>3115.7438876823467</v>
      </c>
      <c r="BR49" s="29">
        <f t="shared" si="44"/>
        <v>3158.3377675679126</v>
      </c>
      <c r="BS49" s="29">
        <f t="shared" si="44"/>
        <v>3201.5139284974621</v>
      </c>
    </row>
    <row r="50" spans="1:71" x14ac:dyDescent="0.2">
      <c r="A50" s="2" t="s">
        <v>299</v>
      </c>
      <c r="B50" s="2" t="s">
        <v>300</v>
      </c>
      <c r="C50" s="11" t="s">
        <v>79</v>
      </c>
      <c r="D50" s="26">
        <f>'Growth calculation'!G51</f>
        <v>5.147211216092662E-2</v>
      </c>
      <c r="E50" s="27">
        <v>17930</v>
      </c>
      <c r="F50" s="12">
        <v>2025</v>
      </c>
      <c r="G50" s="2" t="s">
        <v>162</v>
      </c>
      <c r="H50" s="27">
        <v>1590</v>
      </c>
      <c r="I50" s="27">
        <v>1650</v>
      </c>
      <c r="J50" s="27">
        <v>1660</v>
      </c>
      <c r="K50" s="27">
        <v>1740</v>
      </c>
      <c r="L50" s="27">
        <v>1950</v>
      </c>
      <c r="M50" s="27">
        <v>2350</v>
      </c>
      <c r="N50" s="27">
        <v>2740</v>
      </c>
      <c r="O50" s="27">
        <v>2990</v>
      </c>
      <c r="P50" s="27">
        <v>3190</v>
      </c>
      <c r="Q50" s="27">
        <v>3250</v>
      </c>
      <c r="R50" s="27">
        <v>3360</v>
      </c>
      <c r="S50" s="27">
        <v>3420</v>
      </c>
      <c r="T50" s="27">
        <v>3480</v>
      </c>
      <c r="U50" s="27">
        <v>3590</v>
      </c>
      <c r="V50" s="27">
        <v>3700</v>
      </c>
      <c r="W50" s="27">
        <v>3790</v>
      </c>
      <c r="X50" s="27">
        <v>4050</v>
      </c>
      <c r="Y50" s="27">
        <v>4400</v>
      </c>
      <c r="Z50" s="27">
        <v>4670</v>
      </c>
      <c r="AA50" s="27">
        <v>5090</v>
      </c>
      <c r="AB50" s="27">
        <v>5710</v>
      </c>
      <c r="AC50" s="27">
        <v>6440</v>
      </c>
      <c r="AD50" s="27">
        <v>6570</v>
      </c>
      <c r="AE50" s="27">
        <v>7290</v>
      </c>
      <c r="AF50" s="27">
        <v>8130</v>
      </c>
      <c r="AG50" s="27">
        <v>9330</v>
      </c>
      <c r="AH50" s="27">
        <v>9990</v>
      </c>
      <c r="AI50" s="27">
        <v>10410</v>
      </c>
      <c r="AJ50" s="27">
        <v>10770</v>
      </c>
      <c r="AK50" s="27">
        <v>11170</v>
      </c>
      <c r="AL50" s="27">
        <v>11580</v>
      </c>
      <c r="AM50" s="27">
        <v>12100</v>
      </c>
      <c r="AN50" s="27">
        <v>12310</v>
      </c>
      <c r="AO50" s="27">
        <v>11780</v>
      </c>
      <c r="AP50" s="27">
        <v>12750</v>
      </c>
      <c r="AQ50" s="27">
        <v>13490</v>
      </c>
      <c r="AR50" s="27">
        <v>14330</v>
      </c>
      <c r="AS50" s="27">
        <v>15710</v>
      </c>
      <c r="AT50" s="27">
        <v>17930</v>
      </c>
      <c r="AU50" s="29">
        <f t="shared" si="38"/>
        <v>18852.894971045418</v>
      </c>
      <c r="AV50" s="29">
        <f t="shared" ref="AV50:BS50" si="45">AU50*(1+$D50)</f>
        <v>19823.293295553238</v>
      </c>
      <c r="AW50" s="29">
        <f t="shared" si="45"/>
        <v>20843.640071460901</v>
      </c>
      <c r="AX50" s="29">
        <f t="shared" si="45"/>
        <v>21916.506251061124</v>
      </c>
      <c r="AY50" s="29">
        <f t="shared" si="45"/>
        <v>23044.595118991394</v>
      </c>
      <c r="AZ50" s="29">
        <f t="shared" si="45"/>
        <v>24230.749103659262</v>
      </c>
      <c r="BA50" s="29">
        <f t="shared" si="45"/>
        <v>25477.956939266085</v>
      </c>
      <c r="BB50" s="29">
        <f t="shared" si="45"/>
        <v>26789.361196475249</v>
      </c>
      <c r="BC50" s="29">
        <f t="shared" si="45"/>
        <v>28168.2662006998</v>
      </c>
      <c r="BD50" s="29">
        <f t="shared" si="45"/>
        <v>29618.146357961061</v>
      </c>
      <c r="BE50" s="29">
        <f t="shared" si="45"/>
        <v>31142.654909296776</v>
      </c>
      <c r="BF50" s="29">
        <f t="shared" si="45"/>
        <v>32745.633135777134</v>
      </c>
      <c r="BG50" s="29">
        <f t="shared" si="45"/>
        <v>34431.120037322413</v>
      </c>
      <c r="BH50" s="29">
        <f t="shared" si="45"/>
        <v>36203.362509709805</v>
      </c>
      <c r="BI50" s="29">
        <f t="shared" si="45"/>
        <v>38066.826045412279</v>
      </c>
      <c r="BJ50" s="29">
        <f t="shared" si="45"/>
        <v>40026.205985232227</v>
      </c>
      <c r="BK50" s="29">
        <f t="shared" si="45"/>
        <v>42086.439349080458</v>
      </c>
      <c r="BL50" s="29">
        <f t="shared" si="45"/>
        <v>44252.717275710369</v>
      </c>
      <c r="BM50" s="29">
        <f t="shared" si="45"/>
        <v>46530.49810275151</v>
      </c>
      <c r="BN50" s="29">
        <f t="shared" si="45"/>
        <v>48925.521120000121</v>
      </c>
      <c r="BO50" s="29">
        <f t="shared" si="45"/>
        <v>51443.821030620558</v>
      </c>
      <c r="BP50" s="29">
        <f t="shared" si="45"/>
        <v>54091.743156695302</v>
      </c>
      <c r="BQ50" s="29">
        <f t="shared" si="45"/>
        <v>56875.959427436763</v>
      </c>
      <c r="BR50" s="29">
        <f t="shared" si="45"/>
        <v>59803.485190346109</v>
      </c>
      <c r="BS50" s="29">
        <f t="shared" si="45"/>
        <v>62881.696887677928</v>
      </c>
    </row>
    <row r="51" spans="1:71" x14ac:dyDescent="0.2">
      <c r="A51" s="2" t="s">
        <v>301</v>
      </c>
      <c r="B51" s="2" t="s">
        <v>302</v>
      </c>
      <c r="C51" s="11" t="s">
        <v>79</v>
      </c>
      <c r="D51" s="26">
        <f>'Growth calculation'!G52</f>
        <v>7.1689000000000003E-2</v>
      </c>
      <c r="E51" s="27">
        <v>25360</v>
      </c>
      <c r="F51" s="12">
        <v>2025</v>
      </c>
      <c r="G51" s="28" t="s">
        <v>303</v>
      </c>
      <c r="H51" s="27"/>
      <c r="I51" s="27"/>
      <c r="J51" s="27"/>
      <c r="K51" s="27"/>
      <c r="L51" s="27"/>
      <c r="M51" s="27"/>
      <c r="N51" s="27"/>
      <c r="O51" s="27"/>
      <c r="P51" s="27"/>
      <c r="Q51" s="27"/>
      <c r="R51" s="27"/>
      <c r="S51" s="27"/>
      <c r="T51" s="27">
        <v>5250</v>
      </c>
      <c r="U51" s="27">
        <v>5310</v>
      </c>
      <c r="V51" s="27">
        <v>5360</v>
      </c>
      <c r="W51" s="27">
        <v>5660</v>
      </c>
      <c r="X51" s="27">
        <v>6700</v>
      </c>
      <c r="Y51" s="27">
        <v>8570</v>
      </c>
      <c r="Z51" s="27">
        <v>10210</v>
      </c>
      <c r="AA51" s="27">
        <v>11240</v>
      </c>
      <c r="AB51" s="27">
        <v>12520</v>
      </c>
      <c r="AC51" s="27">
        <v>14030</v>
      </c>
      <c r="AD51" s="27">
        <v>13970</v>
      </c>
      <c r="AE51" s="27">
        <v>13900</v>
      </c>
      <c r="AF51" s="27">
        <v>14020</v>
      </c>
      <c r="AG51" s="27">
        <v>13540</v>
      </c>
      <c r="AH51" s="27">
        <v>13940</v>
      </c>
      <c r="AI51" s="27">
        <v>13820</v>
      </c>
      <c r="AJ51" s="27">
        <v>13570</v>
      </c>
      <c r="AK51" s="27">
        <v>13090</v>
      </c>
      <c r="AL51" s="27">
        <v>13350</v>
      </c>
      <c r="AM51" s="27">
        <v>14670</v>
      </c>
      <c r="AN51" s="27">
        <v>15770</v>
      </c>
      <c r="AO51" s="27">
        <v>15060</v>
      </c>
      <c r="AP51" s="27">
        <v>17390</v>
      </c>
      <c r="AQ51" s="27">
        <v>19370</v>
      </c>
      <c r="AR51" s="27">
        <v>20800</v>
      </c>
      <c r="AS51" s="27">
        <v>22230</v>
      </c>
      <c r="AT51" s="27">
        <v>25360</v>
      </c>
      <c r="AU51" s="29">
        <f t="shared" si="38"/>
        <v>27178.033040000002</v>
      </c>
      <c r="AV51" s="29">
        <f t="shared" ref="AV51:BS51" si="46">AU51*(1+$D51)</f>
        <v>29126.399050604567</v>
      </c>
      <c r="AW51" s="29">
        <f t="shared" si="46"/>
        <v>31214.44147214336</v>
      </c>
      <c r="AX51" s="29">
        <f t="shared" si="46"/>
        <v>33452.173566839847</v>
      </c>
      <c r="AY51" s="29">
        <f t="shared" si="46"/>
        <v>35850.326437673029</v>
      </c>
      <c r="AZ51" s="29">
        <f t="shared" si="46"/>
        <v>38420.400489663378</v>
      </c>
      <c r="BA51" s="29">
        <f t="shared" si="46"/>
        <v>41174.720580366862</v>
      </c>
      <c r="BB51" s="29">
        <f t="shared" si="46"/>
        <v>44126.495124052788</v>
      </c>
      <c r="BC51" s="29">
        <f t="shared" si="46"/>
        <v>47289.879433001013</v>
      </c>
      <c r="BD51" s="29">
        <f t="shared" si="46"/>
        <v>50680.04359967343</v>
      </c>
      <c r="BE51" s="29">
        <f t="shared" si="46"/>
        <v>54313.245245290425</v>
      </c>
      <c r="BF51" s="29">
        <f t="shared" si="46"/>
        <v>58206.907483680057</v>
      </c>
      <c r="BG51" s="29">
        <f t="shared" si="46"/>
        <v>62379.702474277605</v>
      </c>
      <c r="BH51" s="29">
        <f t="shared" si="46"/>
        <v>66851.640964956096</v>
      </c>
      <c r="BI51" s="29">
        <f t="shared" si="46"/>
        <v>71644.168254092845</v>
      </c>
      <c r="BJ51" s="29">
        <f t="shared" si="46"/>
        <v>76780.26703206051</v>
      </c>
      <c r="BK51" s="29">
        <f t="shared" si="46"/>
        <v>82284.567595321903</v>
      </c>
      <c r="BL51" s="29">
        <f t="shared" si="46"/>
        <v>88183.465961662951</v>
      </c>
      <c r="BM51" s="29">
        <f t="shared" si="46"/>
        <v>94505.250452988621</v>
      </c>
      <c r="BN51" s="29">
        <f t="shared" si="46"/>
        <v>101280.23735271294</v>
      </c>
      <c r="BO51" s="29">
        <f t="shared" si="46"/>
        <v>108540.91628829158</v>
      </c>
      <c r="BP51" s="29">
        <f t="shared" si="46"/>
        <v>116322.10603608293</v>
      </c>
      <c r="BQ51" s="29">
        <f t="shared" si="46"/>
        <v>124661.12149570369</v>
      </c>
      <c r="BR51" s="29">
        <f t="shared" si="46"/>
        <v>133597.95263460919</v>
      </c>
      <c r="BS51" s="29">
        <f t="shared" si="46"/>
        <v>143175.45626103171</v>
      </c>
    </row>
    <row r="52" spans="1:71" x14ac:dyDescent="0.2">
      <c r="A52" s="2" t="s">
        <v>304</v>
      </c>
      <c r="B52" s="2" t="s">
        <v>305</v>
      </c>
      <c r="C52" s="11" t="s">
        <v>82</v>
      </c>
      <c r="G52" s="28" t="s">
        <v>306</v>
      </c>
      <c r="H52" s="27">
        <v>2470</v>
      </c>
      <c r="I52" s="27">
        <v>2770</v>
      </c>
      <c r="J52" s="27">
        <v>2740</v>
      </c>
      <c r="K52" s="27">
        <v>2640</v>
      </c>
      <c r="L52" s="27">
        <v>2330</v>
      </c>
      <c r="M52" s="27">
        <v>2120</v>
      </c>
      <c r="N52" s="27">
        <v>1870</v>
      </c>
      <c r="O52" s="27">
        <v>2130</v>
      </c>
      <c r="P52" s="27">
        <v>2540</v>
      </c>
      <c r="Q52" s="27">
        <v>2700</v>
      </c>
      <c r="R52" s="27">
        <v>2500</v>
      </c>
      <c r="S52" s="27">
        <v>2240</v>
      </c>
      <c r="T52" s="27">
        <v>2400</v>
      </c>
      <c r="U52" s="27">
        <v>2620</v>
      </c>
      <c r="V52" s="27">
        <v>2760</v>
      </c>
      <c r="W52" s="27">
        <v>2830</v>
      </c>
      <c r="X52" s="27">
        <v>3100</v>
      </c>
      <c r="Y52" s="27">
        <v>3490</v>
      </c>
      <c r="Z52" s="27">
        <v>3960</v>
      </c>
      <c r="AA52" s="27">
        <v>4410</v>
      </c>
      <c r="AB52" s="27">
        <v>4740</v>
      </c>
      <c r="AC52" s="27">
        <v>5030</v>
      </c>
      <c r="AD52" s="27">
        <v>5080</v>
      </c>
      <c r="AE52" s="27">
        <v>5170</v>
      </c>
      <c r="AF52" s="27">
        <v>5590</v>
      </c>
      <c r="AG52" s="27">
        <v>6090</v>
      </c>
      <c r="AH52" s="27">
        <v>6640</v>
      </c>
      <c r="AI52" s="27">
        <v>6850</v>
      </c>
      <c r="AJ52" s="27">
        <v>7270</v>
      </c>
      <c r="AK52" s="27">
        <v>7530</v>
      </c>
      <c r="AL52" s="27">
        <v>8010</v>
      </c>
      <c r="AM52" s="27">
        <v>8710</v>
      </c>
      <c r="AN52" s="27">
        <v>9010</v>
      </c>
      <c r="AO52" s="27"/>
      <c r="AP52" s="27"/>
      <c r="AQ52" s="27"/>
      <c r="AR52" s="27"/>
      <c r="AS52" s="27"/>
      <c r="AT52" s="27"/>
    </row>
    <row r="53" spans="1:71" x14ac:dyDescent="0.2">
      <c r="A53" s="2" t="s">
        <v>307</v>
      </c>
      <c r="B53" s="2" t="s">
        <v>308</v>
      </c>
      <c r="C53" s="11" t="s">
        <v>79</v>
      </c>
      <c r="D53" s="26">
        <f>'Growth calculation'!G54</f>
        <v>3.2364234777838785E-2</v>
      </c>
      <c r="E53" s="27">
        <v>22570</v>
      </c>
      <c r="F53" s="12">
        <v>2024</v>
      </c>
      <c r="G53" s="2" t="s">
        <v>162</v>
      </c>
      <c r="H53" s="27"/>
      <c r="I53" s="27"/>
      <c r="J53" s="27"/>
      <c r="K53" s="27"/>
      <c r="L53" s="27"/>
      <c r="M53" s="27"/>
      <c r="N53" s="27"/>
      <c r="O53" s="27"/>
      <c r="P53" s="27"/>
      <c r="Q53" s="27"/>
      <c r="R53" s="27"/>
      <c r="S53" s="27"/>
      <c r="T53" s="27"/>
      <c r="U53" s="27"/>
      <c r="V53" s="27"/>
      <c r="W53" s="27"/>
      <c r="X53" s="27"/>
      <c r="Y53" s="27"/>
      <c r="Z53" s="27">
        <v>17910</v>
      </c>
      <c r="AA53" s="27">
        <v>17930</v>
      </c>
      <c r="AB53" s="27">
        <v>18390</v>
      </c>
      <c r="AC53" s="27">
        <v>19020</v>
      </c>
      <c r="AD53" s="27">
        <v>19100</v>
      </c>
      <c r="AE53" s="27">
        <v>19540</v>
      </c>
      <c r="AF53" s="27">
        <v>19420</v>
      </c>
      <c r="AG53" s="27">
        <v>19330</v>
      </c>
      <c r="AH53" s="27">
        <v>19020</v>
      </c>
      <c r="AI53" s="27">
        <v>18980</v>
      </c>
      <c r="AJ53" s="27">
        <v>18780</v>
      </c>
      <c r="AK53" s="27">
        <v>18260</v>
      </c>
      <c r="AL53" s="27">
        <v>18230</v>
      </c>
      <c r="AM53" s="27">
        <v>18820</v>
      </c>
      <c r="AN53" s="27">
        <v>19140</v>
      </c>
      <c r="AO53" s="27">
        <v>16190</v>
      </c>
      <c r="AP53" s="27">
        <v>17950</v>
      </c>
      <c r="AQ53" s="27">
        <v>20480</v>
      </c>
      <c r="AR53" s="27">
        <v>21400</v>
      </c>
      <c r="AS53" s="27">
        <v>22570</v>
      </c>
      <c r="AT53" s="27"/>
      <c r="AU53" s="29">
        <f t="shared" ref="AU53:AU64" si="47">$E53*(1+$D53)</f>
        <v>23300.46077893582</v>
      </c>
      <c r="AV53" s="29">
        <f t="shared" ref="AV53:BS53" si="48">AU53*(1+$D53)</f>
        <v>24054.562362017125</v>
      </c>
      <c r="AW53" s="29">
        <f t="shared" si="48"/>
        <v>24833.069865779609</v>
      </c>
      <c r="AX53" s="29">
        <f t="shared" si="48"/>
        <v>25636.773169170174</v>
      </c>
      <c r="AY53" s="29">
        <f t="shared" si="48"/>
        <v>26466.487714963394</v>
      </c>
      <c r="AZ53" s="29">
        <f t="shared" si="48"/>
        <v>27323.055337115256</v>
      </c>
      <c r="BA53" s="29">
        <f t="shared" si="48"/>
        <v>28207.345114893535</v>
      </c>
      <c r="BB53" s="29">
        <f t="shared" si="48"/>
        <v>29120.254254651474</v>
      </c>
      <c r="BC53" s="29">
        <f t="shared" si="48"/>
        <v>30062.709000139374</v>
      </c>
      <c r="BD53" s="29">
        <f t="shared" si="48"/>
        <v>31035.665572277732</v>
      </c>
      <c r="BE53" s="29">
        <f t="shared" si="48"/>
        <v>32040.111139345416</v>
      </c>
      <c r="BF53" s="29">
        <f t="shared" si="48"/>
        <v>33077.06481856724</v>
      </c>
      <c r="BG53" s="29">
        <f t="shared" si="48"/>
        <v>34147.578710117145</v>
      </c>
      <c r="BH53" s="29">
        <f t="shared" si="48"/>
        <v>35252.738964586104</v>
      </c>
      <c r="BI53" s="29">
        <f t="shared" si="48"/>
        <v>36393.66688499783</v>
      </c>
      <c r="BJ53" s="29">
        <f t="shared" si="48"/>
        <v>37571.52006449036</v>
      </c>
      <c r="BK53" s="29">
        <f t="shared" si="48"/>
        <v>38787.493560817806</v>
      </c>
      <c r="BL53" s="29">
        <f t="shared" si="48"/>
        <v>40042.821108864024</v>
      </c>
      <c r="BM53" s="29">
        <f t="shared" si="48"/>
        <v>41338.776372398301</v>
      </c>
      <c r="BN53" s="29">
        <f t="shared" si="48"/>
        <v>42676.674236343177</v>
      </c>
      <c r="BO53" s="29">
        <f t="shared" si="48"/>
        <v>44057.872140865533</v>
      </c>
      <c r="BP53" s="29">
        <f t="shared" si="48"/>
        <v>45483.771458644507</v>
      </c>
      <c r="BQ53" s="29">
        <f t="shared" si="48"/>
        <v>46955.818916713644</v>
      </c>
      <c r="BR53" s="29">
        <f t="shared" si="48"/>
        <v>48475.508064319845</v>
      </c>
      <c r="BS53" s="29">
        <f t="shared" si="48"/>
        <v>50044.380788288508</v>
      </c>
    </row>
    <row r="54" spans="1:71" x14ac:dyDescent="0.2">
      <c r="A54" s="2" t="s">
        <v>309</v>
      </c>
      <c r="B54" s="2" t="s">
        <v>310</v>
      </c>
      <c r="C54" s="11" t="s">
        <v>79</v>
      </c>
      <c r="D54" s="26">
        <f>'Growth calculation'!G55</f>
        <v>3.0796487507310788E-2</v>
      </c>
      <c r="E54" s="27">
        <v>36110</v>
      </c>
      <c r="F54" s="12">
        <v>2025</v>
      </c>
      <c r="G54" s="2" t="s">
        <v>162</v>
      </c>
      <c r="H54" s="27">
        <v>6300</v>
      </c>
      <c r="I54" s="27">
        <v>7910</v>
      </c>
      <c r="J54" s="27">
        <v>8570</v>
      </c>
      <c r="K54" s="27">
        <v>9300</v>
      </c>
      <c r="L54" s="27">
        <v>9460</v>
      </c>
      <c r="M54" s="27">
        <v>11020</v>
      </c>
      <c r="N54" s="27">
        <v>10970</v>
      </c>
      <c r="O54" s="27">
        <v>11680</v>
      </c>
      <c r="P54" s="27">
        <v>12810</v>
      </c>
      <c r="Q54" s="27">
        <v>13880</v>
      </c>
      <c r="R54" s="27">
        <v>14280</v>
      </c>
      <c r="S54" s="27">
        <v>15490</v>
      </c>
      <c r="T54" s="27">
        <v>14340</v>
      </c>
      <c r="U54" s="27">
        <v>14180</v>
      </c>
      <c r="V54" s="27">
        <v>14170</v>
      </c>
      <c r="W54" s="27">
        <v>14510</v>
      </c>
      <c r="X54" s="27">
        <v>16710</v>
      </c>
      <c r="Y54" s="27">
        <v>20260</v>
      </c>
      <c r="Z54" s="27">
        <v>23990</v>
      </c>
      <c r="AA54" s="27">
        <v>25600</v>
      </c>
      <c r="AB54" s="27">
        <v>27340</v>
      </c>
      <c r="AC54" s="27">
        <v>32010</v>
      </c>
      <c r="AD54" s="27">
        <v>32860</v>
      </c>
      <c r="AE54" s="27">
        <v>32210</v>
      </c>
      <c r="AF54" s="27">
        <v>32680</v>
      </c>
      <c r="AG54" s="27">
        <v>29760</v>
      </c>
      <c r="AH54" s="27">
        <v>27820</v>
      </c>
      <c r="AI54" s="27">
        <v>26350</v>
      </c>
      <c r="AJ54" s="27">
        <v>25650</v>
      </c>
      <c r="AK54" s="27">
        <v>24400</v>
      </c>
      <c r="AL54" s="27">
        <v>24600</v>
      </c>
      <c r="AM54" s="27">
        <v>27120</v>
      </c>
      <c r="AN54" s="27">
        <v>28380</v>
      </c>
      <c r="AO54" s="27">
        <v>26780</v>
      </c>
      <c r="AP54" s="27">
        <v>29560</v>
      </c>
      <c r="AQ54" s="27">
        <v>31900</v>
      </c>
      <c r="AR54" s="27">
        <v>32380</v>
      </c>
      <c r="AS54" s="27">
        <v>32870</v>
      </c>
      <c r="AT54" s="27">
        <v>36110</v>
      </c>
      <c r="AU54" s="29">
        <f t="shared" si="47"/>
        <v>37222.06116388899</v>
      </c>
      <c r="AV54" s="29">
        <f t="shared" ref="AV54:BS54" si="49">AU54*(1+$D54)</f>
        <v>38368.369905519052</v>
      </c>
      <c r="AW54" s="29">
        <f t="shared" si="49"/>
        <v>39549.980929990248</v>
      </c>
      <c r="AX54" s="29">
        <f t="shared" si="49"/>
        <v>40767.981423615071</v>
      </c>
      <c r="AY54" s="29">
        <f t="shared" si="49"/>
        <v>42023.49205422571</v>
      </c>
      <c r="AZ54" s="29">
        <f t="shared" si="49"/>
        <v>43317.668002287246</v>
      </c>
      <c r="BA54" s="29">
        <f t="shared" si="49"/>
        <v>44651.700023765523</v>
      </c>
      <c r="BB54" s="29">
        <f t="shared" si="49"/>
        <v>46026.815545727608</v>
      </c>
      <c r="BC54" s="29">
        <f t="shared" si="49"/>
        <v>47444.279795682909</v>
      </c>
      <c r="BD54" s="29">
        <f t="shared" si="49"/>
        <v>48905.396965704014</v>
      </c>
      <c r="BE54" s="29">
        <f t="shared" si="49"/>
        <v>50411.511412398395</v>
      </c>
      <c r="BF54" s="29">
        <f t="shared" si="49"/>
        <v>51964.00889383498</v>
      </c>
      <c r="BG54" s="29">
        <f t="shared" si="49"/>
        <v>53564.317844563753</v>
      </c>
      <c r="BH54" s="29">
        <f t="shared" si="49"/>
        <v>55213.910689901488</v>
      </c>
      <c r="BI54" s="29">
        <f t="shared" si="49"/>
        <v>56914.305200692812</v>
      </c>
      <c r="BJ54" s="29">
        <f t="shared" si="49"/>
        <v>58667.065889793223</v>
      </c>
      <c r="BK54" s="29">
        <f t="shared" si="49"/>
        <v>60473.805451558816</v>
      </c>
      <c r="BL54" s="29">
        <f t="shared" si="49"/>
        <v>62336.18624566729</v>
      </c>
      <c r="BM54" s="29">
        <f t="shared" si="49"/>
        <v>64255.921826635378</v>
      </c>
      <c r="BN54" s="29">
        <f t="shared" si="49"/>
        <v>66234.778520440086</v>
      </c>
      <c r="BO54" s="29">
        <f t="shared" si="49"/>
        <v>68274.577049694315</v>
      </c>
      <c r="BP54" s="29">
        <f t="shared" si="49"/>
        <v>70377.194208872155</v>
      </c>
      <c r="BQ54" s="29">
        <f t="shared" si="49"/>
        <v>72544.564591125265</v>
      </c>
      <c r="BR54" s="29">
        <f t="shared" si="49"/>
        <v>74778.682368279158</v>
      </c>
      <c r="BS54" s="29">
        <f t="shared" si="49"/>
        <v>77081.603125647031</v>
      </c>
    </row>
    <row r="55" spans="1:71" x14ac:dyDescent="0.2">
      <c r="A55" s="2" t="s">
        <v>311</v>
      </c>
      <c r="B55" s="2" t="s">
        <v>312</v>
      </c>
      <c r="C55" s="11" t="s">
        <v>79</v>
      </c>
      <c r="D55" s="26">
        <f>'Growth calculation'!G56</f>
        <v>5.7968956049895159E-2</v>
      </c>
      <c r="E55" s="27">
        <v>32960</v>
      </c>
      <c r="F55" s="12">
        <v>2025</v>
      </c>
      <c r="G55" s="2" t="s">
        <v>162</v>
      </c>
      <c r="H55" s="27"/>
      <c r="I55" s="27"/>
      <c r="J55" s="27"/>
      <c r="K55" s="27"/>
      <c r="L55" s="27"/>
      <c r="M55" s="27">
        <v>3380</v>
      </c>
      <c r="N55" s="27">
        <v>3530</v>
      </c>
      <c r="O55" s="27">
        <v>4200</v>
      </c>
      <c r="P55" s="27">
        <v>5170</v>
      </c>
      <c r="Q55" s="27">
        <v>6010</v>
      </c>
      <c r="R55" s="27">
        <v>6200</v>
      </c>
      <c r="S55" s="27">
        <v>6140</v>
      </c>
      <c r="T55" s="27">
        <v>6150</v>
      </c>
      <c r="U55" s="27">
        <v>6380</v>
      </c>
      <c r="V55" s="27">
        <v>6380</v>
      </c>
      <c r="W55" s="27">
        <v>6680</v>
      </c>
      <c r="X55" s="27">
        <v>8130</v>
      </c>
      <c r="Y55" s="27">
        <v>10280</v>
      </c>
      <c r="Z55" s="27">
        <v>12480</v>
      </c>
      <c r="AA55" s="27">
        <v>13990</v>
      </c>
      <c r="AB55" s="27">
        <v>15830</v>
      </c>
      <c r="AC55" s="27">
        <v>18480</v>
      </c>
      <c r="AD55" s="27">
        <v>18790</v>
      </c>
      <c r="AE55" s="27">
        <v>19420</v>
      </c>
      <c r="AF55" s="27">
        <v>19600</v>
      </c>
      <c r="AG55" s="27">
        <v>19650</v>
      </c>
      <c r="AH55" s="27">
        <v>19600</v>
      </c>
      <c r="AI55" s="27">
        <v>19080</v>
      </c>
      <c r="AJ55" s="27">
        <v>18340</v>
      </c>
      <c r="AK55" s="27">
        <v>17660</v>
      </c>
      <c r="AL55" s="27">
        <v>18350</v>
      </c>
      <c r="AM55" s="27">
        <v>20700</v>
      </c>
      <c r="AN55" s="27">
        <v>22440</v>
      </c>
      <c r="AO55" s="27">
        <v>22190</v>
      </c>
      <c r="AP55" s="27">
        <v>25500</v>
      </c>
      <c r="AQ55" s="27">
        <v>27210</v>
      </c>
      <c r="AR55" s="27">
        <v>28540</v>
      </c>
      <c r="AS55" s="27">
        <v>29570</v>
      </c>
      <c r="AT55" s="27">
        <v>32960</v>
      </c>
      <c r="AU55" s="29">
        <f t="shared" si="47"/>
        <v>34870.656791404537</v>
      </c>
      <c r="AV55" s="29">
        <f t="shared" ref="AV55:BS55" si="50">AU55*(1+$D55)</f>
        <v>36892.072362376442</v>
      </c>
      <c r="AW55" s="29">
        <f t="shared" si="50"/>
        <v>39030.667283740593</v>
      </c>
      <c r="AX55" s="29">
        <f t="shared" si="50"/>
        <v>41293.234320109827</v>
      </c>
      <c r="AY55" s="29">
        <f t="shared" si="50"/>
        <v>43686.96000557029</v>
      </c>
      <c r="AZ55" s="29">
        <f t="shared" si="50"/>
        <v>46219.447470086714</v>
      </c>
      <c r="BA55" s="29">
        <f t="shared" si="50"/>
        <v>48898.740589130604</v>
      </c>
      <c r="BB55" s="29">
        <f t="shared" si="50"/>
        <v>51733.349533237139</v>
      </c>
      <c r="BC55" s="29">
        <f t="shared" si="50"/>
        <v>54732.277798643219</v>
      </c>
      <c r="BD55" s="29">
        <f t="shared" si="50"/>
        <v>57905.050804863415</v>
      </c>
      <c r="BE55" s="29">
        <f t="shared" si="50"/>
        <v>61261.746150037485</v>
      </c>
      <c r="BF55" s="29">
        <f t="shared" si="50"/>
        <v>64813.025620148837</v>
      </c>
      <c r="BG55" s="29">
        <f t="shared" si="50"/>
        <v>68570.16905378396</v>
      </c>
      <c r="BH55" s="29">
        <f t="shared" si="50"/>
        <v>72545.110169996638</v>
      </c>
      <c r="BI55" s="29">
        <f t="shared" si="50"/>
        <v>76750.47447307597</v>
      </c>
      <c r="BJ55" s="29">
        <f t="shared" si="50"/>
        <v>81199.619354614304</v>
      </c>
      <c r="BK55" s="29">
        <f t="shared" si="50"/>
        <v>85906.676520250141</v>
      </c>
      <c r="BL55" s="29">
        <f t="shared" si="50"/>
        <v>90886.596875845076</v>
      </c>
      <c r="BM55" s="29">
        <f t="shared" si="50"/>
        <v>96155.198015665475</v>
      </c>
      <c r="BN55" s="29">
        <f t="shared" si="50"/>
        <v>101729.21446340454</v>
      </c>
      <c r="BO55" s="29">
        <f t="shared" si="50"/>
        <v>107626.35082562399</v>
      </c>
      <c r="BP55" s="29">
        <f t="shared" si="50"/>
        <v>113865.33802644517</v>
      </c>
      <c r="BQ55" s="29">
        <f t="shared" si="50"/>
        <v>120465.99280210662</v>
      </c>
      <c r="BR55" s="29">
        <f t="shared" si="50"/>
        <v>127449.28064435891</v>
      </c>
      <c r="BS55" s="29">
        <f t="shared" si="50"/>
        <v>134837.3823926225</v>
      </c>
    </row>
    <row r="56" spans="1:71" x14ac:dyDescent="0.2">
      <c r="A56" s="2" t="s">
        <v>313</v>
      </c>
      <c r="B56" s="2" t="s">
        <v>314</v>
      </c>
      <c r="C56" s="11" t="s">
        <v>210</v>
      </c>
      <c r="D56" s="26">
        <f>'Growth calculation'!G57</f>
        <v>4.1707446374684043E-2</v>
      </c>
      <c r="E56" s="27">
        <v>2780</v>
      </c>
      <c r="F56" s="12">
        <v>2025</v>
      </c>
      <c r="G56" s="2" t="s">
        <v>162</v>
      </c>
      <c r="H56" s="27">
        <v>800</v>
      </c>
      <c r="I56" s="27">
        <v>900</v>
      </c>
      <c r="J56" s="27">
        <v>810</v>
      </c>
      <c r="K56" s="27">
        <v>760</v>
      </c>
      <c r="L56" s="27">
        <v>740</v>
      </c>
      <c r="M56" s="27">
        <v>760</v>
      </c>
      <c r="N56" s="27">
        <v>720</v>
      </c>
      <c r="O56" s="27">
        <v>660</v>
      </c>
      <c r="P56" s="27">
        <v>670</v>
      </c>
      <c r="Q56" s="27">
        <v>510</v>
      </c>
      <c r="R56" s="27">
        <v>630</v>
      </c>
      <c r="S56" s="27">
        <v>710</v>
      </c>
      <c r="T56" s="27">
        <v>680</v>
      </c>
      <c r="U56" s="27">
        <v>610</v>
      </c>
      <c r="V56" s="27">
        <v>550</v>
      </c>
      <c r="W56" s="27">
        <v>530</v>
      </c>
      <c r="X56" s="27">
        <v>580</v>
      </c>
      <c r="Y56" s="27">
        <v>710</v>
      </c>
      <c r="Z56" s="27">
        <v>850</v>
      </c>
      <c r="AA56" s="27">
        <v>850</v>
      </c>
      <c r="AB56" s="27">
        <v>880</v>
      </c>
      <c r="AC56" s="27">
        <v>1000</v>
      </c>
      <c r="AD56" s="27">
        <v>1080</v>
      </c>
      <c r="AE56" s="27">
        <v>1120</v>
      </c>
      <c r="AF56" s="27">
        <v>1020</v>
      </c>
      <c r="AG56" s="27">
        <v>1140</v>
      </c>
      <c r="AH56" s="27">
        <v>1240</v>
      </c>
      <c r="AI56" s="27">
        <v>1860</v>
      </c>
      <c r="AJ56" s="27">
        <v>1880</v>
      </c>
      <c r="AK56" s="27">
        <v>1880</v>
      </c>
      <c r="AL56" s="27">
        <v>1870</v>
      </c>
      <c r="AM56" s="27">
        <v>2010</v>
      </c>
      <c r="AN56" s="27">
        <v>2120</v>
      </c>
      <c r="AO56" s="27">
        <v>2120</v>
      </c>
      <c r="AP56" s="27">
        <v>2300</v>
      </c>
      <c r="AQ56" s="27">
        <v>2440</v>
      </c>
      <c r="AR56" s="27">
        <v>2510</v>
      </c>
      <c r="AS56" s="27">
        <v>2520</v>
      </c>
      <c r="AT56" s="27">
        <v>2780</v>
      </c>
      <c r="AU56" s="29">
        <f t="shared" si="47"/>
        <v>2895.9467009216214</v>
      </c>
      <c r="AV56" s="29">
        <f t="shared" ref="AV56:BS56" si="51">AU56*(1+$D56)</f>
        <v>3016.7292426542531</v>
      </c>
      <c r="AW56" s="29">
        <f t="shared" si="51"/>
        <v>3142.5493157691967</v>
      </c>
      <c r="AX56" s="29">
        <f t="shared" si="51"/>
        <v>3273.6170228364404</v>
      </c>
      <c r="AY56" s="29">
        <f t="shared" si="51"/>
        <v>3410.1512292676439</v>
      </c>
      <c r="AZ56" s="29">
        <f t="shared" si="51"/>
        <v>3552.3799287918869</v>
      </c>
      <c r="BA56" s="29">
        <f t="shared" si="51"/>
        <v>3700.5406241744786</v>
      </c>
      <c r="BB56" s="29">
        <f t="shared" si="51"/>
        <v>3854.8807238145755</v>
      </c>
      <c r="BC56" s="29">
        <f t="shared" si="51"/>
        <v>4015.6579548838749</v>
      </c>
      <c r="BD56" s="29">
        <f t="shared" si="51"/>
        <v>4183.1407936962678</v>
      </c>
      <c r="BE56" s="29">
        <f t="shared" si="51"/>
        <v>4357.6089140271079</v>
      </c>
      <c r="BF56" s="29">
        <f t="shared" si="51"/>
        <v>4539.3536541307385</v>
      </c>
      <c r="BG56" s="29">
        <f t="shared" si="51"/>
        <v>4728.6785032361222</v>
      </c>
      <c r="BH56" s="29">
        <f t="shared" si="51"/>
        <v>4925.8996083329639</v>
      </c>
      <c r="BI56" s="29">
        <f t="shared" si="51"/>
        <v>5131.3463020945883</v>
      </c>
      <c r="BJ56" s="29">
        <f t="shared" si="51"/>
        <v>5345.3616528191315</v>
      </c>
      <c r="BK56" s="29">
        <f t="shared" si="51"/>
        <v>5568.303037307378</v>
      </c>
      <c r="BL56" s="29">
        <f t="shared" si="51"/>
        <v>5800.5427376338657</v>
      </c>
      <c r="BM56" s="29">
        <f t="shared" si="51"/>
        <v>6042.4685628077932</v>
      </c>
      <c r="BN56" s="29">
        <f t="shared" si="51"/>
        <v>6294.4844963618134</v>
      </c>
      <c r="BO56" s="29">
        <f t="shared" si="51"/>
        <v>6557.0113709501038</v>
      </c>
      <c r="BP56" s="29">
        <f t="shared" si="51"/>
        <v>6830.4875710821989</v>
      </c>
      <c r="BQ56" s="29">
        <f t="shared" si="51"/>
        <v>7115.3697651660559</v>
      </c>
      <c r="BR56" s="29">
        <f t="shared" si="51"/>
        <v>7412.1336680827671</v>
      </c>
      <c r="BS56" s="29">
        <f t="shared" si="51"/>
        <v>7721.2748355663189</v>
      </c>
    </row>
    <row r="57" spans="1:71" x14ac:dyDescent="0.2">
      <c r="A57" s="2" t="s">
        <v>315</v>
      </c>
      <c r="B57" s="2" t="s">
        <v>316</v>
      </c>
      <c r="C57" s="11" t="s">
        <v>79</v>
      </c>
      <c r="D57" s="26">
        <f>'Growth calculation'!G58</f>
        <v>1.8987265018461374E-2</v>
      </c>
      <c r="E57" s="27">
        <v>77190</v>
      </c>
      <c r="F57" s="12">
        <v>2025</v>
      </c>
      <c r="G57" s="2" t="s">
        <v>162</v>
      </c>
      <c r="H57" s="27">
        <v>17740</v>
      </c>
      <c r="I57" s="27">
        <v>22120</v>
      </c>
      <c r="J57" s="27">
        <v>23060</v>
      </c>
      <c r="K57" s="27">
        <v>24380</v>
      </c>
      <c r="L57" s="27">
        <v>25540</v>
      </c>
      <c r="M57" s="27">
        <v>28690</v>
      </c>
      <c r="N57" s="27">
        <v>28550</v>
      </c>
      <c r="O57" s="27">
        <v>30330</v>
      </c>
      <c r="P57" s="27">
        <v>32530</v>
      </c>
      <c r="Q57" s="27">
        <v>34740</v>
      </c>
      <c r="R57" s="27">
        <v>35090</v>
      </c>
      <c r="S57" s="27">
        <v>33440</v>
      </c>
      <c r="T57" s="27">
        <v>33050</v>
      </c>
      <c r="U57" s="27">
        <v>32560</v>
      </c>
      <c r="V57" s="27">
        <v>31430</v>
      </c>
      <c r="W57" s="27">
        <v>30870</v>
      </c>
      <c r="X57" s="27">
        <v>34800</v>
      </c>
      <c r="Y57" s="27">
        <v>42740</v>
      </c>
      <c r="Z57" s="27">
        <v>49750</v>
      </c>
      <c r="AA57" s="27">
        <v>53630</v>
      </c>
      <c r="AB57" s="27">
        <v>55870</v>
      </c>
      <c r="AC57" s="27">
        <v>60620</v>
      </c>
      <c r="AD57" s="27">
        <v>60300</v>
      </c>
      <c r="AE57" s="27">
        <v>61290</v>
      </c>
      <c r="AF57" s="27">
        <v>62050</v>
      </c>
      <c r="AG57" s="27">
        <v>61570</v>
      </c>
      <c r="AH57" s="27">
        <v>63400</v>
      </c>
      <c r="AI57" s="27">
        <v>63650</v>
      </c>
      <c r="AJ57" s="27">
        <v>60350</v>
      </c>
      <c r="AK57" s="27">
        <v>57830</v>
      </c>
      <c r="AL57" s="27">
        <v>56600</v>
      </c>
      <c r="AM57" s="27">
        <v>61090</v>
      </c>
      <c r="AN57" s="27">
        <v>63020</v>
      </c>
      <c r="AO57" s="27">
        <v>62710</v>
      </c>
      <c r="AP57" s="27">
        <v>69810</v>
      </c>
      <c r="AQ57" s="27">
        <v>72040</v>
      </c>
      <c r="AR57" s="27">
        <v>72080</v>
      </c>
      <c r="AS57" s="27">
        <v>72540</v>
      </c>
      <c r="AT57" s="27">
        <v>77190</v>
      </c>
      <c r="AU57" s="29">
        <f t="shared" si="47"/>
        <v>78655.626986775038</v>
      </c>
      <c r="AV57" s="29">
        <f t="shared" ref="AV57:BS57" si="52">AU57*(1+$D57)</f>
        <v>80149.08222156619</v>
      </c>
      <c r="AW57" s="29">
        <f t="shared" si="52"/>
        <v>81670.89408669353</v>
      </c>
      <c r="AX57" s="29">
        <f t="shared" si="52"/>
        <v>83221.600997012283</v>
      </c>
      <c r="AY57" s="29">
        <f t="shared" si="52"/>
        <v>84801.751590403219</v>
      </c>
      <c r="AZ57" s="29">
        <f t="shared" si="52"/>
        <v>86411.904921879948</v>
      </c>
      <c r="BA57" s="29">
        <f t="shared" si="52"/>
        <v>88052.630661381772</v>
      </c>
      <c r="BB57" s="29">
        <f t="shared" si="52"/>
        <v>89724.509295322132</v>
      </c>
      <c r="BC57" s="29">
        <f t="shared" si="52"/>
        <v>91428.132331963818</v>
      </c>
      <c r="BD57" s="29">
        <f t="shared" si="52"/>
        <v>93164.102510693789</v>
      </c>
      <c r="BE57" s="29">
        <f t="shared" si="52"/>
        <v>94933.034015271449</v>
      </c>
      <c r="BF57" s="29">
        <f t="shared" si="52"/>
        <v>96735.552691126024</v>
      </c>
      <c r="BG57" s="29">
        <f t="shared" si="52"/>
        <v>98572.296266779784</v>
      </c>
      <c r="BH57" s="29">
        <f t="shared" si="52"/>
        <v>100443.91457947543</v>
      </c>
      <c r="BI57" s="29">
        <f t="shared" si="52"/>
        <v>102351.06980508764</v>
      </c>
      <c r="BJ57" s="29">
        <f t="shared" si="52"/>
        <v>104294.43669239989</v>
      </c>
      <c r="BK57" s="29">
        <f t="shared" si="52"/>
        <v>106274.70280182964</v>
      </c>
      <c r="BL57" s="29">
        <f t="shared" si="52"/>
        <v>108292.56874868622</v>
      </c>
      <c r="BM57" s="29">
        <f t="shared" si="52"/>
        <v>110348.74845104748</v>
      </c>
      <c r="BN57" s="29">
        <f t="shared" si="52"/>
        <v>112443.96938234306</v>
      </c>
      <c r="BO57" s="29">
        <f t="shared" si="52"/>
        <v>114578.97282873337</v>
      </c>
      <c r="BP57" s="29">
        <f t="shared" si="52"/>
        <v>116754.51415137562</v>
      </c>
      <c r="BQ57" s="29">
        <f t="shared" si="52"/>
        <v>118971.3630536695</v>
      </c>
      <c r="BR57" s="29">
        <f t="shared" si="52"/>
        <v>121230.30385357712</v>
      </c>
      <c r="BS57" s="29">
        <f t="shared" si="52"/>
        <v>123532.1357611136</v>
      </c>
    </row>
    <row r="58" spans="1:71" x14ac:dyDescent="0.2">
      <c r="A58" s="2" t="s">
        <v>317</v>
      </c>
      <c r="B58" s="2" t="s">
        <v>318</v>
      </c>
      <c r="C58" s="11" t="s">
        <v>210</v>
      </c>
      <c r="D58" s="26">
        <f>'Growth calculation'!G59</f>
        <v>5.9313151242370132E-2</v>
      </c>
      <c r="E58" s="27">
        <v>3960</v>
      </c>
      <c r="F58" s="12">
        <v>2025</v>
      </c>
      <c r="G58" s="2" t="s">
        <v>162</v>
      </c>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v>2280</v>
      </c>
      <c r="AK58" s="27">
        <v>2370</v>
      </c>
      <c r="AL58" s="27">
        <v>2450</v>
      </c>
      <c r="AM58" s="27">
        <v>2600</v>
      </c>
      <c r="AN58" s="27">
        <v>2780</v>
      </c>
      <c r="AO58" s="27">
        <v>2780</v>
      </c>
      <c r="AP58" s="27">
        <v>2990</v>
      </c>
      <c r="AQ58" s="27">
        <v>3310</v>
      </c>
      <c r="AR58" s="27">
        <v>3500</v>
      </c>
      <c r="AS58" s="27">
        <v>3640</v>
      </c>
      <c r="AT58" s="27">
        <v>3960</v>
      </c>
      <c r="AU58" s="29">
        <f t="shared" si="47"/>
        <v>4194.8800789197858</v>
      </c>
      <c r="AV58" s="29">
        <f t="shared" ref="AV58:BS58" si="53">AU58*(1+$D58)</f>
        <v>4443.6916354843606</v>
      </c>
      <c r="AW58" s="29">
        <f t="shared" si="53"/>
        <v>4707.2609895342994</v>
      </c>
      <c r="AX58" s="29">
        <f t="shared" si="53"/>
        <v>4986.4634725438564</v>
      </c>
      <c r="AY58" s="29">
        <f t="shared" si="53"/>
        <v>5282.2263346554046</v>
      </c>
      <c r="AZ58" s="29">
        <f t="shared" si="53"/>
        <v>5595.5318241392506</v>
      </c>
      <c r="BA58" s="29">
        <f t="shared" si="53"/>
        <v>5927.4204495059175</v>
      </c>
      <c r="BB58" s="29">
        <f t="shared" si="53"/>
        <v>6278.9944351045797</v>
      </c>
      <c r="BC58" s="29">
        <f t="shared" si="53"/>
        <v>6651.4213816839383</v>
      </c>
      <c r="BD58" s="29">
        <f t="shared" si="53"/>
        <v>7045.9381440724919</v>
      </c>
      <c r="BE58" s="29">
        <f t="shared" si="53"/>
        <v>7463.8549388562487</v>
      </c>
      <c r="BF58" s="29">
        <f t="shared" si="53"/>
        <v>7906.5596956957406</v>
      </c>
      <c r="BG58" s="29">
        <f t="shared" si="53"/>
        <v>8375.52266673337</v>
      </c>
      <c r="BH58" s="29">
        <f t="shared" si="53"/>
        <v>8872.3013093992249</v>
      </c>
      <c r="BI58" s="29">
        <f t="shared" si="53"/>
        <v>9398.5454588315006</v>
      </c>
      <c r="BJ58" s="29">
        <f t="shared" si="53"/>
        <v>9956.0028070894641</v>
      </c>
      <c r="BK58" s="29">
        <f t="shared" si="53"/>
        <v>10546.524707355824</v>
      </c>
      <c r="BL58" s="29">
        <f t="shared" si="53"/>
        <v>11172.072322404614</v>
      </c>
      <c r="BM58" s="29">
        <f t="shared" si="53"/>
        <v>11834.723137754096</v>
      </c>
      <c r="BN58" s="29">
        <f t="shared" si="53"/>
        <v>12536.677861135282</v>
      </c>
      <c r="BO58" s="29">
        <f t="shared" si="53"/>
        <v>13280.267731189671</v>
      </c>
      <c r="BP58" s="29">
        <f t="shared" si="53"/>
        <v>14067.962259668891</v>
      </c>
      <c r="BQ58" s="29">
        <f t="shared" si="53"/>
        <v>14902.377432848587</v>
      </c>
      <c r="BR58" s="29">
        <f t="shared" si="53"/>
        <v>15786.284399394019</v>
      </c>
      <c r="BS58" s="29">
        <f t="shared" si="53"/>
        <v>16722.618673530345</v>
      </c>
    </row>
    <row r="59" spans="1:71" x14ac:dyDescent="0.2">
      <c r="A59" s="2" t="s">
        <v>319</v>
      </c>
      <c r="B59" s="2" t="s">
        <v>320</v>
      </c>
      <c r="C59" s="11" t="s">
        <v>82</v>
      </c>
      <c r="D59" s="26">
        <f>'Growth calculation'!G60</f>
        <v>5.2587900780488916E-2</v>
      </c>
      <c r="E59" s="27">
        <v>10690</v>
      </c>
      <c r="F59" s="12">
        <v>2025</v>
      </c>
      <c r="G59" s="2" t="s">
        <v>162</v>
      </c>
      <c r="H59" s="27">
        <v>2190</v>
      </c>
      <c r="I59" s="27">
        <v>2580</v>
      </c>
      <c r="J59" s="27">
        <v>2620</v>
      </c>
      <c r="K59" s="27">
        <v>2840</v>
      </c>
      <c r="L59" s="27">
        <v>3010</v>
      </c>
      <c r="M59" s="27">
        <v>3260</v>
      </c>
      <c r="N59" s="27">
        <v>3480</v>
      </c>
      <c r="O59" s="27">
        <v>3570</v>
      </c>
      <c r="P59" s="27">
        <v>3800</v>
      </c>
      <c r="Q59" s="27">
        <v>3970</v>
      </c>
      <c r="R59" s="27">
        <v>4090</v>
      </c>
      <c r="S59" s="27">
        <v>4260</v>
      </c>
      <c r="T59" s="27">
        <v>4260</v>
      </c>
      <c r="U59" s="27">
        <v>4290</v>
      </c>
      <c r="V59" s="27">
        <v>4750</v>
      </c>
      <c r="W59" s="27">
        <v>4720</v>
      </c>
      <c r="X59" s="27">
        <v>5310</v>
      </c>
      <c r="Y59" s="27">
        <v>5640</v>
      </c>
      <c r="Z59" s="27">
        <v>5670</v>
      </c>
      <c r="AA59" s="27">
        <v>6070</v>
      </c>
      <c r="AB59" s="27">
        <v>6280</v>
      </c>
      <c r="AC59" s="27">
        <v>6880</v>
      </c>
      <c r="AD59" s="27">
        <v>7080</v>
      </c>
      <c r="AE59" s="27">
        <v>7250</v>
      </c>
      <c r="AF59" s="27">
        <v>7510</v>
      </c>
      <c r="AG59" s="27">
        <v>7530</v>
      </c>
      <c r="AH59" s="27">
        <v>7440</v>
      </c>
      <c r="AI59" s="27">
        <v>7670</v>
      </c>
      <c r="AJ59" s="27">
        <v>7510</v>
      </c>
      <c r="AK59" s="27">
        <v>8000</v>
      </c>
      <c r="AL59" s="27">
        <v>8070</v>
      </c>
      <c r="AM59" s="27">
        <v>8880</v>
      </c>
      <c r="AN59" s="27">
        <v>9350</v>
      </c>
      <c r="AO59" s="27">
        <v>8230</v>
      </c>
      <c r="AP59" s="27">
        <v>8660</v>
      </c>
      <c r="AQ59" s="27">
        <v>9740</v>
      </c>
      <c r="AR59" s="27">
        <v>9990</v>
      </c>
      <c r="AS59" s="27">
        <v>9930</v>
      </c>
      <c r="AT59" s="27">
        <v>10690</v>
      </c>
      <c r="AU59" s="29">
        <f t="shared" si="47"/>
        <v>11252.164659343425</v>
      </c>
      <c r="AV59" s="29">
        <f t="shared" ref="AV59:BS59" si="54">AU59*(1+$D59)</f>
        <v>11843.8923780147</v>
      </c>
      <c r="AW59" s="29">
        <f t="shared" si="54"/>
        <v>12466.737815244524</v>
      </c>
      <c r="AX59" s="29">
        <f t="shared" si="54"/>
        <v>13122.33738652897</v>
      </c>
      <c r="AY59" s="29">
        <f t="shared" si="54"/>
        <v>13812.413563019854</v>
      </c>
      <c r="AZ59" s="29">
        <f t="shared" si="54"/>
        <v>14538.77939701102</v>
      </c>
      <c r="BA59" s="29">
        <f t="shared" si="54"/>
        <v>15303.34328541045</v>
      </c>
      <c r="BB59" s="29">
        <f t="shared" si="54"/>
        <v>16108.113983713374</v>
      </c>
      <c r="BC59" s="29">
        <f t="shared" si="54"/>
        <v>16955.205883649698</v>
      </c>
      <c r="BD59" s="29">
        <f t="shared" si="54"/>
        <v>17846.844568371827</v>
      </c>
      <c r="BE59" s="29">
        <f t="shared" si="54"/>
        <v>18785.372659778172</v>
      </c>
      <c r="BF59" s="29">
        <f t="shared" si="54"/>
        <v>19773.255973335094</v>
      </c>
      <c r="BG59" s="29">
        <f t="shared" si="54"/>
        <v>20813.089996568047</v>
      </c>
      <c r="BH59" s="29">
        <f t="shared" si="54"/>
        <v>21907.606708242951</v>
      </c>
      <c r="BI59" s="29">
        <f t="shared" si="54"/>
        <v>23059.681756154001</v>
      </c>
      <c r="BJ59" s="29">
        <f t="shared" si="54"/>
        <v>24272.342012376277</v>
      </c>
      <c r="BK59" s="29">
        <f t="shared" si="54"/>
        <v>25548.77352583321</v>
      </c>
      <c r="BL59" s="29">
        <f t="shared" si="54"/>
        <v>26892.329893072907</v>
      </c>
      <c r="BM59" s="29">
        <f t="shared" si="54"/>
        <v>28306.541069245999</v>
      </c>
      <c r="BN59" s="29">
        <f t="shared" si="54"/>
        <v>29795.12264243434</v>
      </c>
      <c r="BO59" s="29">
        <f t="shared" si="54"/>
        <v>31361.985595697173</v>
      </c>
      <c r="BP59" s="29">
        <f t="shared" si="54"/>
        <v>33011.246582482818</v>
      </c>
      <c r="BQ59" s="29">
        <f t="shared" si="54"/>
        <v>34747.238742402675</v>
      </c>
      <c r="BR59" s="29">
        <f t="shared" si="54"/>
        <v>36574.523085784102</v>
      </c>
      <c r="BS59" s="29">
        <f t="shared" si="54"/>
        <v>38497.900476913012</v>
      </c>
    </row>
    <row r="60" spans="1:71" x14ac:dyDescent="0.2">
      <c r="A60" s="2" t="s">
        <v>321</v>
      </c>
      <c r="B60" s="2" t="s">
        <v>322</v>
      </c>
      <c r="C60" s="11" t="s">
        <v>82</v>
      </c>
      <c r="D60" s="26">
        <f>'Growth calculation'!G61</f>
        <v>5.2423065861374796E-2</v>
      </c>
      <c r="E60" s="27">
        <v>10620</v>
      </c>
      <c r="F60" s="12">
        <v>2025</v>
      </c>
      <c r="G60" s="2" t="s">
        <v>162</v>
      </c>
      <c r="H60" s="27">
        <v>940</v>
      </c>
      <c r="I60" s="27">
        <v>920</v>
      </c>
      <c r="J60" s="27">
        <v>910</v>
      </c>
      <c r="K60" s="27">
        <v>870</v>
      </c>
      <c r="L60" s="27">
        <v>1040</v>
      </c>
      <c r="M60" s="27">
        <v>1350</v>
      </c>
      <c r="N60" s="27">
        <v>1610</v>
      </c>
      <c r="O60" s="27">
        <v>1740</v>
      </c>
      <c r="P60" s="27">
        <v>1940</v>
      </c>
      <c r="Q60" s="27">
        <v>2150</v>
      </c>
      <c r="R60" s="27">
        <v>2340</v>
      </c>
      <c r="S60" s="27">
        <v>2420</v>
      </c>
      <c r="T60" s="27">
        <v>2510</v>
      </c>
      <c r="U60" s="27">
        <v>2650</v>
      </c>
      <c r="V60" s="27">
        <v>2700</v>
      </c>
      <c r="W60" s="27">
        <v>2850</v>
      </c>
      <c r="X60" s="27">
        <v>2600</v>
      </c>
      <c r="Y60" s="27">
        <v>2520</v>
      </c>
      <c r="Z60" s="27">
        <v>3000</v>
      </c>
      <c r="AA60" s="27">
        <v>3590</v>
      </c>
      <c r="AB60" s="27">
        <v>4380</v>
      </c>
      <c r="AC60" s="27">
        <v>4700</v>
      </c>
      <c r="AD60" s="27">
        <v>4860</v>
      </c>
      <c r="AE60" s="27">
        <v>5260</v>
      </c>
      <c r="AF60" s="27">
        <v>5460</v>
      </c>
      <c r="AG60" s="27">
        <v>5700</v>
      </c>
      <c r="AH60" s="27">
        <v>5940</v>
      </c>
      <c r="AI60" s="27">
        <v>6230</v>
      </c>
      <c r="AJ60" s="27">
        <v>6470</v>
      </c>
      <c r="AK60" s="27">
        <v>6750</v>
      </c>
      <c r="AL60" s="27">
        <v>6920</v>
      </c>
      <c r="AM60" s="27">
        <v>7600</v>
      </c>
      <c r="AN60" s="27">
        <v>7940</v>
      </c>
      <c r="AO60" s="27">
        <v>7080</v>
      </c>
      <c r="AP60" s="27">
        <v>8160</v>
      </c>
      <c r="AQ60" s="27">
        <v>9150</v>
      </c>
      <c r="AR60" s="27">
        <v>9700</v>
      </c>
      <c r="AS60" s="27">
        <v>10310</v>
      </c>
      <c r="AT60" s="27">
        <v>10620</v>
      </c>
      <c r="AU60" s="29">
        <f t="shared" si="47"/>
        <v>11176.7329594478</v>
      </c>
      <c r="AV60" s="29">
        <f t="shared" ref="AV60:BS60" si="55">AU60*(1+$D60)</f>
        <v>11762.651567495928</v>
      </c>
      <c r="AW60" s="29">
        <f t="shared" si="55"/>
        <v>12379.28582532317</v>
      </c>
      <c r="AX60" s="29">
        <f t="shared" si="55"/>
        <v>13028.245941460867</v>
      </c>
      <c r="AY60" s="29">
        <f t="shared" si="55"/>
        <v>13711.226536508259</v>
      </c>
      <c r="AZ60" s="29">
        <f t="shared" si="55"/>
        <v>14430.011068271859</v>
      </c>
      <c r="BA60" s="29">
        <f t="shared" si="55"/>
        <v>15186.47648888424</v>
      </c>
      <c r="BB60" s="29">
        <f t="shared" si="55"/>
        <v>15982.598146063237</v>
      </c>
      <c r="BC60" s="29">
        <f t="shared" si="55"/>
        <v>16820.454941310196</v>
      </c>
      <c r="BD60" s="29">
        <f t="shared" si="55"/>
        <v>17702.234758516784</v>
      </c>
      <c r="BE60" s="29">
        <f t="shared" si="55"/>
        <v>18630.240177156025</v>
      </c>
      <c r="BF60" s="29">
        <f t="shared" si="55"/>
        <v>19606.894484976303</v>
      </c>
      <c r="BG60" s="29">
        <f t="shared" si="55"/>
        <v>20634.748005899241</v>
      </c>
      <c r="BH60" s="29">
        <f t="shared" si="55"/>
        <v>21716.484759645366</v>
      </c>
      <c r="BI60" s="29">
        <f t="shared" si="55"/>
        <v>22854.929470477793</v>
      </c>
      <c r="BJ60" s="29">
        <f t="shared" si="55"/>
        <v>24053.054943365725</v>
      </c>
      <c r="BK60" s="29">
        <f t="shared" si="55"/>
        <v>25313.989826829049</v>
      </c>
      <c r="BL60" s="29">
        <f t="shared" si="55"/>
        <v>26641.026782735076</v>
      </c>
      <c r="BM60" s="29">
        <f t="shared" si="55"/>
        <v>28037.631084381042</v>
      </c>
      <c r="BN60" s="29">
        <f t="shared" si="55"/>
        <v>29507.449665314474</v>
      </c>
      <c r="BO60" s="29">
        <f t="shared" si="55"/>
        <v>31054.320642520452</v>
      </c>
      <c r="BP60" s="29">
        <f t="shared" si="55"/>
        <v>32682.28333884355</v>
      </c>
      <c r="BQ60" s="29">
        <f t="shared" si="55"/>
        <v>34395.588830815854</v>
      </c>
      <c r="BR60" s="29">
        <f t="shared" si="55"/>
        <v>36198.711049434474</v>
      </c>
      <c r="BS60" s="29">
        <f t="shared" si="55"/>
        <v>38096.358462875847</v>
      </c>
    </row>
    <row r="61" spans="1:71" x14ac:dyDescent="0.2">
      <c r="A61" s="2" t="s">
        <v>323</v>
      </c>
      <c r="B61" s="2" t="s">
        <v>324</v>
      </c>
      <c r="C61" s="11" t="s">
        <v>82</v>
      </c>
      <c r="D61" s="26">
        <f>'Growth calculation'!G62</f>
        <v>1.7178891470295388E-2</v>
      </c>
      <c r="E61" s="27">
        <v>6890</v>
      </c>
      <c r="F61" s="12">
        <v>2025</v>
      </c>
      <c r="G61" s="2" t="s">
        <v>162</v>
      </c>
      <c r="H61" s="27">
        <v>1590</v>
      </c>
      <c r="I61" s="27">
        <v>1470</v>
      </c>
      <c r="J61" s="27">
        <v>1330</v>
      </c>
      <c r="K61" s="27">
        <v>1340</v>
      </c>
      <c r="L61" s="27">
        <v>1450</v>
      </c>
      <c r="M61" s="27">
        <v>1570</v>
      </c>
      <c r="N61" s="27">
        <v>1640</v>
      </c>
      <c r="O61" s="27">
        <v>1790</v>
      </c>
      <c r="P61" s="27">
        <v>1950</v>
      </c>
      <c r="Q61" s="27">
        <v>2060</v>
      </c>
      <c r="R61" s="27">
        <v>2170</v>
      </c>
      <c r="S61" s="27">
        <v>2150</v>
      </c>
      <c r="T61" s="27">
        <v>1780</v>
      </c>
      <c r="U61" s="27">
        <v>1500</v>
      </c>
      <c r="V61" s="27">
        <v>1490</v>
      </c>
      <c r="W61" s="27">
        <v>1650</v>
      </c>
      <c r="X61" s="27">
        <v>2010</v>
      </c>
      <c r="Y61" s="27">
        <v>2410</v>
      </c>
      <c r="Z61" s="27">
        <v>2750</v>
      </c>
      <c r="AA61" s="27">
        <v>3000</v>
      </c>
      <c r="AB61" s="27">
        <v>3210</v>
      </c>
      <c r="AC61" s="27">
        <v>3770</v>
      </c>
      <c r="AD61" s="27">
        <v>3970</v>
      </c>
      <c r="AE61" s="27">
        <v>4290</v>
      </c>
      <c r="AF61" s="27">
        <v>4770</v>
      </c>
      <c r="AG61" s="27">
        <v>5320</v>
      </c>
      <c r="AH61" s="27">
        <v>5880</v>
      </c>
      <c r="AI61" s="27">
        <v>6190</v>
      </c>
      <c r="AJ61" s="27">
        <v>5970</v>
      </c>
      <c r="AK61" s="27">
        <v>5750</v>
      </c>
      <c r="AL61" s="27">
        <v>5930</v>
      </c>
      <c r="AM61" s="27">
        <v>6120</v>
      </c>
      <c r="AN61" s="27">
        <v>6100</v>
      </c>
      <c r="AO61" s="27">
        <v>5410</v>
      </c>
      <c r="AP61" s="27">
        <v>6100</v>
      </c>
      <c r="AQ61" s="27">
        <v>6550</v>
      </c>
      <c r="AR61" s="27">
        <v>6570</v>
      </c>
      <c r="AS61" s="27">
        <v>6400</v>
      </c>
      <c r="AT61" s="27">
        <v>6890</v>
      </c>
      <c r="AU61" s="29">
        <f t="shared" si="47"/>
        <v>7008.3625622303343</v>
      </c>
      <c r="AV61" s="29">
        <f t="shared" ref="AV61:BS61" si="56">AU61*(1+$D61)</f>
        <v>7128.7584620713696</v>
      </c>
      <c r="AW61" s="29">
        <f t="shared" si="56"/>
        <v>7251.2226300092425</v>
      </c>
      <c r="AX61" s="29">
        <f t="shared" si="56"/>
        <v>7375.7905965971204</v>
      </c>
      <c r="AY61" s="29">
        <f t="shared" si="56"/>
        <v>7502.4985027636867</v>
      </c>
      <c r="AZ61" s="29">
        <f t="shared" si="56"/>
        <v>7631.3831102987169</v>
      </c>
      <c r="BA61" s="29">
        <f t="shared" si="56"/>
        <v>7762.481812518783</v>
      </c>
      <c r="BB61" s="29">
        <f t="shared" si="56"/>
        <v>7895.8326451161838</v>
      </c>
      <c r="BC61" s="29">
        <f t="shared" si="56"/>
        <v>8031.4742971942496</v>
      </c>
      <c r="BD61" s="29">
        <f t="shared" si="56"/>
        <v>8169.4461224922161</v>
      </c>
      <c r="BE61" s="29">
        <f t="shared" si="56"/>
        <v>8309.788150802935</v>
      </c>
      <c r="BF61" s="29">
        <f t="shared" si="56"/>
        <v>8452.5410995867242</v>
      </c>
      <c r="BG61" s="29">
        <f t="shared" si="56"/>
        <v>8597.7463857847342</v>
      </c>
      <c r="BH61" s="29">
        <f t="shared" si="56"/>
        <v>8745.4461378352535</v>
      </c>
      <c r="BI61" s="29">
        <f t="shared" si="56"/>
        <v>8895.683207896438</v>
      </c>
      <c r="BJ61" s="29">
        <f t="shared" si="56"/>
        <v>9048.5011842790191</v>
      </c>
      <c r="BK61" s="29">
        <f t="shared" si="56"/>
        <v>9203.9444040925864</v>
      </c>
      <c r="BL61" s="29">
        <f t="shared" si="56"/>
        <v>9362.0579661091251</v>
      </c>
      <c r="BM61" s="29">
        <f t="shared" si="56"/>
        <v>9522.8877438475265</v>
      </c>
      <c r="BN61" s="29">
        <f t="shared" si="56"/>
        <v>9686.480398882888</v>
      </c>
      <c r="BO61" s="29">
        <f t="shared" si="56"/>
        <v>9852.8833943844402</v>
      </c>
      <c r="BP61" s="29">
        <f t="shared" si="56"/>
        <v>10022.145008886046</v>
      </c>
      <c r="BQ61" s="29">
        <f t="shared" si="56"/>
        <v>10194.31435029326</v>
      </c>
      <c r="BR61" s="29">
        <f t="shared" si="56"/>
        <v>10369.441370131022</v>
      </c>
      <c r="BS61" s="29">
        <f t="shared" si="56"/>
        <v>10547.576878036092</v>
      </c>
    </row>
    <row r="62" spans="1:71" x14ac:dyDescent="0.2">
      <c r="A62" s="2" t="s">
        <v>325</v>
      </c>
      <c r="B62" s="2" t="s">
        <v>326</v>
      </c>
      <c r="C62" s="11" t="s">
        <v>210</v>
      </c>
      <c r="D62" s="26">
        <f>'Growth calculation'!G63</f>
        <v>1.244E-2</v>
      </c>
      <c r="E62" s="27">
        <v>3260</v>
      </c>
      <c r="F62" s="12">
        <v>2025</v>
      </c>
      <c r="G62" s="28" t="s">
        <v>327</v>
      </c>
      <c r="H62" s="27">
        <v>840</v>
      </c>
      <c r="I62" s="27">
        <v>810</v>
      </c>
      <c r="J62" s="27">
        <v>760</v>
      </c>
      <c r="K62" s="27">
        <v>730</v>
      </c>
      <c r="L62" s="27">
        <v>710</v>
      </c>
      <c r="M62" s="27">
        <v>720</v>
      </c>
      <c r="N62" s="27">
        <v>720</v>
      </c>
      <c r="O62" s="27">
        <v>780</v>
      </c>
      <c r="P62" s="27">
        <v>880</v>
      </c>
      <c r="Q62" s="27">
        <v>970</v>
      </c>
      <c r="R62" s="27">
        <v>1070</v>
      </c>
      <c r="S62" s="27">
        <v>1140</v>
      </c>
      <c r="T62" s="27">
        <v>1240</v>
      </c>
      <c r="U62" s="27">
        <v>1330</v>
      </c>
      <c r="V62" s="27">
        <v>1350</v>
      </c>
      <c r="W62" s="27">
        <v>1250</v>
      </c>
      <c r="X62" s="27">
        <v>1160</v>
      </c>
      <c r="Y62" s="27">
        <v>1120</v>
      </c>
      <c r="Z62" s="27">
        <v>1130</v>
      </c>
      <c r="AA62" s="27">
        <v>1230</v>
      </c>
      <c r="AB62" s="27">
        <v>1420</v>
      </c>
      <c r="AC62" s="27">
        <v>1710</v>
      </c>
      <c r="AD62" s="27">
        <v>1970</v>
      </c>
      <c r="AE62" s="27">
        <v>2200</v>
      </c>
      <c r="AF62" s="27">
        <v>2380</v>
      </c>
      <c r="AG62" s="27">
        <v>2630</v>
      </c>
      <c r="AH62" s="27">
        <v>2810</v>
      </c>
      <c r="AI62" s="27">
        <v>3000</v>
      </c>
      <c r="AJ62" s="27">
        <v>3100</v>
      </c>
      <c r="AK62" s="27">
        <v>3200</v>
      </c>
      <c r="AL62" s="27">
        <v>2880</v>
      </c>
      <c r="AM62" s="27">
        <v>2710</v>
      </c>
      <c r="AN62" s="27">
        <v>2640</v>
      </c>
      <c r="AO62" s="27">
        <v>2960</v>
      </c>
      <c r="AP62" s="27">
        <v>3470</v>
      </c>
      <c r="AQ62" s="27">
        <v>4040</v>
      </c>
      <c r="AR62" s="27">
        <v>3840</v>
      </c>
      <c r="AS62" s="27">
        <v>3510</v>
      </c>
      <c r="AT62" s="27">
        <v>3260</v>
      </c>
      <c r="AU62" s="29">
        <f t="shared" si="47"/>
        <v>3300.5544</v>
      </c>
      <c r="AV62" s="29">
        <f t="shared" ref="AV62:BS62" si="57">AU62*(1+$D62)</f>
        <v>3341.6132967359999</v>
      </c>
      <c r="AW62" s="29">
        <f t="shared" si="57"/>
        <v>3383.1829661473957</v>
      </c>
      <c r="AX62" s="29">
        <f t="shared" si="57"/>
        <v>3425.2697622462692</v>
      </c>
      <c r="AY62" s="29">
        <f t="shared" si="57"/>
        <v>3467.880118088613</v>
      </c>
      <c r="AZ62" s="29">
        <f t="shared" si="57"/>
        <v>3511.0205467576352</v>
      </c>
      <c r="BA62" s="29">
        <f t="shared" si="57"/>
        <v>3554.6976423593001</v>
      </c>
      <c r="BB62" s="29">
        <f t="shared" si="57"/>
        <v>3598.9180810302496</v>
      </c>
      <c r="BC62" s="29">
        <f t="shared" si="57"/>
        <v>3643.6886219582661</v>
      </c>
      <c r="BD62" s="29">
        <f t="shared" si="57"/>
        <v>3689.016108415427</v>
      </c>
      <c r="BE62" s="29">
        <f t="shared" si="57"/>
        <v>3734.9074688041151</v>
      </c>
      <c r="BF62" s="29">
        <f t="shared" si="57"/>
        <v>3781.3697177160384</v>
      </c>
      <c r="BG62" s="29">
        <f t="shared" si="57"/>
        <v>3828.4099570044259</v>
      </c>
      <c r="BH62" s="29">
        <f t="shared" si="57"/>
        <v>3876.0353768695609</v>
      </c>
      <c r="BI62" s="29">
        <f t="shared" si="57"/>
        <v>3924.2532569578184</v>
      </c>
      <c r="BJ62" s="29">
        <f t="shared" si="57"/>
        <v>3973.0709674743739</v>
      </c>
      <c r="BK62" s="29">
        <f t="shared" si="57"/>
        <v>4022.4959703097552</v>
      </c>
      <c r="BL62" s="29">
        <f t="shared" si="57"/>
        <v>4072.5358201804088</v>
      </c>
      <c r="BM62" s="29">
        <f t="shared" si="57"/>
        <v>4123.1981657834531</v>
      </c>
      <c r="BN62" s="29">
        <f t="shared" si="57"/>
        <v>4174.4907509657996</v>
      </c>
      <c r="BO62" s="29">
        <f t="shared" si="57"/>
        <v>4226.4214159078147</v>
      </c>
      <c r="BP62" s="29">
        <f t="shared" si="57"/>
        <v>4278.9980983217083</v>
      </c>
      <c r="BQ62" s="29">
        <f t="shared" si="57"/>
        <v>4332.2288346648302</v>
      </c>
      <c r="BR62" s="29">
        <f t="shared" si="57"/>
        <v>4386.121761368061</v>
      </c>
      <c r="BS62" s="29">
        <f t="shared" si="57"/>
        <v>4440.6851160794795</v>
      </c>
    </row>
    <row r="63" spans="1:71" x14ac:dyDescent="0.2">
      <c r="A63" s="2" t="s">
        <v>328</v>
      </c>
      <c r="B63" s="2" t="s">
        <v>329</v>
      </c>
      <c r="C63" s="11" t="s">
        <v>82</v>
      </c>
      <c r="D63" s="26">
        <f>'Growth calculation'!G64</f>
        <v>4.7466239882742234E-2</v>
      </c>
      <c r="E63" s="27">
        <v>5410</v>
      </c>
      <c r="F63" s="12">
        <v>2025</v>
      </c>
      <c r="G63" s="2" t="s">
        <v>162</v>
      </c>
      <c r="H63" s="27">
        <v>820</v>
      </c>
      <c r="I63" s="27">
        <v>860</v>
      </c>
      <c r="J63" s="27">
        <v>850</v>
      </c>
      <c r="K63" s="27">
        <v>880</v>
      </c>
      <c r="L63" s="27">
        <v>910</v>
      </c>
      <c r="M63" s="27">
        <v>1030</v>
      </c>
      <c r="N63" s="27">
        <v>1130</v>
      </c>
      <c r="O63" s="27">
        <v>1260</v>
      </c>
      <c r="P63" s="27">
        <v>1450</v>
      </c>
      <c r="Q63" s="27">
        <v>1560</v>
      </c>
      <c r="R63" s="27">
        <v>1660</v>
      </c>
      <c r="S63" s="27">
        <v>1730</v>
      </c>
      <c r="T63" s="27">
        <v>1790</v>
      </c>
      <c r="U63" s="27">
        <v>1890</v>
      </c>
      <c r="V63" s="27">
        <v>1940</v>
      </c>
      <c r="W63" s="27">
        <v>1990</v>
      </c>
      <c r="X63" s="27">
        <v>2120</v>
      </c>
      <c r="Y63" s="27">
        <v>2280</v>
      </c>
      <c r="Z63" s="27">
        <v>2430</v>
      </c>
      <c r="AA63" s="27">
        <v>2600</v>
      </c>
      <c r="AB63" s="27">
        <v>2730</v>
      </c>
      <c r="AC63" s="27">
        <v>2910</v>
      </c>
      <c r="AD63" s="27">
        <v>2870</v>
      </c>
      <c r="AE63" s="27">
        <v>2940</v>
      </c>
      <c r="AF63" s="27">
        <v>3120</v>
      </c>
      <c r="AG63" s="27">
        <v>3280</v>
      </c>
      <c r="AH63" s="27">
        <v>3420</v>
      </c>
      <c r="AI63" s="27">
        <v>3480</v>
      </c>
      <c r="AJ63" s="27">
        <v>3520</v>
      </c>
      <c r="AK63" s="27">
        <v>3600</v>
      </c>
      <c r="AL63" s="27">
        <v>3700</v>
      </c>
      <c r="AM63" s="27">
        <v>3940</v>
      </c>
      <c r="AN63" s="27">
        <v>4130</v>
      </c>
      <c r="AO63" s="27">
        <v>3800</v>
      </c>
      <c r="AP63" s="27">
        <v>4380</v>
      </c>
      <c r="AQ63" s="27">
        <v>4710</v>
      </c>
      <c r="AR63" s="27">
        <v>4930</v>
      </c>
      <c r="AS63" s="27">
        <v>5070</v>
      </c>
      <c r="AT63" s="27">
        <v>5410</v>
      </c>
      <c r="AU63" s="29">
        <f t="shared" si="47"/>
        <v>5666.7923577656347</v>
      </c>
      <c r="AV63" s="29">
        <f t="shared" ref="AV63:BS63" si="58">AU63*(1+$D63)</f>
        <v>5935.7736831850279</v>
      </c>
      <c r="AW63" s="29">
        <f t="shared" si="58"/>
        <v>6217.5225407207563</v>
      </c>
      <c r="AX63" s="29">
        <f t="shared" si="58"/>
        <v>6512.6449571149642</v>
      </c>
      <c r="AY63" s="29">
        <f t="shared" si="58"/>
        <v>6821.7757249205142</v>
      </c>
      <c r="AZ63" s="29">
        <f t="shared" si="58"/>
        <v>7145.5797679058587</v>
      </c>
      <c r="BA63" s="29">
        <f t="shared" si="58"/>
        <v>7484.7535712705467</v>
      </c>
      <c r="BB63" s="29">
        <f t="shared" si="58"/>
        <v>7840.0266797476852</v>
      </c>
      <c r="BC63" s="29">
        <f t="shared" si="58"/>
        <v>8212.1632668156872</v>
      </c>
      <c r="BD63" s="29">
        <f t="shared" si="58"/>
        <v>8601.9637783946037</v>
      </c>
      <c r="BE63" s="29">
        <f t="shared" si="58"/>
        <v>9010.2666545625416</v>
      </c>
      <c r="BF63" s="29">
        <f t="shared" si="58"/>
        <v>9437.9501329954801</v>
      </c>
      <c r="BG63" s="29">
        <f t="shared" si="58"/>
        <v>9885.9341380096012</v>
      </c>
      <c r="BH63" s="29">
        <f t="shared" si="58"/>
        <v>10355.182259269355</v>
      </c>
      <c r="BI63" s="29">
        <f t="shared" si="58"/>
        <v>10846.703824417349</v>
      </c>
      <c r="BJ63" s="29">
        <f t="shared" si="58"/>
        <v>11361.5560700842</v>
      </c>
      <c r="BK63" s="29">
        <f t="shared" si="58"/>
        <v>11900.846415948041</v>
      </c>
      <c r="BL63" s="29">
        <f t="shared" si="58"/>
        <v>12465.734846735102</v>
      </c>
      <c r="BM63" s="29">
        <f t="shared" si="58"/>
        <v>13057.436407284888</v>
      </c>
      <c r="BN63" s="29">
        <f t="shared" si="58"/>
        <v>13677.223816046722</v>
      </c>
      <c r="BO63" s="29">
        <f t="shared" si="58"/>
        <v>14326.43020262915</v>
      </c>
      <c r="BP63" s="29">
        <f t="shared" si="58"/>
        <v>15006.451975290507</v>
      </c>
      <c r="BQ63" s="29">
        <f t="shared" si="58"/>
        <v>15718.751824538496</v>
      </c>
      <c r="BR63" s="29">
        <f t="shared" si="58"/>
        <v>16464.86186929933</v>
      </c>
      <c r="BS63" s="29">
        <f t="shared" si="58"/>
        <v>17246.386952423705</v>
      </c>
    </row>
    <row r="64" spans="1:71" x14ac:dyDescent="0.2">
      <c r="A64" s="2" t="s">
        <v>330</v>
      </c>
      <c r="B64" s="2" t="s">
        <v>331</v>
      </c>
      <c r="C64" s="11" t="s">
        <v>82</v>
      </c>
      <c r="D64" s="26">
        <f>'Growth calculation'!G65</f>
        <v>1.244E-2</v>
      </c>
      <c r="E64" s="27">
        <v>5890</v>
      </c>
      <c r="F64" s="12">
        <v>2025</v>
      </c>
      <c r="G64" s="28" t="s">
        <v>332</v>
      </c>
      <c r="H64" s="27">
        <v>190</v>
      </c>
      <c r="I64" s="27">
        <v>220</v>
      </c>
      <c r="J64" s="27">
        <v>200</v>
      </c>
      <c r="K64" s="27">
        <v>230</v>
      </c>
      <c r="L64" s="27">
        <v>230</v>
      </c>
      <c r="M64" s="27">
        <v>330</v>
      </c>
      <c r="N64" s="27">
        <v>320</v>
      </c>
      <c r="O64" s="27">
        <v>230</v>
      </c>
      <c r="P64" s="27">
        <v>220</v>
      </c>
      <c r="Q64" s="27">
        <v>310</v>
      </c>
      <c r="R64" s="27">
        <v>760</v>
      </c>
      <c r="S64" s="27">
        <v>610</v>
      </c>
      <c r="T64" s="27">
        <v>710</v>
      </c>
      <c r="U64" s="27">
        <v>660</v>
      </c>
      <c r="V64" s="27">
        <v>760</v>
      </c>
      <c r="W64" s="27">
        <v>1050</v>
      </c>
      <c r="X64" s="27">
        <v>960</v>
      </c>
      <c r="Y64" s="27">
        <v>1370</v>
      </c>
      <c r="Z64" s="27">
        <v>3080</v>
      </c>
      <c r="AA64" s="27">
        <v>6420</v>
      </c>
      <c r="AB64" s="27">
        <v>9200</v>
      </c>
      <c r="AC64" s="27">
        <v>11310</v>
      </c>
      <c r="AD64" s="27">
        <v>9950</v>
      </c>
      <c r="AE64" s="27">
        <v>7920</v>
      </c>
      <c r="AF64" s="27">
        <v>9030</v>
      </c>
      <c r="AG64" s="27">
        <v>11430</v>
      </c>
      <c r="AH64" s="27">
        <v>12400</v>
      </c>
      <c r="AI64" s="27">
        <v>12620</v>
      </c>
      <c r="AJ64" s="27">
        <v>9920</v>
      </c>
      <c r="AK64" s="27">
        <v>6970</v>
      </c>
      <c r="AL64" s="27">
        <v>6630</v>
      </c>
      <c r="AM64" s="27">
        <v>6270</v>
      </c>
      <c r="AN64" s="27">
        <v>5570</v>
      </c>
      <c r="AO64" s="27">
        <v>6140</v>
      </c>
      <c r="AP64" s="27">
        <v>5980</v>
      </c>
      <c r="AQ64" s="27">
        <v>5210</v>
      </c>
      <c r="AR64" s="27">
        <v>6230</v>
      </c>
      <c r="AS64" s="27">
        <v>6050</v>
      </c>
      <c r="AT64" s="27">
        <v>5890</v>
      </c>
      <c r="AU64" s="29">
        <f t="shared" si="47"/>
        <v>5963.2716</v>
      </c>
      <c r="AV64" s="29">
        <f t="shared" ref="AV64:BS64" si="59">AU64*(1+$D64)</f>
        <v>6037.4546987040003</v>
      </c>
      <c r="AW64" s="29">
        <f t="shared" si="59"/>
        <v>6112.5606351558781</v>
      </c>
      <c r="AX64" s="29">
        <f t="shared" si="59"/>
        <v>6188.6008894572169</v>
      </c>
      <c r="AY64" s="29">
        <f t="shared" si="59"/>
        <v>6265.5870845220643</v>
      </c>
      <c r="AZ64" s="29">
        <f t="shared" si="59"/>
        <v>6343.530987853519</v>
      </c>
      <c r="BA64" s="29">
        <f t="shared" si="59"/>
        <v>6422.4445133424169</v>
      </c>
      <c r="BB64" s="29">
        <f t="shared" si="59"/>
        <v>6502.3397230883966</v>
      </c>
      <c r="BC64" s="29">
        <f t="shared" si="59"/>
        <v>6583.228829243616</v>
      </c>
      <c r="BD64" s="29">
        <f t="shared" si="59"/>
        <v>6665.1241958794062</v>
      </c>
      <c r="BE64" s="29">
        <f t="shared" si="59"/>
        <v>6748.0383408761463</v>
      </c>
      <c r="BF64" s="29">
        <f t="shared" si="59"/>
        <v>6831.983937836646</v>
      </c>
      <c r="BG64" s="29">
        <f t="shared" si="59"/>
        <v>6916.9738180233335</v>
      </c>
      <c r="BH64" s="29">
        <f t="shared" si="59"/>
        <v>7003.0209723195439</v>
      </c>
      <c r="BI64" s="29">
        <f t="shared" si="59"/>
        <v>7090.138553215199</v>
      </c>
      <c r="BJ64" s="29">
        <f t="shared" si="59"/>
        <v>7178.3398768171965</v>
      </c>
      <c r="BK64" s="29">
        <f t="shared" si="59"/>
        <v>7267.6384248848026</v>
      </c>
      <c r="BL64" s="29">
        <f t="shared" si="59"/>
        <v>7358.0478468903693</v>
      </c>
      <c r="BM64" s="29">
        <f t="shared" si="59"/>
        <v>7449.5819621056853</v>
      </c>
      <c r="BN64" s="29">
        <f t="shared" si="59"/>
        <v>7542.25476171428</v>
      </c>
      <c r="BO64" s="29">
        <f t="shared" si="59"/>
        <v>7636.0804109500059</v>
      </c>
      <c r="BP64" s="29">
        <f t="shared" si="59"/>
        <v>7731.0732512622244</v>
      </c>
      <c r="BQ64" s="29">
        <f t="shared" si="59"/>
        <v>7827.2478025079263</v>
      </c>
      <c r="BR64" s="29">
        <f t="shared" si="59"/>
        <v>7924.6187651711252</v>
      </c>
      <c r="BS64" s="29">
        <f t="shared" si="59"/>
        <v>8023.2010226098537</v>
      </c>
    </row>
    <row r="65" spans="1:71" x14ac:dyDescent="0.2">
      <c r="A65" s="2" t="s">
        <v>333</v>
      </c>
      <c r="B65" s="2" t="s">
        <v>334</v>
      </c>
      <c r="C65" s="11" t="s">
        <v>75</v>
      </c>
      <c r="G65" s="28" t="s">
        <v>204</v>
      </c>
      <c r="H65" s="27"/>
      <c r="I65" s="27"/>
      <c r="J65" s="27"/>
      <c r="K65" s="27"/>
      <c r="L65" s="27"/>
      <c r="M65" s="27"/>
      <c r="N65" s="27"/>
      <c r="O65" s="27">
        <v>310</v>
      </c>
      <c r="P65" s="27">
        <v>300</v>
      </c>
      <c r="Q65" s="27">
        <v>310</v>
      </c>
      <c r="R65" s="27">
        <v>330</v>
      </c>
      <c r="S65" s="27">
        <v>330</v>
      </c>
      <c r="T65" s="27">
        <v>320</v>
      </c>
      <c r="U65" s="27">
        <v>310</v>
      </c>
      <c r="V65" s="27">
        <v>320</v>
      </c>
      <c r="W65" s="27">
        <v>310</v>
      </c>
      <c r="X65" s="27">
        <v>310</v>
      </c>
      <c r="Y65" s="27">
        <v>350</v>
      </c>
      <c r="Z65" s="27">
        <v>410</v>
      </c>
      <c r="AA65" s="27">
        <v>440</v>
      </c>
      <c r="AB65" s="27">
        <v>450</v>
      </c>
      <c r="AC65" s="27">
        <v>440</v>
      </c>
      <c r="AD65" s="27">
        <v>520</v>
      </c>
      <c r="AE65" s="27">
        <v>550</v>
      </c>
      <c r="AF65" s="27">
        <v>650</v>
      </c>
      <c r="AG65" s="27"/>
      <c r="AH65" s="27"/>
      <c r="AI65" s="27"/>
      <c r="AJ65" s="27"/>
      <c r="AK65" s="27"/>
      <c r="AL65" s="27"/>
      <c r="AM65" s="27"/>
      <c r="AN65" s="27"/>
      <c r="AO65" s="27"/>
      <c r="AP65" s="27"/>
      <c r="AQ65" s="27"/>
      <c r="AR65" s="27"/>
      <c r="AS65" s="27"/>
      <c r="AT65" s="27"/>
    </row>
    <row r="66" spans="1:71" x14ac:dyDescent="0.2">
      <c r="A66" s="2" t="s">
        <v>335</v>
      </c>
      <c r="B66" s="2" t="s">
        <v>336</v>
      </c>
      <c r="C66" s="11" t="s">
        <v>79</v>
      </c>
      <c r="D66" s="26">
        <f>'Growth calculation'!G67</f>
        <v>4.2816116081881517E-2</v>
      </c>
      <c r="E66" s="27">
        <v>32310</v>
      </c>
      <c r="F66" s="12">
        <v>2025</v>
      </c>
      <c r="G66" s="2" t="s">
        <v>162</v>
      </c>
      <c r="H66" s="27"/>
      <c r="I66" s="27"/>
      <c r="J66" s="27"/>
      <c r="K66" s="27"/>
      <c r="L66" s="27"/>
      <c r="M66" s="27"/>
      <c r="N66" s="27"/>
      <c r="O66" s="27"/>
      <c r="P66" s="27">
        <v>3020</v>
      </c>
      <c r="Q66" s="27">
        <v>3370</v>
      </c>
      <c r="R66" s="27">
        <v>3640</v>
      </c>
      <c r="S66" s="27">
        <v>3820</v>
      </c>
      <c r="T66" s="27">
        <v>3840</v>
      </c>
      <c r="U66" s="27">
        <v>4170</v>
      </c>
      <c r="V66" s="27">
        <v>4310</v>
      </c>
      <c r="W66" s="27">
        <v>4620</v>
      </c>
      <c r="X66" s="27">
        <v>5730</v>
      </c>
      <c r="Y66" s="27">
        <v>7500</v>
      </c>
      <c r="Z66" s="27">
        <v>9730</v>
      </c>
      <c r="AA66" s="27">
        <v>11500</v>
      </c>
      <c r="AB66" s="27">
        <v>13430</v>
      </c>
      <c r="AC66" s="27">
        <v>15190</v>
      </c>
      <c r="AD66" s="27">
        <v>14570</v>
      </c>
      <c r="AE66" s="27">
        <v>14580</v>
      </c>
      <c r="AF66" s="27">
        <v>15900</v>
      </c>
      <c r="AG66" s="27">
        <v>16910</v>
      </c>
      <c r="AH66" s="27">
        <v>18370</v>
      </c>
      <c r="AI66" s="27">
        <v>19210</v>
      </c>
      <c r="AJ66" s="27">
        <v>18900</v>
      </c>
      <c r="AK66" s="27">
        <v>18640</v>
      </c>
      <c r="AL66" s="27">
        <v>19140</v>
      </c>
      <c r="AM66" s="27">
        <v>21600</v>
      </c>
      <c r="AN66" s="27">
        <v>23490</v>
      </c>
      <c r="AO66" s="27">
        <v>23580</v>
      </c>
      <c r="AP66" s="27">
        <v>26490</v>
      </c>
      <c r="AQ66" s="27">
        <v>27580</v>
      </c>
      <c r="AR66" s="27">
        <v>27650</v>
      </c>
      <c r="AS66" s="27">
        <v>28880</v>
      </c>
      <c r="AT66" s="27">
        <v>32310</v>
      </c>
      <c r="AU66" s="29">
        <f t="shared" ref="AU66:AU78" si="60">$E66*(1+$D66)</f>
        <v>33693.388710605592</v>
      </c>
      <c r="AV66" s="29">
        <f t="shared" ref="AV66:BS66" si="61">AU66*(1+$D66)</f>
        <v>35136.008752830843</v>
      </c>
      <c r="AW66" s="29">
        <f t="shared" si="61"/>
        <v>36640.396182246055</v>
      </c>
      <c r="AX66" s="29">
        <f t="shared" si="61"/>
        <v>38209.195638471232</v>
      </c>
      <c r="AY66" s="29">
        <f t="shared" si="61"/>
        <v>39845.164994323342</v>
      </c>
      <c r="AZ66" s="29">
        <f t="shared" si="61"/>
        <v>41551.180204022014</v>
      </c>
      <c r="BA66" s="29">
        <f t="shared" si="61"/>
        <v>43330.240358976604</v>
      </c>
      <c r="BB66" s="29">
        <f t="shared" si="61"/>
        <v>45185.472960042382</v>
      </c>
      <c r="BC66" s="29">
        <f t="shared" si="61"/>
        <v>47120.139415514277</v>
      </c>
      <c r="BD66" s="29">
        <f t="shared" si="61"/>
        <v>49137.640774523381</v>
      </c>
      <c r="BE66" s="29">
        <f t="shared" si="61"/>
        <v>51241.523705915177</v>
      </c>
      <c r="BF66" s="29">
        <f t="shared" si="61"/>
        <v>53435.486733120131</v>
      </c>
      <c r="BG66" s="29">
        <f t="shared" si="61"/>
        <v>55723.386735977248</v>
      </c>
      <c r="BH66" s="29">
        <f t="shared" si="61"/>
        <v>58109.245730940434</v>
      </c>
      <c r="BI66" s="29">
        <f t="shared" si="61"/>
        <v>60597.257941586962</v>
      </c>
      <c r="BJ66" s="29">
        <f t="shared" si="61"/>
        <v>63191.797171857674</v>
      </c>
      <c r="BK66" s="29">
        <f t="shared" si="61"/>
        <v>65897.424494990657</v>
      </c>
      <c r="BL66" s="29">
        <f t="shared" si="61"/>
        <v>68718.896271665202</v>
      </c>
      <c r="BM66" s="29">
        <f t="shared" si="61"/>
        <v>71661.172511451601</v>
      </c>
      <c r="BN66" s="29">
        <f t="shared" si="61"/>
        <v>74729.425592265659</v>
      </c>
      <c r="BO66" s="29">
        <f t="shared" si="61"/>
        <v>77929.049353156443</v>
      </c>
      <c r="BP66" s="29">
        <f t="shared" si="61"/>
        <v>81265.668576411874</v>
      </c>
      <c r="BQ66" s="29">
        <f t="shared" si="61"/>
        <v>84745.148875651241</v>
      </c>
      <c r="BR66" s="29">
        <f t="shared" si="61"/>
        <v>88373.607007287472</v>
      </c>
      <c r="BS66" s="29">
        <f t="shared" si="61"/>
        <v>92157.42162348608</v>
      </c>
    </row>
    <row r="67" spans="1:71" x14ac:dyDescent="0.2">
      <c r="A67" s="2" t="s">
        <v>337</v>
      </c>
      <c r="B67" s="2" t="s">
        <v>338</v>
      </c>
      <c r="C67" s="11" t="s">
        <v>210</v>
      </c>
      <c r="D67" s="26">
        <f>'Growth calculation'!G68</f>
        <v>1.7842276545826152E-2</v>
      </c>
      <c r="E67" s="27">
        <v>3730</v>
      </c>
      <c r="F67" s="12">
        <v>2025</v>
      </c>
      <c r="G67" s="2" t="s">
        <v>162</v>
      </c>
      <c r="H67" s="27"/>
      <c r="I67" s="27"/>
      <c r="J67" s="27"/>
      <c r="K67" s="27">
        <v>1220</v>
      </c>
      <c r="L67" s="27">
        <v>1260</v>
      </c>
      <c r="M67" s="27">
        <v>1440</v>
      </c>
      <c r="N67" s="27">
        <v>1450</v>
      </c>
      <c r="O67" s="27">
        <v>1470</v>
      </c>
      <c r="P67" s="27">
        <v>1740</v>
      </c>
      <c r="Q67" s="27">
        <v>1840</v>
      </c>
      <c r="R67" s="27">
        <v>1870</v>
      </c>
      <c r="S67" s="27">
        <v>1670</v>
      </c>
      <c r="T67" s="27">
        <v>1670</v>
      </c>
      <c r="U67" s="27">
        <v>1600</v>
      </c>
      <c r="V67" s="27">
        <v>1620</v>
      </c>
      <c r="W67" s="27">
        <v>1470</v>
      </c>
      <c r="X67" s="27">
        <v>1600</v>
      </c>
      <c r="Y67" s="27">
        <v>2020</v>
      </c>
      <c r="Z67" s="27">
        <v>2880</v>
      </c>
      <c r="AA67" s="27">
        <v>3090</v>
      </c>
      <c r="AB67" s="27">
        <v>3250</v>
      </c>
      <c r="AC67" s="27">
        <v>3160</v>
      </c>
      <c r="AD67" s="27">
        <v>3120</v>
      </c>
      <c r="AE67" s="27">
        <v>3260</v>
      </c>
      <c r="AF67" s="27">
        <v>3620</v>
      </c>
      <c r="AG67" s="27">
        <v>4010</v>
      </c>
      <c r="AH67" s="27">
        <v>4120</v>
      </c>
      <c r="AI67" s="27">
        <v>3890</v>
      </c>
      <c r="AJ67" s="27">
        <v>3540</v>
      </c>
      <c r="AK67" s="27">
        <v>3270</v>
      </c>
      <c r="AL67" s="27">
        <v>3290</v>
      </c>
      <c r="AM67" s="27">
        <v>3460</v>
      </c>
      <c r="AN67" s="27">
        <v>3680</v>
      </c>
      <c r="AO67" s="27">
        <v>3430</v>
      </c>
      <c r="AP67" s="27">
        <v>3620</v>
      </c>
      <c r="AQ67" s="27">
        <v>3650</v>
      </c>
      <c r="AR67" s="27">
        <v>3750</v>
      </c>
      <c r="AS67" s="27">
        <v>3440</v>
      </c>
      <c r="AT67" s="27">
        <v>3730</v>
      </c>
      <c r="AU67" s="29">
        <f t="shared" si="60"/>
        <v>3796.5516915159315</v>
      </c>
      <c r="AV67" s="29">
        <f t="shared" ref="AV67:BS67" si="62">AU67*(1+$D67)</f>
        <v>3864.2908167164828</v>
      </c>
      <c r="AW67" s="29">
        <f t="shared" si="62"/>
        <v>3933.2385621218345</v>
      </c>
      <c r="AX67" s="29">
        <f t="shared" si="62"/>
        <v>4003.4164922679201</v>
      </c>
      <c r="AY67" s="29">
        <f t="shared" si="62"/>
        <v>4074.8465564510857</v>
      </c>
      <c r="AZ67" s="29">
        <f t="shared" si="62"/>
        <v>4147.5510955930931</v>
      </c>
      <c r="BA67" s="29">
        <f t="shared" si="62"/>
        <v>4221.5528492286094</v>
      </c>
      <c r="BB67" s="29">
        <f t="shared" si="62"/>
        <v>4296.8749626173667</v>
      </c>
      <c r="BC67" s="29">
        <f t="shared" si="62"/>
        <v>4373.5409939832225</v>
      </c>
      <c r="BD67" s="29">
        <f t="shared" si="62"/>
        <v>4451.5749218823785</v>
      </c>
      <c r="BE67" s="29">
        <f t="shared" si="62"/>
        <v>4531.0011527030683</v>
      </c>
      <c r="BF67" s="29">
        <f t="shared" si="62"/>
        <v>4611.8445282990533</v>
      </c>
      <c r="BG67" s="29">
        <f t="shared" si="62"/>
        <v>4694.1303337593199</v>
      </c>
      <c r="BH67" s="29">
        <f t="shared" si="62"/>
        <v>4777.8843053164046</v>
      </c>
      <c r="BI67" s="29">
        <f t="shared" si="62"/>
        <v>4863.1326383958221</v>
      </c>
      <c r="BJ67" s="29">
        <f t="shared" si="62"/>
        <v>4949.9019958091139</v>
      </c>
      <c r="BK67" s="29">
        <f t="shared" si="62"/>
        <v>5038.2195160930769</v>
      </c>
      <c r="BL67" s="29">
        <f t="shared" si="62"/>
        <v>5128.1128219977882</v>
      </c>
      <c r="BM67" s="29">
        <f t="shared" si="62"/>
        <v>5219.61002912607</v>
      </c>
      <c r="BN67" s="29">
        <f t="shared" si="62"/>
        <v>5312.7397547271048</v>
      </c>
      <c r="BO67" s="29">
        <f t="shared" si="62"/>
        <v>5407.5311266469507</v>
      </c>
      <c r="BP67" s="29">
        <f t="shared" si="62"/>
        <v>5504.0137924387482</v>
      </c>
      <c r="BQ67" s="29">
        <f t="shared" si="62"/>
        <v>5602.2179286354813</v>
      </c>
      <c r="BR67" s="29">
        <f t="shared" si="62"/>
        <v>5702.1742501881808</v>
      </c>
      <c r="BS67" s="29">
        <f t="shared" si="62"/>
        <v>5803.9140200725269</v>
      </c>
    </row>
    <row r="68" spans="1:71" x14ac:dyDescent="0.2">
      <c r="A68" s="2" t="s">
        <v>339</v>
      </c>
      <c r="B68" s="2" t="s">
        <v>340</v>
      </c>
      <c r="C68" s="11" t="s">
        <v>75</v>
      </c>
      <c r="D68" s="26">
        <f>'Growth calculation'!G69</f>
        <v>5.5947999999999998E-2</v>
      </c>
      <c r="E68" s="27">
        <v>1110</v>
      </c>
      <c r="F68" s="12">
        <v>2025</v>
      </c>
      <c r="G68" s="28" t="s">
        <v>341</v>
      </c>
      <c r="H68" s="27">
        <v>290</v>
      </c>
      <c r="I68" s="27">
        <v>280</v>
      </c>
      <c r="J68" s="27">
        <v>260</v>
      </c>
      <c r="K68" s="27">
        <v>260</v>
      </c>
      <c r="L68" s="27">
        <v>250</v>
      </c>
      <c r="M68" s="27">
        <v>230</v>
      </c>
      <c r="N68" s="27">
        <v>220</v>
      </c>
      <c r="O68" s="27">
        <v>170</v>
      </c>
      <c r="P68" s="27">
        <v>150</v>
      </c>
      <c r="Q68" s="27">
        <v>150</v>
      </c>
      <c r="R68" s="27">
        <v>150</v>
      </c>
      <c r="S68" s="27">
        <v>130</v>
      </c>
      <c r="T68" s="27">
        <v>130</v>
      </c>
      <c r="U68" s="27">
        <v>120</v>
      </c>
      <c r="V68" s="27">
        <v>120</v>
      </c>
      <c r="W68" s="27">
        <v>120</v>
      </c>
      <c r="X68" s="27">
        <v>110</v>
      </c>
      <c r="Y68" s="27">
        <v>130</v>
      </c>
      <c r="Z68" s="27">
        <v>160</v>
      </c>
      <c r="AA68" s="27">
        <v>180</v>
      </c>
      <c r="AB68" s="27">
        <v>210</v>
      </c>
      <c r="AC68" s="27">
        <v>270</v>
      </c>
      <c r="AD68" s="27">
        <v>330</v>
      </c>
      <c r="AE68" s="27">
        <v>370</v>
      </c>
      <c r="AF68" s="27">
        <v>380</v>
      </c>
      <c r="AG68" s="27">
        <v>400</v>
      </c>
      <c r="AH68" s="27">
        <v>450</v>
      </c>
      <c r="AI68" s="27">
        <v>530</v>
      </c>
      <c r="AJ68" s="27">
        <v>570</v>
      </c>
      <c r="AK68" s="27">
        <v>620</v>
      </c>
      <c r="AL68" s="27">
        <v>670</v>
      </c>
      <c r="AM68" s="27">
        <v>730</v>
      </c>
      <c r="AN68" s="27">
        <v>790</v>
      </c>
      <c r="AO68" s="27">
        <v>820</v>
      </c>
      <c r="AP68" s="27">
        <v>880</v>
      </c>
      <c r="AQ68" s="27">
        <v>960</v>
      </c>
      <c r="AR68" s="27">
        <v>1030</v>
      </c>
      <c r="AS68" s="27">
        <v>1100</v>
      </c>
      <c r="AT68" s="27">
        <v>1110</v>
      </c>
      <c r="AU68" s="29">
        <f t="shared" si="60"/>
        <v>1172.1022799999998</v>
      </c>
      <c r="AV68" s="29">
        <f t="shared" ref="AV68:BS68" si="63">AU68*(1+$D68)</f>
        <v>1237.6790583614397</v>
      </c>
      <c r="AW68" s="29">
        <f t="shared" si="63"/>
        <v>1306.9247263186455</v>
      </c>
      <c r="AX68" s="29">
        <f t="shared" si="63"/>
        <v>1380.044550906721</v>
      </c>
      <c r="AY68" s="29">
        <f t="shared" si="63"/>
        <v>1457.25528344085</v>
      </c>
      <c r="AZ68" s="29">
        <f t="shared" si="63"/>
        <v>1538.7858020387985</v>
      </c>
      <c r="BA68" s="29">
        <f t="shared" si="63"/>
        <v>1624.8777900912651</v>
      </c>
      <c r="BB68" s="29">
        <f t="shared" si="63"/>
        <v>1715.7864526912911</v>
      </c>
      <c r="BC68" s="29">
        <f t="shared" si="63"/>
        <v>1811.7812731464633</v>
      </c>
      <c r="BD68" s="29">
        <f t="shared" si="63"/>
        <v>1913.1468118164614</v>
      </c>
      <c r="BE68" s="29">
        <f t="shared" si="63"/>
        <v>2020.1835496439685</v>
      </c>
      <c r="BF68" s="29">
        <f t="shared" si="63"/>
        <v>2133.2087788794488</v>
      </c>
      <c r="BG68" s="29">
        <f t="shared" si="63"/>
        <v>2252.5575436401959</v>
      </c>
      <c r="BH68" s="29">
        <f t="shared" si="63"/>
        <v>2378.5836330917773</v>
      </c>
      <c r="BI68" s="29">
        <f t="shared" si="63"/>
        <v>2511.660630195996</v>
      </c>
      <c r="BJ68" s="29">
        <f t="shared" si="63"/>
        <v>2652.1830191342015</v>
      </c>
      <c r="BK68" s="29">
        <f t="shared" si="63"/>
        <v>2800.5673546887215</v>
      </c>
      <c r="BL68" s="29">
        <f t="shared" si="63"/>
        <v>2957.2534970488459</v>
      </c>
      <c r="BM68" s="29">
        <f t="shared" si="63"/>
        <v>3122.7059157017343</v>
      </c>
      <c r="BN68" s="29">
        <f t="shared" si="63"/>
        <v>3297.4150662734146</v>
      </c>
      <c r="BO68" s="29">
        <f t="shared" si="63"/>
        <v>3481.8988444012793</v>
      </c>
      <c r="BP68" s="29">
        <f t="shared" si="63"/>
        <v>3676.7041209478416</v>
      </c>
      <c r="BQ68" s="29">
        <f t="shared" si="63"/>
        <v>3882.408363106631</v>
      </c>
      <c r="BR68" s="29">
        <f t="shared" si="63"/>
        <v>4099.6213462057203</v>
      </c>
      <c r="BS68" s="29">
        <f t="shared" si="63"/>
        <v>4328.9869612832372</v>
      </c>
    </row>
    <row r="69" spans="1:71" x14ac:dyDescent="0.2">
      <c r="A69" s="2" t="s">
        <v>342</v>
      </c>
      <c r="B69" s="2" t="s">
        <v>343</v>
      </c>
      <c r="C69" s="11" t="s">
        <v>79</v>
      </c>
      <c r="D69" s="26">
        <f>'Growth calculation'!G70</f>
        <v>1.244E-2</v>
      </c>
      <c r="E69" s="27">
        <v>73120</v>
      </c>
      <c r="F69" s="12">
        <v>2024</v>
      </c>
      <c r="G69" s="28" t="s">
        <v>344</v>
      </c>
      <c r="H69" s="27"/>
      <c r="I69" s="27"/>
      <c r="J69" s="27"/>
      <c r="K69" s="27"/>
      <c r="L69" s="27"/>
      <c r="M69" s="27"/>
      <c r="N69" s="27"/>
      <c r="O69" s="27"/>
      <c r="P69" s="27"/>
      <c r="Q69" s="27"/>
      <c r="R69" s="27"/>
      <c r="S69" s="27"/>
      <c r="T69" s="27"/>
      <c r="U69" s="27"/>
      <c r="V69" s="27"/>
      <c r="W69" s="27"/>
      <c r="X69" s="27"/>
      <c r="Y69" s="27"/>
      <c r="Z69" s="27"/>
      <c r="AA69" s="27"/>
      <c r="AB69" s="27"/>
      <c r="AC69" s="27"/>
      <c r="AD69" s="27"/>
      <c r="AE69" s="27">
        <v>49050</v>
      </c>
      <c r="AF69" s="27">
        <v>53420</v>
      </c>
      <c r="AG69" s="27">
        <v>56500</v>
      </c>
      <c r="AH69" s="27">
        <v>59530</v>
      </c>
      <c r="AI69" s="27">
        <v>60440</v>
      </c>
      <c r="AJ69" s="27">
        <v>57670</v>
      </c>
      <c r="AK69" s="27">
        <v>57410</v>
      </c>
      <c r="AL69" s="27">
        <v>57920</v>
      </c>
      <c r="AM69" s="27">
        <v>62900</v>
      </c>
      <c r="AN69" s="27">
        <v>66020</v>
      </c>
      <c r="AO69" s="27">
        <v>64210</v>
      </c>
      <c r="AP69" s="27">
        <v>70050</v>
      </c>
      <c r="AQ69" s="27">
        <v>72970</v>
      </c>
      <c r="AR69" s="27">
        <v>73420</v>
      </c>
      <c r="AS69" s="27">
        <v>73120</v>
      </c>
      <c r="AT69" s="27"/>
      <c r="AU69" s="29">
        <f t="shared" si="60"/>
        <v>74029.612800000003</v>
      </c>
      <c r="AV69" s="29">
        <f t="shared" ref="AV69:BS69" si="64">AU69*(1+$D69)</f>
        <v>74950.54118323201</v>
      </c>
      <c r="AW69" s="29">
        <f t="shared" si="64"/>
        <v>75882.925915551416</v>
      </c>
      <c r="AX69" s="29">
        <f t="shared" si="64"/>
        <v>76826.909513940875</v>
      </c>
      <c r="AY69" s="29">
        <f t="shared" si="64"/>
        <v>77782.6362682943</v>
      </c>
      <c r="AZ69" s="29">
        <f t="shared" si="64"/>
        <v>78750.252263471877</v>
      </c>
      <c r="BA69" s="29">
        <f t="shared" si="64"/>
        <v>79729.905401629469</v>
      </c>
      <c r="BB69" s="29">
        <f t="shared" si="64"/>
        <v>80721.745424825742</v>
      </c>
      <c r="BC69" s="29">
        <f t="shared" si="64"/>
        <v>81725.923937910571</v>
      </c>
      <c r="BD69" s="29">
        <f t="shared" si="64"/>
        <v>82742.594431698177</v>
      </c>
      <c r="BE69" s="29">
        <f t="shared" si="64"/>
        <v>83771.912306428509</v>
      </c>
      <c r="BF69" s="29">
        <f t="shared" si="64"/>
        <v>84814.034895520483</v>
      </c>
      <c r="BG69" s="29">
        <f t="shared" si="64"/>
        <v>85869.121489620753</v>
      </c>
      <c r="BH69" s="29">
        <f t="shared" si="64"/>
        <v>86937.333360951641</v>
      </c>
      <c r="BI69" s="29">
        <f t="shared" si="64"/>
        <v>88018.833787961878</v>
      </c>
      <c r="BJ69" s="29">
        <f t="shared" si="64"/>
        <v>89113.788080284125</v>
      </c>
      <c r="BK69" s="29">
        <f t="shared" si="64"/>
        <v>90222.363604002865</v>
      </c>
      <c r="BL69" s="29">
        <f t="shared" si="64"/>
        <v>91344.729807236668</v>
      </c>
      <c r="BM69" s="29">
        <f t="shared" si="64"/>
        <v>92481.058246038694</v>
      </c>
      <c r="BN69" s="29">
        <f t="shared" si="64"/>
        <v>93631.522610619417</v>
      </c>
      <c r="BO69" s="29">
        <f t="shared" si="64"/>
        <v>94796.29875189552</v>
      </c>
      <c r="BP69" s="29">
        <f t="shared" si="64"/>
        <v>95975.5647083691</v>
      </c>
      <c r="BQ69" s="29">
        <f t="shared" si="64"/>
        <v>97169.500733341207</v>
      </c>
      <c r="BR69" s="29">
        <f t="shared" si="64"/>
        <v>98378.28932246397</v>
      </c>
      <c r="BS69" s="29">
        <f t="shared" si="64"/>
        <v>99602.115241635416</v>
      </c>
    </row>
    <row r="70" spans="1:71" x14ac:dyDescent="0.2">
      <c r="A70" s="2" t="s">
        <v>345</v>
      </c>
      <c r="B70" s="2" t="s">
        <v>346</v>
      </c>
      <c r="C70" s="11" t="s">
        <v>82</v>
      </c>
      <c r="D70" s="26">
        <f>'Growth calculation'!G71</f>
        <v>3.2937056795978026E-2</v>
      </c>
      <c r="E70" s="27">
        <v>6230</v>
      </c>
      <c r="F70" s="12">
        <v>2025</v>
      </c>
      <c r="G70" s="2" t="s">
        <v>162</v>
      </c>
      <c r="H70" s="27">
        <v>1700</v>
      </c>
      <c r="I70" s="27">
        <v>1710</v>
      </c>
      <c r="J70" s="27">
        <v>1690</v>
      </c>
      <c r="K70" s="27">
        <v>1690</v>
      </c>
      <c r="L70" s="27">
        <v>1690</v>
      </c>
      <c r="M70" s="27">
        <v>1890</v>
      </c>
      <c r="N70" s="27">
        <v>2000</v>
      </c>
      <c r="O70" s="27">
        <v>2150</v>
      </c>
      <c r="P70" s="27">
        <v>2390</v>
      </c>
      <c r="Q70" s="27">
        <v>2600</v>
      </c>
      <c r="R70" s="27">
        <v>2520</v>
      </c>
      <c r="S70" s="27">
        <v>2230</v>
      </c>
      <c r="T70" s="27">
        <v>2280</v>
      </c>
      <c r="U70" s="27">
        <v>2150</v>
      </c>
      <c r="V70" s="27">
        <v>2050</v>
      </c>
      <c r="W70" s="27">
        <v>2050</v>
      </c>
      <c r="X70" s="27">
        <v>2270</v>
      </c>
      <c r="Y70" s="27">
        <v>2820</v>
      </c>
      <c r="Z70" s="27">
        <v>3320</v>
      </c>
      <c r="AA70" s="27">
        <v>3350</v>
      </c>
      <c r="AB70" s="27">
        <v>3510</v>
      </c>
      <c r="AC70" s="27">
        <v>3730</v>
      </c>
      <c r="AD70" s="27">
        <v>3620</v>
      </c>
      <c r="AE70" s="27">
        <v>3450</v>
      </c>
      <c r="AF70" s="27">
        <v>3570</v>
      </c>
      <c r="AG70" s="27">
        <v>3910</v>
      </c>
      <c r="AH70" s="27">
        <v>4460</v>
      </c>
      <c r="AI70" s="27">
        <v>4740</v>
      </c>
      <c r="AJ70" s="27">
        <v>4820</v>
      </c>
      <c r="AK70" s="27">
        <v>5010</v>
      </c>
      <c r="AL70" s="27">
        <v>5120</v>
      </c>
      <c r="AM70" s="27">
        <v>5690</v>
      </c>
      <c r="AN70" s="27">
        <v>5570</v>
      </c>
      <c r="AO70" s="27">
        <v>4560</v>
      </c>
      <c r="AP70" s="27">
        <v>4380</v>
      </c>
      <c r="AQ70" s="27">
        <v>5250</v>
      </c>
      <c r="AR70" s="27">
        <v>5670</v>
      </c>
      <c r="AS70" s="27">
        <v>5820</v>
      </c>
      <c r="AT70" s="27">
        <v>6230</v>
      </c>
      <c r="AU70" s="29">
        <f t="shared" si="60"/>
        <v>6435.1978638389437</v>
      </c>
      <c r="AV70" s="29">
        <f t="shared" ref="AV70:BS70" si="65">AU70*(1+$D70)</f>
        <v>6647.1543413735644</v>
      </c>
      <c r="AW70" s="29">
        <f t="shared" si="65"/>
        <v>6866.0920414470183</v>
      </c>
      <c r="AX70" s="29">
        <f t="shared" si="65"/>
        <v>7092.2409049825719</v>
      </c>
      <c r="AY70" s="29">
        <f t="shared" si="65"/>
        <v>7325.8384464807423</v>
      </c>
      <c r="AZ70" s="29">
        <f t="shared" si="65"/>
        <v>7567.1300034706392</v>
      </c>
      <c r="BA70" s="29">
        <f t="shared" si="65"/>
        <v>7816.3689941775019</v>
      </c>
      <c r="BB70" s="29">
        <f t="shared" si="65"/>
        <v>8073.8171836770489</v>
      </c>
      <c r="BC70" s="29">
        <f t="shared" si="65"/>
        <v>8339.7449588161635</v>
      </c>
      <c r="BD70" s="29">
        <f t="shared" si="65"/>
        <v>8614.4316121886641</v>
      </c>
      <c r="BE70" s="29">
        <f t="shared" si="65"/>
        <v>8898.165635464391</v>
      </c>
      <c r="BF70" s="29">
        <f t="shared" si="65"/>
        <v>9191.2450223797023</v>
      </c>
      <c r="BG70" s="29">
        <f t="shared" si="65"/>
        <v>9493.9775817075733</v>
      </c>
      <c r="BH70" s="29">
        <f t="shared" si="65"/>
        <v>9806.6812605360192</v>
      </c>
      <c r="BI70" s="29">
        <f t="shared" si="65"/>
        <v>10129.684478194349</v>
      </c>
      <c r="BJ70" s="29">
        <f t="shared" si="65"/>
        <v>10463.326471177974</v>
      </c>
      <c r="BK70" s="29">
        <f t="shared" si="65"/>
        <v>10807.957649434024</v>
      </c>
      <c r="BL70" s="29">
        <f t="shared" si="65"/>
        <v>11163.939964381958</v>
      </c>
      <c r="BM70" s="29">
        <f t="shared" si="65"/>
        <v>11531.647289055696</v>
      </c>
      <c r="BN70" s="29">
        <f t="shared" si="65"/>
        <v>11911.465810766511</v>
      </c>
      <c r="BO70" s="29">
        <f t="shared" si="65"/>
        <v>12303.79443669908</v>
      </c>
      <c r="BP70" s="29">
        <f t="shared" si="65"/>
        <v>12709.045212866677</v>
      </c>
      <c r="BQ70" s="29">
        <f t="shared" si="65"/>
        <v>13127.64375686552</v>
      </c>
      <c r="BR70" s="29">
        <f t="shared" si="65"/>
        <v>13560.029704882767</v>
      </c>
      <c r="BS70" s="29">
        <f t="shared" si="65"/>
        <v>14006.657173427642</v>
      </c>
    </row>
    <row r="71" spans="1:71" x14ac:dyDescent="0.2">
      <c r="A71" s="2" t="s">
        <v>347</v>
      </c>
      <c r="B71" s="2" t="s">
        <v>348</v>
      </c>
      <c r="C71" s="11" t="s">
        <v>79</v>
      </c>
      <c r="D71" s="26">
        <f>'Growth calculation'!G72</f>
        <v>1.2806261104358119E-2</v>
      </c>
      <c r="E71" s="27">
        <v>55250</v>
      </c>
      <c r="F71" s="12">
        <v>2025</v>
      </c>
      <c r="G71" s="2" t="s">
        <v>162</v>
      </c>
      <c r="H71" s="27">
        <v>16460</v>
      </c>
      <c r="I71" s="27">
        <v>21520</v>
      </c>
      <c r="J71" s="27">
        <v>24090</v>
      </c>
      <c r="K71" s="27">
        <v>25980</v>
      </c>
      <c r="L71" s="27">
        <v>25070</v>
      </c>
      <c r="M71" s="27">
        <v>24150</v>
      </c>
      <c r="N71" s="27">
        <v>20660</v>
      </c>
      <c r="O71" s="27">
        <v>20150</v>
      </c>
      <c r="P71" s="27">
        <v>22010</v>
      </c>
      <c r="Q71" s="27">
        <v>24940</v>
      </c>
      <c r="R71" s="27">
        <v>26670</v>
      </c>
      <c r="S71" s="27">
        <v>25810</v>
      </c>
      <c r="T71" s="27">
        <v>26040</v>
      </c>
      <c r="U71" s="27">
        <v>26470</v>
      </c>
      <c r="V71" s="27">
        <v>25840</v>
      </c>
      <c r="W71" s="27">
        <v>25610</v>
      </c>
      <c r="X71" s="27">
        <v>28790</v>
      </c>
      <c r="Y71" s="27">
        <v>35370</v>
      </c>
      <c r="Z71" s="27">
        <v>40230</v>
      </c>
      <c r="AA71" s="27">
        <v>42830</v>
      </c>
      <c r="AB71" s="27">
        <v>46190</v>
      </c>
      <c r="AC71" s="27">
        <v>50160</v>
      </c>
      <c r="AD71" s="27">
        <v>48950</v>
      </c>
      <c r="AE71" s="27">
        <v>49750</v>
      </c>
      <c r="AF71" s="27">
        <v>50200</v>
      </c>
      <c r="AG71" s="27">
        <v>48820</v>
      </c>
      <c r="AH71" s="27">
        <v>49390</v>
      </c>
      <c r="AI71" s="27">
        <v>49210</v>
      </c>
      <c r="AJ71" s="27">
        <v>46860</v>
      </c>
      <c r="AK71" s="27">
        <v>45160</v>
      </c>
      <c r="AL71" s="27">
        <v>44520</v>
      </c>
      <c r="AM71" s="27">
        <v>47900</v>
      </c>
      <c r="AN71" s="27">
        <v>49590</v>
      </c>
      <c r="AO71" s="27">
        <v>49630</v>
      </c>
      <c r="AP71" s="27">
        <v>52810</v>
      </c>
      <c r="AQ71" s="27">
        <v>54120</v>
      </c>
      <c r="AR71" s="27">
        <v>52870</v>
      </c>
      <c r="AS71" s="27">
        <v>51710</v>
      </c>
      <c r="AT71" s="27">
        <v>55250</v>
      </c>
      <c r="AU71" s="29">
        <f t="shared" si="60"/>
        <v>55957.54592601578</v>
      </c>
      <c r="AV71" s="29">
        <f t="shared" ref="AV71:BS71" si="66">AU71*(1+$D71)</f>
        <v>56674.152869903446</v>
      </c>
      <c r="AW71" s="29">
        <f t="shared" si="66"/>
        <v>57399.936869423727</v>
      </c>
      <c r="AX71" s="29">
        <f t="shared" si="66"/>
        <v>58135.015448347236</v>
      </c>
      <c r="AY71" s="29">
        <f t="shared" si="66"/>
        <v>58879.507635484661</v>
      </c>
      <c r="AZ71" s="29">
        <f t="shared" si="66"/>
        <v>59633.533983960719</v>
      </c>
      <c r="BA71" s="29">
        <f t="shared" si="66"/>
        <v>60397.216590734926</v>
      </c>
      <c r="BB71" s="29">
        <f t="shared" si="66"/>
        <v>61170.679116372339</v>
      </c>
      <c r="BC71" s="29">
        <f t="shared" si="66"/>
        <v>61954.046805067504</v>
      </c>
      <c r="BD71" s="29">
        <f t="shared" si="66"/>
        <v>62747.446504924817</v>
      </c>
      <c r="BE71" s="29">
        <f t="shared" si="66"/>
        <v>63551.006688498623</v>
      </c>
      <c r="BF71" s="29">
        <f t="shared" si="66"/>
        <v>64364.857473596341</v>
      </c>
      <c r="BG71" s="29">
        <f t="shared" si="66"/>
        <v>65189.130644348006</v>
      </c>
      <c r="BH71" s="29">
        <f t="shared" si="66"/>
        <v>66023.959672545636</v>
      </c>
      <c r="BI71" s="29">
        <f t="shared" si="66"/>
        <v>66869.479739255854</v>
      </c>
      <c r="BJ71" s="29">
        <f t="shared" si="66"/>
        <v>67725.827756709346</v>
      </c>
      <c r="BK71" s="29">
        <f t="shared" si="66"/>
        <v>68593.142390470544</v>
      </c>
      <c r="BL71" s="29">
        <f t="shared" si="66"/>
        <v>69471.564081891323</v>
      </c>
      <c r="BM71" s="29">
        <f t="shared" si="66"/>
        <v>70361.23507085217</v>
      </c>
      <c r="BN71" s="29">
        <f t="shared" si="66"/>
        <v>71262.299418794617</v>
      </c>
      <c r="BO71" s="29">
        <f t="shared" si="66"/>
        <v>72174.903032048634</v>
      </c>
      <c r="BP71" s="29">
        <f t="shared" si="66"/>
        <v>73099.193685458769</v>
      </c>
      <c r="BQ71" s="29">
        <f t="shared" si="66"/>
        <v>74035.321046312791</v>
      </c>
      <c r="BR71" s="29">
        <f t="shared" si="66"/>
        <v>74983.436698576843</v>
      </c>
      <c r="BS71" s="29">
        <f t="shared" si="66"/>
        <v>75943.694167440917</v>
      </c>
    </row>
    <row r="72" spans="1:71" x14ac:dyDescent="0.2">
      <c r="A72" s="2" t="s">
        <v>349</v>
      </c>
      <c r="B72" s="2" t="s">
        <v>350</v>
      </c>
      <c r="C72" s="11" t="s">
        <v>79</v>
      </c>
      <c r="D72" s="26">
        <f>'Growth calculation'!G73</f>
        <v>1.6692097065953371E-2</v>
      </c>
      <c r="E72" s="27">
        <v>48630</v>
      </c>
      <c r="F72" s="12">
        <v>2025</v>
      </c>
      <c r="G72" s="2" t="s">
        <v>162</v>
      </c>
      <c r="H72" s="27">
        <v>14350</v>
      </c>
      <c r="I72" s="27">
        <v>18400</v>
      </c>
      <c r="J72" s="27">
        <v>19360</v>
      </c>
      <c r="K72" s="27">
        <v>20470</v>
      </c>
      <c r="L72" s="27">
        <v>21270</v>
      </c>
      <c r="M72" s="27">
        <v>23660</v>
      </c>
      <c r="N72" s="27">
        <v>23460</v>
      </c>
      <c r="O72" s="27">
        <v>24260</v>
      </c>
      <c r="P72" s="27">
        <v>25660</v>
      </c>
      <c r="Q72" s="27">
        <v>27020</v>
      </c>
      <c r="R72" s="27">
        <v>26890</v>
      </c>
      <c r="S72" s="27">
        <v>25740</v>
      </c>
      <c r="T72" s="27">
        <v>25340</v>
      </c>
      <c r="U72" s="27">
        <v>24950</v>
      </c>
      <c r="V72" s="27">
        <v>23800</v>
      </c>
      <c r="W72" s="27">
        <v>23040</v>
      </c>
      <c r="X72" s="27">
        <v>25900</v>
      </c>
      <c r="Y72" s="27">
        <v>31340</v>
      </c>
      <c r="Z72" s="27">
        <v>35870</v>
      </c>
      <c r="AA72" s="27">
        <v>37920</v>
      </c>
      <c r="AB72" s="27">
        <v>40200</v>
      </c>
      <c r="AC72" s="27">
        <v>43580</v>
      </c>
      <c r="AD72" s="27">
        <v>44090</v>
      </c>
      <c r="AE72" s="27">
        <v>44040</v>
      </c>
      <c r="AF72" s="27">
        <v>44610</v>
      </c>
      <c r="AG72" s="27">
        <v>43500</v>
      </c>
      <c r="AH72" s="27">
        <v>43950</v>
      </c>
      <c r="AI72" s="27">
        <v>43470</v>
      </c>
      <c r="AJ72" s="27">
        <v>41130</v>
      </c>
      <c r="AK72" s="27">
        <v>39020</v>
      </c>
      <c r="AL72" s="27">
        <v>38120</v>
      </c>
      <c r="AM72" s="27">
        <v>40960</v>
      </c>
      <c r="AN72" s="27">
        <v>42720</v>
      </c>
      <c r="AO72" s="27">
        <v>39690</v>
      </c>
      <c r="AP72" s="27">
        <v>44300</v>
      </c>
      <c r="AQ72" s="27">
        <v>46010</v>
      </c>
      <c r="AR72" s="27">
        <v>45770</v>
      </c>
      <c r="AS72" s="27">
        <v>45160</v>
      </c>
      <c r="AT72" s="27">
        <v>48630</v>
      </c>
      <c r="AU72" s="29">
        <f t="shared" si="60"/>
        <v>49441.736680317314</v>
      </c>
      <c r="AV72" s="29">
        <f t="shared" ref="AV72:BS72" si="67">AU72*(1+$D72)</f>
        <v>50267.022948094484</v>
      </c>
      <c r="AW72" s="29">
        <f t="shared" si="67"/>
        <v>51106.084974360587</v>
      </c>
      <c r="AX72" s="29">
        <f t="shared" si="67"/>
        <v>51959.152705413479</v>
      </c>
      <c r="AY72" s="29">
        <f t="shared" si="67"/>
        <v>52826.459925836934</v>
      </c>
      <c r="AZ72" s="29">
        <f t="shared" si="67"/>
        <v>53708.244322569706</v>
      </c>
      <c r="BA72" s="29">
        <f t="shared" si="67"/>
        <v>54604.747550043983</v>
      </c>
      <c r="BB72" s="29">
        <f t="shared" si="67"/>
        <v>55516.215296411203</v>
      </c>
      <c r="BC72" s="29">
        <f t="shared" si="67"/>
        <v>56442.897350873267</v>
      </c>
      <c r="BD72" s="29">
        <f t="shared" si="67"/>
        <v>57385.047672137691</v>
      </c>
      <c r="BE72" s="29">
        <f t="shared" si="67"/>
        <v>58342.924458015375</v>
      </c>
      <c r="BF72" s="29">
        <f t="shared" si="67"/>
        <v>59316.790216180154</v>
      </c>
      <c r="BG72" s="29">
        <f t="shared" si="67"/>
        <v>60306.91183610943</v>
      </c>
      <c r="BH72" s="29">
        <f t="shared" si="67"/>
        <v>61313.560662225667</v>
      </c>
      <c r="BI72" s="29">
        <f t="shared" si="67"/>
        <v>62337.01256825876</v>
      </c>
      <c r="BJ72" s="29">
        <f t="shared" si="67"/>
        <v>63377.548032849692</v>
      </c>
      <c r="BK72" s="29">
        <f t="shared" si="67"/>
        <v>64435.452216416146</v>
      </c>
      <c r="BL72" s="29">
        <f t="shared" si="67"/>
        <v>65511.015039301172</v>
      </c>
      <c r="BM72" s="29">
        <f t="shared" si="67"/>
        <v>66604.531261226322</v>
      </c>
      <c r="BN72" s="29">
        <f t="shared" si="67"/>
        <v>67716.300562071046</v>
      </c>
      <c r="BO72" s="29">
        <f t="shared" si="67"/>
        <v>68846.627624000408</v>
      </c>
      <c r="BP72" s="29">
        <f t="shared" si="67"/>
        <v>69995.822214963773</v>
      </c>
      <c r="BQ72" s="29">
        <f t="shared" si="67"/>
        <v>71164.199273587161</v>
      </c>
      <c r="BR72" s="29">
        <f t="shared" si="67"/>
        <v>72352.078995482734</v>
      </c>
      <c r="BS72" s="29">
        <f t="shared" si="67"/>
        <v>73559.786920998857</v>
      </c>
    </row>
    <row r="73" spans="1:71" x14ac:dyDescent="0.2">
      <c r="A73" s="2" t="s">
        <v>351</v>
      </c>
      <c r="B73" s="2" t="s">
        <v>352</v>
      </c>
      <c r="C73" s="11" t="s">
        <v>79</v>
      </c>
      <c r="D73" s="26">
        <f>'Growth calculation'!G74</f>
        <v>1.244E-2</v>
      </c>
      <c r="E73" s="27">
        <v>24100</v>
      </c>
      <c r="F73" s="12">
        <v>2024</v>
      </c>
      <c r="G73" s="28" t="s">
        <v>344</v>
      </c>
      <c r="H73" s="27">
        <v>12330</v>
      </c>
      <c r="I73" s="27">
        <v>14340</v>
      </c>
      <c r="J73" s="27">
        <v>14790</v>
      </c>
      <c r="K73" s="27">
        <v>15190</v>
      </c>
      <c r="L73" s="27">
        <v>16110</v>
      </c>
      <c r="M73" s="27">
        <v>21490</v>
      </c>
      <c r="N73" s="27">
        <v>21190</v>
      </c>
      <c r="O73" s="27">
        <v>21230</v>
      </c>
      <c r="P73" s="27">
        <v>22180</v>
      </c>
      <c r="Q73" s="27">
        <v>22970</v>
      </c>
      <c r="R73" s="27">
        <v>21960</v>
      </c>
      <c r="S73" s="27">
        <v>20520</v>
      </c>
      <c r="T73" s="27">
        <v>19810</v>
      </c>
      <c r="U73" s="27">
        <v>19380</v>
      </c>
      <c r="V73" s="27"/>
      <c r="W73" s="27"/>
      <c r="X73" s="27"/>
      <c r="Y73" s="27"/>
      <c r="Z73" s="27">
        <v>24320</v>
      </c>
      <c r="AA73" s="27">
        <v>25170</v>
      </c>
      <c r="AB73" s="27">
        <v>25940</v>
      </c>
      <c r="AC73" s="27">
        <v>27720</v>
      </c>
      <c r="AD73" s="27">
        <v>27530</v>
      </c>
      <c r="AE73" s="27">
        <v>26220</v>
      </c>
      <c r="AF73" s="27">
        <v>25270</v>
      </c>
      <c r="AG73" s="27">
        <v>24050</v>
      </c>
      <c r="AH73" s="27">
        <v>24290</v>
      </c>
      <c r="AI73" s="27">
        <v>23990</v>
      </c>
      <c r="AJ73" s="27">
        <v>23060</v>
      </c>
      <c r="AK73" s="27">
        <v>22170</v>
      </c>
      <c r="AL73" s="27">
        <v>22220</v>
      </c>
      <c r="AM73" s="27">
        <v>23700</v>
      </c>
      <c r="AN73" s="27">
        <v>24530</v>
      </c>
      <c r="AO73" s="27">
        <v>22170</v>
      </c>
      <c r="AP73" s="27">
        <v>23460</v>
      </c>
      <c r="AQ73" s="27">
        <v>24150</v>
      </c>
      <c r="AR73" s="27">
        <v>24370</v>
      </c>
      <c r="AS73" s="27">
        <v>24100</v>
      </c>
      <c r="AT73" s="27"/>
      <c r="AU73" s="29">
        <f t="shared" si="60"/>
        <v>24399.804</v>
      </c>
      <c r="AV73" s="29">
        <f t="shared" ref="AV73:BS73" si="68">AU73*(1+$D73)</f>
        <v>24703.33756176</v>
      </c>
      <c r="AW73" s="29">
        <f t="shared" si="68"/>
        <v>25010.647081028295</v>
      </c>
      <c r="AX73" s="29">
        <f t="shared" si="68"/>
        <v>25321.779530716289</v>
      </c>
      <c r="AY73" s="29">
        <f t="shared" si="68"/>
        <v>25636.7824680784</v>
      </c>
      <c r="AZ73" s="29">
        <f t="shared" si="68"/>
        <v>25955.704041981295</v>
      </c>
      <c r="BA73" s="29">
        <f t="shared" si="68"/>
        <v>26278.593000263543</v>
      </c>
      <c r="BB73" s="29">
        <f t="shared" si="68"/>
        <v>26605.49869718682</v>
      </c>
      <c r="BC73" s="29">
        <f t="shared" si="68"/>
        <v>26936.471100979823</v>
      </c>
      <c r="BD73" s="29">
        <f t="shared" si="68"/>
        <v>27271.560801476011</v>
      </c>
      <c r="BE73" s="29">
        <f t="shared" si="68"/>
        <v>27610.819017846374</v>
      </c>
      <c r="BF73" s="29">
        <f t="shared" si="68"/>
        <v>27954.297606428383</v>
      </c>
      <c r="BG73" s="29">
        <f t="shared" si="68"/>
        <v>28302.049068652352</v>
      </c>
      <c r="BH73" s="29">
        <f t="shared" si="68"/>
        <v>28654.126559066386</v>
      </c>
      <c r="BI73" s="29">
        <f t="shared" si="68"/>
        <v>29010.583893461171</v>
      </c>
      <c r="BJ73" s="29">
        <f t="shared" si="68"/>
        <v>29371.47555709583</v>
      </c>
      <c r="BK73" s="29">
        <f t="shared" si="68"/>
        <v>29736.856713026104</v>
      </c>
      <c r="BL73" s="29">
        <f t="shared" si="68"/>
        <v>30106.783210536149</v>
      </c>
      <c r="BM73" s="29">
        <f t="shared" si="68"/>
        <v>30481.311593675218</v>
      </c>
      <c r="BN73" s="29">
        <f t="shared" si="68"/>
        <v>30860.499109900538</v>
      </c>
      <c r="BO73" s="29">
        <f t="shared" si="68"/>
        <v>31244.4037188277</v>
      </c>
      <c r="BP73" s="29">
        <f t="shared" si="68"/>
        <v>31633.084101089917</v>
      </c>
      <c r="BQ73" s="29">
        <f t="shared" si="68"/>
        <v>32026.599667307477</v>
      </c>
      <c r="BR73" s="29">
        <f t="shared" si="68"/>
        <v>32425.010567168782</v>
      </c>
      <c r="BS73" s="29">
        <f t="shared" si="68"/>
        <v>32828.377698624361</v>
      </c>
    </row>
    <row r="74" spans="1:71" x14ac:dyDescent="0.2">
      <c r="A74" s="2" t="s">
        <v>353</v>
      </c>
      <c r="B74" s="2" t="s">
        <v>354</v>
      </c>
      <c r="C74" s="11" t="s">
        <v>82</v>
      </c>
      <c r="D74" s="26">
        <f>'Growth calculation'!G75</f>
        <v>2.6904052739982975E-2</v>
      </c>
      <c r="E74" s="27">
        <v>8090</v>
      </c>
      <c r="F74" s="12">
        <v>2025</v>
      </c>
      <c r="G74" s="2" t="s">
        <v>162</v>
      </c>
      <c r="H74" s="27">
        <v>3310</v>
      </c>
      <c r="I74" s="27">
        <v>4010</v>
      </c>
      <c r="J74" s="27">
        <v>4420</v>
      </c>
      <c r="K74" s="27">
        <v>4650</v>
      </c>
      <c r="L74" s="27">
        <v>4990</v>
      </c>
      <c r="M74" s="27">
        <v>4940</v>
      </c>
      <c r="N74" s="27">
        <v>4280</v>
      </c>
      <c r="O74" s="27">
        <v>3990</v>
      </c>
      <c r="P74" s="27">
        <v>3770</v>
      </c>
      <c r="Q74" s="27">
        <v>3960</v>
      </c>
      <c r="R74" s="27">
        <v>4130</v>
      </c>
      <c r="S74" s="27">
        <v>3810</v>
      </c>
      <c r="T74" s="27">
        <v>3160</v>
      </c>
      <c r="U74" s="27">
        <v>2980</v>
      </c>
      <c r="V74" s="27">
        <v>3290</v>
      </c>
      <c r="W74" s="27">
        <v>3460</v>
      </c>
      <c r="X74" s="27">
        <v>3700</v>
      </c>
      <c r="Y74" s="27">
        <v>4110</v>
      </c>
      <c r="Z74" s="27">
        <v>5240</v>
      </c>
      <c r="AA74" s="27">
        <v>5450</v>
      </c>
      <c r="AB74" s="27">
        <v>6240</v>
      </c>
      <c r="AC74" s="27">
        <v>6920</v>
      </c>
      <c r="AD74" s="27">
        <v>7170</v>
      </c>
      <c r="AE74" s="27">
        <v>7420</v>
      </c>
      <c r="AF74" s="27">
        <v>7680</v>
      </c>
      <c r="AG74" s="27">
        <v>8610</v>
      </c>
      <c r="AH74" s="27">
        <v>8870</v>
      </c>
      <c r="AI74" s="27">
        <v>8880</v>
      </c>
      <c r="AJ74" s="27">
        <v>7610</v>
      </c>
      <c r="AK74" s="27">
        <v>7180</v>
      </c>
      <c r="AL74" s="27">
        <v>6240</v>
      </c>
      <c r="AM74" s="27">
        <v>6690</v>
      </c>
      <c r="AN74" s="27">
        <v>7040</v>
      </c>
      <c r="AO74" s="27">
        <v>6820</v>
      </c>
      <c r="AP74" s="27">
        <v>7000</v>
      </c>
      <c r="AQ74" s="27">
        <v>7150</v>
      </c>
      <c r="AR74" s="27">
        <v>7660</v>
      </c>
      <c r="AS74" s="27">
        <v>7870</v>
      </c>
      <c r="AT74" s="27">
        <v>8090</v>
      </c>
      <c r="AU74" s="29">
        <f t="shared" si="60"/>
        <v>8307.6537866664639</v>
      </c>
      <c r="AV74" s="29">
        <f t="shared" ref="AV74:BS74" si="69">AU74*(1+$D74)</f>
        <v>8531.1633422884588</v>
      </c>
      <c r="AW74" s="29">
        <f t="shared" si="69"/>
        <v>8760.6862107827983</v>
      </c>
      <c r="AX74" s="29">
        <f t="shared" si="69"/>
        <v>8996.3841746361413</v>
      </c>
      <c r="AY74" s="29">
        <f t="shared" si="69"/>
        <v>9238.4233689397006</v>
      </c>
      <c r="AZ74" s="29">
        <f t="shared" si="69"/>
        <v>9486.974398491946</v>
      </c>
      <c r="BA74" s="29">
        <f t="shared" si="69"/>
        <v>9742.212458051843</v>
      </c>
      <c r="BB74" s="29">
        <f t="shared" si="69"/>
        <v>10004.317455827389</v>
      </c>
      <c r="BC74" s="29">
        <f t="shared" si="69"/>
        <v>10273.474140286504</v>
      </c>
      <c r="BD74" s="29">
        <f t="shared" si="69"/>
        <v>10549.872230379624</v>
      </c>
      <c r="BE74" s="29">
        <f t="shared" si="69"/>
        <v>10833.70654926584</v>
      </c>
      <c r="BF74" s="29">
        <f t="shared" si="69"/>
        <v>11125.177161636788</v>
      </c>
      <c r="BG74" s="29">
        <f t="shared" si="69"/>
        <v>11424.48951473512</v>
      </c>
      <c r="BH74" s="29">
        <f t="shared" si="69"/>
        <v>11731.854583166938</v>
      </c>
      <c r="BI74" s="29">
        <f t="shared" si="69"/>
        <v>12047.489017610274</v>
      </c>
      <c r="BJ74" s="29">
        <f t="shared" si="69"/>
        <v>12371.615297524428</v>
      </c>
      <c r="BK74" s="29">
        <f t="shared" si="69"/>
        <v>12704.461887967806</v>
      </c>
      <c r="BL74" s="29">
        <f t="shared" si="69"/>
        <v>13046.263400634796</v>
      </c>
      <c r="BM74" s="29">
        <f t="shared" si="69"/>
        <v>13397.260759225186</v>
      </c>
      <c r="BN74" s="29">
        <f t="shared" si="69"/>
        <v>13757.701369262686</v>
      </c>
      <c r="BO74" s="29">
        <f t="shared" si="69"/>
        <v>14127.839292482267</v>
      </c>
      <c r="BP74" s="29">
        <f t="shared" si="69"/>
        <v>14507.935425909216</v>
      </c>
      <c r="BQ74" s="29">
        <f t="shared" si="69"/>
        <v>14898.257685756147</v>
      </c>
      <c r="BR74" s="29">
        <f t="shared" si="69"/>
        <v>15299.081196267589</v>
      </c>
      <c r="BS74" s="29">
        <f t="shared" si="69"/>
        <v>15710.688483645255</v>
      </c>
    </row>
    <row r="75" spans="1:71" x14ac:dyDescent="0.2">
      <c r="A75" s="2" t="s">
        <v>355</v>
      </c>
      <c r="B75" s="2" t="s">
        <v>356</v>
      </c>
      <c r="C75" s="11" t="s">
        <v>75</v>
      </c>
      <c r="D75" s="26">
        <f>'Growth calculation'!G76</f>
        <v>5.3201506591337155E-2</v>
      </c>
      <c r="E75" s="27">
        <v>930</v>
      </c>
      <c r="F75" s="12">
        <v>2025</v>
      </c>
      <c r="G75" s="2" t="s">
        <v>162</v>
      </c>
      <c r="H75" s="27">
        <v>290</v>
      </c>
      <c r="I75" s="27">
        <v>270</v>
      </c>
      <c r="J75" s="27">
        <v>270</v>
      </c>
      <c r="K75" s="27">
        <v>280</v>
      </c>
      <c r="L75" s="27">
        <v>360</v>
      </c>
      <c r="M75" s="27">
        <v>470</v>
      </c>
      <c r="N75" s="27">
        <v>630</v>
      </c>
      <c r="O75" s="27">
        <v>620</v>
      </c>
      <c r="P75" s="27">
        <v>620</v>
      </c>
      <c r="Q75" s="27">
        <v>630</v>
      </c>
      <c r="R75" s="27">
        <v>620</v>
      </c>
      <c r="S75" s="27">
        <v>600</v>
      </c>
      <c r="T75" s="27">
        <v>580</v>
      </c>
      <c r="U75" s="27">
        <v>560</v>
      </c>
      <c r="V75" s="27">
        <v>510</v>
      </c>
      <c r="W75" s="27">
        <v>410</v>
      </c>
      <c r="X75" s="27">
        <v>360</v>
      </c>
      <c r="Y75" s="27">
        <v>430</v>
      </c>
      <c r="Z75" s="27">
        <v>480</v>
      </c>
      <c r="AA75" s="27">
        <v>600</v>
      </c>
      <c r="AB75" s="27">
        <v>650</v>
      </c>
      <c r="AC75" s="27">
        <v>750</v>
      </c>
      <c r="AD75" s="27">
        <v>820</v>
      </c>
      <c r="AE75" s="27">
        <v>830</v>
      </c>
      <c r="AF75" s="27">
        <v>710</v>
      </c>
      <c r="AG75" s="27">
        <v>710</v>
      </c>
      <c r="AH75" s="27">
        <v>680</v>
      </c>
      <c r="AI75" s="27">
        <v>600</v>
      </c>
      <c r="AJ75" s="27">
        <v>590</v>
      </c>
      <c r="AK75" s="27">
        <v>590</v>
      </c>
      <c r="AL75" s="27">
        <v>620</v>
      </c>
      <c r="AM75" s="27">
        <v>680</v>
      </c>
      <c r="AN75" s="27">
        <v>720</v>
      </c>
      <c r="AO75" s="27">
        <v>720</v>
      </c>
      <c r="AP75" s="27">
        <v>760</v>
      </c>
      <c r="AQ75" s="27">
        <v>830</v>
      </c>
      <c r="AR75" s="27">
        <v>870</v>
      </c>
      <c r="AS75" s="27">
        <v>880</v>
      </c>
      <c r="AT75" s="27">
        <v>930</v>
      </c>
      <c r="AU75" s="29">
        <f t="shared" si="60"/>
        <v>979.47740112994359</v>
      </c>
      <c r="AV75" s="29">
        <f t="shared" ref="AV75:BS75" si="70">AU75*(1+$D75)</f>
        <v>1031.5870745422242</v>
      </c>
      <c r="AW75" s="29">
        <f t="shared" si="70"/>
        <v>1086.4690610880205</v>
      </c>
      <c r="AX75" s="29">
        <f t="shared" si="70"/>
        <v>1144.2708520027786</v>
      </c>
      <c r="AY75" s="29">
        <f t="shared" si="70"/>
        <v>1205.1477852778794</v>
      </c>
      <c r="AZ75" s="29">
        <f t="shared" si="70"/>
        <v>1269.263463119876</v>
      </c>
      <c r="BA75" s="29">
        <f t="shared" si="70"/>
        <v>1336.7901916191915</v>
      </c>
      <c r="BB75" s="29">
        <f t="shared" si="70"/>
        <v>1407.9094438098548</v>
      </c>
      <c r="BC75" s="29">
        <f t="shared" si="70"/>
        <v>1482.8123473647106</v>
      </c>
      <c r="BD75" s="29">
        <f t="shared" si="70"/>
        <v>1561.7001982367503</v>
      </c>
      <c r="BE75" s="29">
        <f t="shared" si="70"/>
        <v>1644.7850016269354</v>
      </c>
      <c r="BF75" s="29">
        <f t="shared" si="70"/>
        <v>1732.2900417323233</v>
      </c>
      <c r="BG75" s="29">
        <f t="shared" si="70"/>
        <v>1824.4504818056532</v>
      </c>
      <c r="BH75" s="29">
        <f t="shared" si="70"/>
        <v>1921.513996139005</v>
      </c>
      <c r="BI75" s="29">
        <f t="shared" si="70"/>
        <v>2023.741435669941</v>
      </c>
      <c r="BJ75" s="29">
        <f t="shared" si="70"/>
        <v>2131.4075289988973</v>
      </c>
      <c r="BK75" s="29">
        <f t="shared" si="70"/>
        <v>2244.8016207017577</v>
      </c>
      <c r="BL75" s="29">
        <f t="shared" si="70"/>
        <v>2364.2284489217664</v>
      </c>
      <c r="BM75" s="29">
        <f t="shared" si="70"/>
        <v>2490.0089643305046</v>
      </c>
      <c r="BN75" s="29">
        <f t="shared" si="70"/>
        <v>2622.4811926588227</v>
      </c>
      <c r="BO75" s="29">
        <f t="shared" si="70"/>
        <v>2762.0011431157186</v>
      </c>
      <c r="BP75" s="29">
        <f t="shared" si="70"/>
        <v>2908.9437651364701</v>
      </c>
      <c r="BQ75" s="29">
        <f t="shared" si="70"/>
        <v>3063.7039560312073</v>
      </c>
      <c r="BR75" s="29">
        <f t="shared" si="70"/>
        <v>3226.6976222419075</v>
      </c>
      <c r="BS75" s="29">
        <f t="shared" si="70"/>
        <v>3398.3627970598623</v>
      </c>
    </row>
    <row r="76" spans="1:71" x14ac:dyDescent="0.2">
      <c r="A76" s="2" t="s">
        <v>357</v>
      </c>
      <c r="B76" s="2" t="s">
        <v>358</v>
      </c>
      <c r="C76" s="11" t="s">
        <v>82</v>
      </c>
      <c r="D76" s="26">
        <f>'Growth calculation'!G77</f>
        <v>9.0712000000000001E-2</v>
      </c>
      <c r="E76" s="27">
        <v>8990</v>
      </c>
      <c r="F76" s="12">
        <v>2025</v>
      </c>
      <c r="G76" s="28" t="s">
        <v>359</v>
      </c>
      <c r="H76" s="27"/>
      <c r="I76" s="27"/>
      <c r="J76" s="27"/>
      <c r="K76" s="27">
        <v>1640</v>
      </c>
      <c r="L76" s="27">
        <v>1330</v>
      </c>
      <c r="M76" s="27">
        <v>750</v>
      </c>
      <c r="N76" s="27">
        <v>540</v>
      </c>
      <c r="O76" s="27">
        <v>510</v>
      </c>
      <c r="P76" s="27">
        <v>550</v>
      </c>
      <c r="Q76" s="27">
        <v>670</v>
      </c>
      <c r="R76" s="27">
        <v>820</v>
      </c>
      <c r="S76" s="27">
        <v>870</v>
      </c>
      <c r="T76" s="27">
        <v>840</v>
      </c>
      <c r="U76" s="27">
        <v>790</v>
      </c>
      <c r="V76" s="27">
        <v>780</v>
      </c>
      <c r="W76" s="27">
        <v>840</v>
      </c>
      <c r="X76" s="27">
        <v>990</v>
      </c>
      <c r="Y76" s="27">
        <v>1210</v>
      </c>
      <c r="Z76" s="27">
        <v>1520</v>
      </c>
      <c r="AA76" s="27">
        <v>1910</v>
      </c>
      <c r="AB76" s="27">
        <v>2380</v>
      </c>
      <c r="AC76" s="27">
        <v>2820</v>
      </c>
      <c r="AD76" s="27">
        <v>2950</v>
      </c>
      <c r="AE76" s="27">
        <v>3220</v>
      </c>
      <c r="AF76" s="27">
        <v>3580</v>
      </c>
      <c r="AG76" s="27">
        <v>4250</v>
      </c>
      <c r="AH76" s="27">
        <v>4680</v>
      </c>
      <c r="AI76" s="27">
        <v>4850</v>
      </c>
      <c r="AJ76" s="27">
        <v>4500</v>
      </c>
      <c r="AK76" s="27">
        <v>4180</v>
      </c>
      <c r="AL76" s="27">
        <v>4130</v>
      </c>
      <c r="AM76" s="27">
        <v>4580</v>
      </c>
      <c r="AN76" s="27">
        <v>4780</v>
      </c>
      <c r="AO76" s="27">
        <v>4330</v>
      </c>
      <c r="AP76" s="27">
        <v>4760</v>
      </c>
      <c r="AQ76" s="27">
        <v>5690</v>
      </c>
      <c r="AR76" s="27">
        <v>6710</v>
      </c>
      <c r="AS76" s="27">
        <v>7870</v>
      </c>
      <c r="AT76" s="27">
        <v>8990</v>
      </c>
      <c r="AU76" s="29">
        <f t="shared" si="60"/>
        <v>9805.5008799999996</v>
      </c>
      <c r="AV76" s="29">
        <f t="shared" ref="AV76:BS76" si="71">AU76*(1+$D76)</f>
        <v>10694.977475826559</v>
      </c>
      <c r="AW76" s="29">
        <f t="shared" si="71"/>
        <v>11665.140272613737</v>
      </c>
      <c r="AX76" s="29">
        <f t="shared" si="71"/>
        <v>12723.308477023073</v>
      </c>
      <c r="AY76" s="29">
        <f t="shared" si="71"/>
        <v>13877.465235590787</v>
      </c>
      <c r="AZ76" s="29">
        <f t="shared" si="71"/>
        <v>15136.317862041698</v>
      </c>
      <c r="BA76" s="29">
        <f t="shared" si="71"/>
        <v>16509.363527943224</v>
      </c>
      <c r="BB76" s="29">
        <f t="shared" si="71"/>
        <v>18006.960912290007</v>
      </c>
      <c r="BC76" s="29">
        <f t="shared" si="71"/>
        <v>19640.408350565656</v>
      </c>
      <c r="BD76" s="29">
        <f t="shared" si="71"/>
        <v>21422.029072862166</v>
      </c>
      <c r="BE76" s="29">
        <f t="shared" si="71"/>
        <v>23365.264174119635</v>
      </c>
      <c r="BF76" s="29">
        <f t="shared" si="71"/>
        <v>25484.774017882373</v>
      </c>
      <c r="BG76" s="29">
        <f t="shared" si="71"/>
        <v>27796.548838592516</v>
      </c>
      <c r="BH76" s="29">
        <f t="shared" si="71"/>
        <v>30318.029376838917</v>
      </c>
      <c r="BI76" s="29">
        <f t="shared" si="71"/>
        <v>33068.238457670726</v>
      </c>
      <c r="BJ76" s="29">
        <f t="shared" si="71"/>
        <v>36067.92450464295</v>
      </c>
      <c r="BK76" s="29">
        <f t="shared" si="71"/>
        <v>39339.718072308118</v>
      </c>
      <c r="BL76" s="29">
        <f t="shared" si="71"/>
        <v>42908.302578083327</v>
      </c>
      <c r="BM76" s="29">
        <f t="shared" si="71"/>
        <v>46800.600521546417</v>
      </c>
      <c r="BN76" s="29">
        <f t="shared" si="71"/>
        <v>51045.976596056935</v>
      </c>
      <c r="BO76" s="29">
        <f t="shared" si="71"/>
        <v>55676.459225038445</v>
      </c>
      <c r="BP76" s="29">
        <f t="shared" si="71"/>
        <v>60726.982194260127</v>
      </c>
      <c r="BQ76" s="29">
        <f t="shared" si="71"/>
        <v>66235.648203065852</v>
      </c>
      <c r="BR76" s="29">
        <f t="shared" si="71"/>
        <v>72244.016322862357</v>
      </c>
      <c r="BS76" s="29">
        <f t="shared" si="71"/>
        <v>78797.415531541847</v>
      </c>
    </row>
    <row r="77" spans="1:71" x14ac:dyDescent="0.2">
      <c r="A77" s="2" t="s">
        <v>360</v>
      </c>
      <c r="B77" s="2" t="s">
        <v>361</v>
      </c>
      <c r="C77" s="11" t="s">
        <v>79</v>
      </c>
      <c r="D77" s="26">
        <f>'Growth calculation'!G78</f>
        <v>1.8191236296963287E-2</v>
      </c>
      <c r="E77" s="27">
        <v>60200</v>
      </c>
      <c r="F77" s="12">
        <v>2025</v>
      </c>
      <c r="G77" s="2" t="s">
        <v>162</v>
      </c>
      <c r="H77" s="27">
        <v>14280</v>
      </c>
      <c r="I77" s="27">
        <v>18670</v>
      </c>
      <c r="J77" s="27">
        <v>19810</v>
      </c>
      <c r="K77" s="27">
        <v>21360</v>
      </c>
      <c r="L77" s="27">
        <v>22950</v>
      </c>
      <c r="M77" s="27">
        <v>25890</v>
      </c>
      <c r="N77" s="27">
        <v>26080</v>
      </c>
      <c r="O77" s="27">
        <v>27630</v>
      </c>
      <c r="P77" s="27">
        <v>29650</v>
      </c>
      <c r="Q77" s="27">
        <v>31020</v>
      </c>
      <c r="R77" s="27">
        <v>30270</v>
      </c>
      <c r="S77" s="27">
        <v>28070</v>
      </c>
      <c r="T77" s="27">
        <v>27020</v>
      </c>
      <c r="U77" s="27">
        <v>26380</v>
      </c>
      <c r="V77" s="27">
        <v>24990</v>
      </c>
      <c r="W77" s="27">
        <v>23920</v>
      </c>
      <c r="X77" s="27">
        <v>26470</v>
      </c>
      <c r="Y77" s="27">
        <v>32080</v>
      </c>
      <c r="Z77" s="27">
        <v>36310</v>
      </c>
      <c r="AA77" s="27">
        <v>38890</v>
      </c>
      <c r="AB77" s="27">
        <v>41130</v>
      </c>
      <c r="AC77" s="27">
        <v>44360</v>
      </c>
      <c r="AD77" s="27">
        <v>44470</v>
      </c>
      <c r="AE77" s="27">
        <v>45530</v>
      </c>
      <c r="AF77" s="27">
        <v>48200</v>
      </c>
      <c r="AG77" s="27">
        <v>47480</v>
      </c>
      <c r="AH77" s="27">
        <v>48160</v>
      </c>
      <c r="AI77" s="27">
        <v>48610</v>
      </c>
      <c r="AJ77" s="27">
        <v>46590</v>
      </c>
      <c r="AK77" s="27">
        <v>45340</v>
      </c>
      <c r="AL77" s="27">
        <v>44730</v>
      </c>
      <c r="AM77" s="27">
        <v>48770</v>
      </c>
      <c r="AN77" s="27">
        <v>50350</v>
      </c>
      <c r="AO77" s="27">
        <v>48540</v>
      </c>
      <c r="AP77" s="27">
        <v>52850</v>
      </c>
      <c r="AQ77" s="27">
        <v>55200</v>
      </c>
      <c r="AR77" s="27">
        <v>55420</v>
      </c>
      <c r="AS77" s="27">
        <v>55090</v>
      </c>
      <c r="AT77" s="27">
        <v>60200</v>
      </c>
      <c r="AU77" s="29">
        <f t="shared" si="60"/>
        <v>61295.112425077183</v>
      </c>
      <c r="AV77" s="29">
        <f t="shared" ref="AV77:BS77" si="72">AU77*(1+$D77)</f>
        <v>62410.146299050684</v>
      </c>
      <c r="AW77" s="29">
        <f t="shared" si="72"/>
        <v>63545.464017704755</v>
      </c>
      <c r="AX77" s="29">
        <f t="shared" si="72"/>
        <v>64701.434569250996</v>
      </c>
      <c r="AY77" s="29">
        <f t="shared" si="72"/>
        <v>65878.433654252745</v>
      </c>
      <c r="AZ77" s="29">
        <f t="shared" si="72"/>
        <v>67076.843807731071</v>
      </c>
      <c r="BA77" s="29">
        <f t="shared" si="72"/>
        <v>68297.054523491999</v>
      </c>
      <c r="BB77" s="29">
        <f t="shared" si="72"/>
        <v>69539.462380715413</v>
      </c>
      <c r="BC77" s="29">
        <f t="shared" si="72"/>
        <v>70804.471172846796</v>
      </c>
      <c r="BD77" s="29">
        <f t="shared" si="72"/>
        <v>72092.492038833574</v>
      </c>
      <c r="BE77" s="29">
        <f t="shared" si="72"/>
        <v>73403.943596748926</v>
      </c>
      <c r="BF77" s="29">
        <f t="shared" si="72"/>
        <v>74739.252079846337</v>
      </c>
      <c r="BG77" s="29">
        <f t="shared" si="72"/>
        <v>76098.851475089119</v>
      </c>
      <c r="BH77" s="29">
        <f t="shared" si="72"/>
        <v>77483.183664199969</v>
      </c>
      <c r="BI77" s="29">
        <f t="shared" si="72"/>
        <v>78892.698567276428</v>
      </c>
      <c r="BJ77" s="29">
        <f t="shared" si="72"/>
        <v>80327.85428901884</v>
      </c>
      <c r="BK77" s="29">
        <f t="shared" si="72"/>
        <v>81789.117267618407</v>
      </c>
      <c r="BL77" s="29">
        <f t="shared" si="72"/>
        <v>83276.962426353683</v>
      </c>
      <c r="BM77" s="29">
        <f t="shared" si="72"/>
        <v>84791.873327944806</v>
      </c>
      <c r="BN77" s="29">
        <f t="shared" si="72"/>
        <v>86334.342331715627</v>
      </c>
      <c r="BO77" s="29">
        <f t="shared" si="72"/>
        <v>87904.87075361477</v>
      </c>
      <c r="BP77" s="29">
        <f t="shared" si="72"/>
        <v>89503.969029147789</v>
      </c>
      <c r="BQ77" s="29">
        <f t="shared" si="72"/>
        <v>91132.156879273083</v>
      </c>
      <c r="BR77" s="29">
        <f t="shared" si="72"/>
        <v>92789.963479315862</v>
      </c>
      <c r="BS77" s="29">
        <f t="shared" si="72"/>
        <v>94477.927630954684</v>
      </c>
    </row>
    <row r="78" spans="1:71" x14ac:dyDescent="0.2">
      <c r="A78" s="2" t="s">
        <v>362</v>
      </c>
      <c r="B78" s="2" t="s">
        <v>363</v>
      </c>
      <c r="C78" s="11" t="s">
        <v>210</v>
      </c>
      <c r="D78" s="26">
        <f>'Growth calculation'!G79</f>
        <v>2.8696936323588274E-2</v>
      </c>
      <c r="E78" s="27">
        <v>2630</v>
      </c>
      <c r="F78" s="12">
        <v>2025</v>
      </c>
      <c r="G78" s="2" t="s">
        <v>162</v>
      </c>
      <c r="H78" s="27">
        <v>400</v>
      </c>
      <c r="I78" s="27">
        <v>420</v>
      </c>
      <c r="J78" s="27">
        <v>380</v>
      </c>
      <c r="K78" s="27">
        <v>380</v>
      </c>
      <c r="L78" s="27">
        <v>400</v>
      </c>
      <c r="M78" s="27">
        <v>420</v>
      </c>
      <c r="N78" s="27">
        <v>400</v>
      </c>
      <c r="O78" s="27">
        <v>370</v>
      </c>
      <c r="P78" s="27">
        <v>360</v>
      </c>
      <c r="Q78" s="27">
        <v>370</v>
      </c>
      <c r="R78" s="27">
        <v>380</v>
      </c>
      <c r="S78" s="27">
        <v>380</v>
      </c>
      <c r="T78" s="27">
        <v>390</v>
      </c>
      <c r="U78" s="27">
        <v>330</v>
      </c>
      <c r="V78" s="27">
        <v>290</v>
      </c>
      <c r="W78" s="27">
        <v>270</v>
      </c>
      <c r="X78" s="27">
        <v>310</v>
      </c>
      <c r="Y78" s="27">
        <v>370</v>
      </c>
      <c r="Z78" s="27">
        <v>450</v>
      </c>
      <c r="AA78" s="27">
        <v>570</v>
      </c>
      <c r="AB78" s="27">
        <v>770</v>
      </c>
      <c r="AC78" s="27">
        <v>1120</v>
      </c>
      <c r="AD78" s="27">
        <v>1160</v>
      </c>
      <c r="AE78" s="27">
        <v>1200</v>
      </c>
      <c r="AF78" s="27">
        <v>1350</v>
      </c>
      <c r="AG78" s="27">
        <v>1490</v>
      </c>
      <c r="AH78" s="27">
        <v>1790</v>
      </c>
      <c r="AI78" s="27">
        <v>1830</v>
      </c>
      <c r="AJ78" s="27">
        <v>1880</v>
      </c>
      <c r="AK78" s="27">
        <v>1760</v>
      </c>
      <c r="AL78" s="27">
        <v>1830</v>
      </c>
      <c r="AM78" s="27">
        <v>2060</v>
      </c>
      <c r="AN78" s="27">
        <v>2170</v>
      </c>
      <c r="AO78" s="27">
        <v>2120</v>
      </c>
      <c r="AP78" s="27">
        <v>2250</v>
      </c>
      <c r="AQ78" s="27">
        <v>2270</v>
      </c>
      <c r="AR78" s="27">
        <v>2310</v>
      </c>
      <c r="AS78" s="27">
        <v>2260</v>
      </c>
      <c r="AT78" s="27">
        <v>2630</v>
      </c>
      <c r="AU78" s="29">
        <f t="shared" si="60"/>
        <v>2705.472942531037</v>
      </c>
      <c r="AV78" s="29">
        <f t="shared" ref="AV78:BS78" si="73">AU78*(1+$D78)</f>
        <v>2783.111727288041</v>
      </c>
      <c r="AW78" s="29">
        <f t="shared" si="73"/>
        <v>2862.9785073074577</v>
      </c>
      <c r="AX78" s="29">
        <f t="shared" si="73"/>
        <v>2945.1372192274616</v>
      </c>
      <c r="AY78" s="29">
        <f t="shared" si="73"/>
        <v>3029.653634471862</v>
      </c>
      <c r="AZ78" s="29">
        <f t="shared" si="73"/>
        <v>3116.5954119028288</v>
      </c>
      <c r="BA78" s="29">
        <f t="shared" si="73"/>
        <v>3206.0321519845916</v>
      </c>
      <c r="BB78" s="29">
        <f t="shared" si="73"/>
        <v>3298.03545250147</v>
      </c>
      <c r="BC78" s="29">
        <f t="shared" si="73"/>
        <v>3392.6789658748412</v>
      </c>
      <c r="BD78" s="29">
        <f t="shared" si="73"/>
        <v>3490.0384581249286</v>
      </c>
      <c r="BE78" s="29">
        <f t="shared" si="73"/>
        <v>3590.191869524614</v>
      </c>
      <c r="BF78" s="29">
        <f t="shared" si="73"/>
        <v>3693.2193769938262</v>
      </c>
      <c r="BG78" s="29">
        <f t="shared" si="73"/>
        <v>3799.2034582844603</v>
      </c>
      <c r="BH78" s="29">
        <f t="shared" si="73"/>
        <v>3908.2289580072061</v>
      </c>
      <c r="BI78" s="29">
        <f t="shared" si="73"/>
        <v>4020.3831555531428</v>
      </c>
      <c r="BJ78" s="29">
        <f t="shared" si="73"/>
        <v>4135.7558349644787</v>
      </c>
      <c r="BK78" s="29">
        <f t="shared" si="73"/>
        <v>4254.4393568103633</v>
      </c>
      <c r="BL78" s="29">
        <f t="shared" si="73"/>
        <v>4376.5287321253181</v>
      </c>
      <c r="BM78" s="29">
        <f t="shared" si="73"/>
        <v>4502.1216984694729</v>
      </c>
      <c r="BN78" s="29">
        <f t="shared" si="73"/>
        <v>4631.3187981714964</v>
      </c>
      <c r="BO78" s="29">
        <f t="shared" si="73"/>
        <v>4764.2234588168612</v>
      </c>
      <c r="BP78" s="29">
        <f t="shared" si="73"/>
        <v>4900.9420760458743</v>
      </c>
      <c r="BQ78" s="29">
        <f t="shared" si="73"/>
        <v>5041.584098727757</v>
      </c>
      <c r="BR78" s="29">
        <f t="shared" si="73"/>
        <v>5186.2621165789624</v>
      </c>
      <c r="BS78" s="29">
        <f t="shared" si="73"/>
        <v>5335.0919502958668</v>
      </c>
    </row>
    <row r="79" spans="1:71" x14ac:dyDescent="0.2">
      <c r="A79" s="2" t="s">
        <v>364</v>
      </c>
      <c r="B79" s="2" t="s">
        <v>365</v>
      </c>
      <c r="C79" s="11" t="s">
        <v>79</v>
      </c>
      <c r="G79" s="28" t="s">
        <v>204</v>
      </c>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row>
    <row r="80" spans="1:71" x14ac:dyDescent="0.2">
      <c r="A80" s="2" t="s">
        <v>366</v>
      </c>
      <c r="B80" s="2" t="s">
        <v>367</v>
      </c>
      <c r="C80" s="11" t="s">
        <v>79</v>
      </c>
      <c r="D80" s="26">
        <f>'Growth calculation'!G81</f>
        <v>2.8266649099609964E-2</v>
      </c>
      <c r="E80" s="27">
        <v>25360</v>
      </c>
      <c r="F80" s="12">
        <v>2025</v>
      </c>
      <c r="G80" s="2" t="s">
        <v>162</v>
      </c>
      <c r="H80" s="27">
        <v>6020</v>
      </c>
      <c r="I80" s="27">
        <v>7450</v>
      </c>
      <c r="J80" s="27">
        <v>8150</v>
      </c>
      <c r="K80" s="27">
        <v>8810</v>
      </c>
      <c r="L80" s="27">
        <v>9670</v>
      </c>
      <c r="M80" s="27">
        <v>11000</v>
      </c>
      <c r="N80" s="27">
        <v>10940</v>
      </c>
      <c r="O80" s="27">
        <v>11390</v>
      </c>
      <c r="P80" s="27">
        <v>12180</v>
      </c>
      <c r="Q80" s="27">
        <v>13130</v>
      </c>
      <c r="R80" s="27">
        <v>13810</v>
      </c>
      <c r="S80" s="27">
        <v>13540</v>
      </c>
      <c r="T80" s="27">
        <v>13140</v>
      </c>
      <c r="U80" s="27">
        <v>13100</v>
      </c>
      <c r="V80" s="27">
        <v>12840</v>
      </c>
      <c r="W80" s="27">
        <v>12980</v>
      </c>
      <c r="X80" s="27">
        <v>15460</v>
      </c>
      <c r="Y80" s="27">
        <v>19280</v>
      </c>
      <c r="Z80" s="27">
        <v>22430</v>
      </c>
      <c r="AA80" s="27">
        <v>24160</v>
      </c>
      <c r="AB80" s="27">
        <v>25960</v>
      </c>
      <c r="AC80" s="27">
        <v>28330</v>
      </c>
      <c r="AD80" s="27">
        <v>29030</v>
      </c>
      <c r="AE80" s="27">
        <v>27320</v>
      </c>
      <c r="AF80" s="27">
        <v>24470</v>
      </c>
      <c r="AG80" s="27">
        <v>22750</v>
      </c>
      <c r="AH80" s="27">
        <v>22030</v>
      </c>
      <c r="AI80" s="27">
        <v>21670</v>
      </c>
      <c r="AJ80" s="27">
        <v>19920</v>
      </c>
      <c r="AK80" s="27">
        <v>18500</v>
      </c>
      <c r="AL80" s="27">
        <v>17890</v>
      </c>
      <c r="AM80" s="27">
        <v>19060</v>
      </c>
      <c r="AN80" s="27">
        <v>19770</v>
      </c>
      <c r="AO80" s="27">
        <v>18030</v>
      </c>
      <c r="AP80" s="27">
        <v>20350</v>
      </c>
      <c r="AQ80" s="27">
        <v>21980</v>
      </c>
      <c r="AR80" s="27">
        <v>22300</v>
      </c>
      <c r="AS80" s="27">
        <v>22730</v>
      </c>
      <c r="AT80" s="27">
        <v>25360</v>
      </c>
      <c r="AU80" s="29">
        <f>$E80*(1+$D80)</f>
        <v>26076.842221166109</v>
      </c>
      <c r="AV80" s="29">
        <f t="shared" ref="AV80:BS80" si="74">AU80*(1+$D80)</f>
        <v>26813.947169857704</v>
      </c>
      <c r="AW80" s="29">
        <f t="shared" si="74"/>
        <v>27571.887605483553</v>
      </c>
      <c r="AX80" s="29">
        <f t="shared" si="74"/>
        <v>28351.252477441642</v>
      </c>
      <c r="AY80" s="29">
        <f t="shared" si="74"/>
        <v>29152.647382755931</v>
      </c>
      <c r="AZ80" s="29">
        <f t="shared" si="74"/>
        <v>29976.695036648955</v>
      </c>
      <c r="BA80" s="29">
        <f t="shared" si="74"/>
        <v>30824.035756415931</v>
      </c>
      <c r="BB80" s="29">
        <f t="shared" si="74"/>
        <v>31695.32795897637</v>
      </c>
      <c r="BC80" s="29">
        <f t="shared" si="74"/>
        <v>32591.248672489812</v>
      </c>
      <c r="BD80" s="29">
        <f t="shared" si="74"/>
        <v>33512.494062433208</v>
      </c>
      <c r="BE80" s="29">
        <f t="shared" si="74"/>
        <v>34459.779972548771</v>
      </c>
      <c r="BF80" s="29">
        <f t="shared" si="74"/>
        <v>35433.842481082575</v>
      </c>
      <c r="BG80" s="29">
        <f t="shared" si="74"/>
        <v>36435.438472746187</v>
      </c>
      <c r="BH80" s="29">
        <f t="shared" si="74"/>
        <v>37465.34622684573</v>
      </c>
      <c r="BI80" s="29">
        <f t="shared" si="74"/>
        <v>38524.366022035378</v>
      </c>
      <c r="BJ80" s="29">
        <f t="shared" si="74"/>
        <v>39613.320758165188</v>
      </c>
      <c r="BK80" s="29">
        <f t="shared" si="74"/>
        <v>40733.056595706541</v>
      </c>
      <c r="BL80" s="29">
        <f t="shared" si="74"/>
        <v>41884.443613251933</v>
      </c>
      <c r="BM80" s="29">
        <f t="shared" si="74"/>
        <v>43068.376483600128</v>
      </c>
      <c r="BN80" s="29">
        <f t="shared" si="74"/>
        <v>44285.77516895195</v>
      </c>
      <c r="BO80" s="29">
        <f t="shared" si="74"/>
        <v>45537.585635756936</v>
      </c>
      <c r="BP80" s="29">
        <f t="shared" si="74"/>
        <v>46824.780589766313</v>
      </c>
      <c r="BQ80" s="29">
        <f t="shared" si="74"/>
        <v>48148.360231863466</v>
      </c>
      <c r="BR80" s="29">
        <f t="shared" si="74"/>
        <v>49509.353035259162</v>
      </c>
      <c r="BS80" s="29">
        <f t="shared" si="74"/>
        <v>50908.816544655543</v>
      </c>
    </row>
    <row r="81" spans="1:71" x14ac:dyDescent="0.2">
      <c r="A81" s="2" t="s">
        <v>368</v>
      </c>
      <c r="B81" s="2" t="s">
        <v>369</v>
      </c>
      <c r="C81" s="11" t="s">
        <v>79</v>
      </c>
      <c r="G81" s="28" t="s">
        <v>204</v>
      </c>
      <c r="H81" s="27">
        <v>11470</v>
      </c>
      <c r="I81" s="27">
        <v>15170</v>
      </c>
      <c r="J81" s="27">
        <v>16970</v>
      </c>
      <c r="K81" s="27">
        <v>15690</v>
      </c>
      <c r="L81" s="27">
        <v>16510</v>
      </c>
      <c r="M81" s="27">
        <v>17440</v>
      </c>
      <c r="N81" s="27">
        <v>16600</v>
      </c>
      <c r="O81" s="27">
        <v>17830</v>
      </c>
      <c r="P81" s="27">
        <v>19470</v>
      </c>
      <c r="Q81" s="27">
        <v>20780</v>
      </c>
      <c r="R81" s="27">
        <v>20540</v>
      </c>
      <c r="S81" s="27">
        <v>20440</v>
      </c>
      <c r="T81" s="27">
        <v>19740</v>
      </c>
      <c r="U81" s="27">
        <v>20290</v>
      </c>
      <c r="V81" s="27">
        <v>19380</v>
      </c>
      <c r="W81" s="27">
        <v>18760</v>
      </c>
      <c r="X81" s="27">
        <v>20440</v>
      </c>
      <c r="Y81" s="27">
        <v>25740</v>
      </c>
      <c r="Z81" s="27">
        <v>30920</v>
      </c>
      <c r="AA81" s="27">
        <v>30240</v>
      </c>
      <c r="AB81" s="27">
        <v>34800</v>
      </c>
      <c r="AC81" s="27"/>
      <c r="AD81" s="27"/>
      <c r="AE81" s="27"/>
      <c r="AF81" s="27"/>
      <c r="AG81" s="27"/>
      <c r="AH81" s="27"/>
      <c r="AI81" s="27"/>
      <c r="AJ81" s="27"/>
      <c r="AK81" s="27"/>
      <c r="AL81" s="27"/>
      <c r="AM81" s="27"/>
      <c r="AN81" s="27"/>
      <c r="AO81" s="27"/>
      <c r="AP81" s="27"/>
      <c r="AQ81" s="27"/>
      <c r="AR81" s="27"/>
      <c r="AS81" s="27"/>
      <c r="AT81" s="27"/>
    </row>
    <row r="82" spans="1:71" x14ac:dyDescent="0.2">
      <c r="A82" s="2" t="s">
        <v>370</v>
      </c>
      <c r="B82" s="2" t="s">
        <v>371</v>
      </c>
      <c r="C82" s="11" t="s">
        <v>82</v>
      </c>
      <c r="D82" s="26">
        <f>'Growth calculation'!G83</f>
        <v>6.395579367233506E-2</v>
      </c>
      <c r="E82" s="27">
        <v>11660</v>
      </c>
      <c r="F82" s="12">
        <v>2025</v>
      </c>
      <c r="G82" s="2" t="s">
        <v>162</v>
      </c>
      <c r="H82" s="27">
        <v>2240</v>
      </c>
      <c r="I82" s="27">
        <v>2490</v>
      </c>
      <c r="J82" s="27">
        <v>2620</v>
      </c>
      <c r="K82" s="27">
        <v>2730</v>
      </c>
      <c r="L82" s="27">
        <v>2910</v>
      </c>
      <c r="M82" s="27">
        <v>3010</v>
      </c>
      <c r="N82" s="27">
        <v>2990</v>
      </c>
      <c r="O82" s="27">
        <v>3100</v>
      </c>
      <c r="P82" s="27">
        <v>3200</v>
      </c>
      <c r="Q82" s="27">
        <v>3380</v>
      </c>
      <c r="R82" s="27">
        <v>3530</v>
      </c>
      <c r="S82" s="27">
        <v>3840</v>
      </c>
      <c r="T82" s="27">
        <v>4140</v>
      </c>
      <c r="U82" s="27">
        <v>4410</v>
      </c>
      <c r="V82" s="27">
        <v>4310</v>
      </c>
      <c r="W82" s="27">
        <v>4450</v>
      </c>
      <c r="X82" s="27">
        <v>5050</v>
      </c>
      <c r="Y82" s="27">
        <v>5110</v>
      </c>
      <c r="Z82" s="27">
        <v>6340</v>
      </c>
      <c r="AA82" s="27">
        <v>6120</v>
      </c>
      <c r="AB82" s="27">
        <v>6500</v>
      </c>
      <c r="AC82" s="27">
        <v>6910</v>
      </c>
      <c r="AD82" s="27">
        <v>6390</v>
      </c>
      <c r="AE82" s="27">
        <v>6610</v>
      </c>
      <c r="AF82" s="27">
        <v>6730</v>
      </c>
      <c r="AG82" s="27">
        <v>6700</v>
      </c>
      <c r="AH82" s="27">
        <v>7040</v>
      </c>
      <c r="AI82" s="27">
        <v>7170</v>
      </c>
      <c r="AJ82" s="27">
        <v>7410</v>
      </c>
      <c r="AK82" s="27">
        <v>8000</v>
      </c>
      <c r="AL82" s="27">
        <v>8400</v>
      </c>
      <c r="AM82" s="27">
        <v>9220</v>
      </c>
      <c r="AN82" s="27">
        <v>9400</v>
      </c>
      <c r="AO82" s="27">
        <v>8390</v>
      </c>
      <c r="AP82" s="27">
        <v>8890</v>
      </c>
      <c r="AQ82" s="27">
        <v>9980</v>
      </c>
      <c r="AR82" s="27">
        <v>10100</v>
      </c>
      <c r="AS82" s="27">
        <v>10790</v>
      </c>
      <c r="AT82" s="27">
        <v>11660</v>
      </c>
      <c r="AU82" s="29">
        <f>$E82*(1+$D82)</f>
        <v>12405.724554219425</v>
      </c>
      <c r="AV82" s="29">
        <f t="shared" ref="AV82:BS82" si="75">AU82*(1+$D82)</f>
        <v>13199.142514164902</v>
      </c>
      <c r="AW82" s="29">
        <f t="shared" si="75"/>
        <v>14043.304149452577</v>
      </c>
      <c r="AX82" s="29">
        <f t="shared" si="75"/>
        <v>14941.454812112812</v>
      </c>
      <c r="AY82" s="29">
        <f t="shared" si="75"/>
        <v>15897.047413240814</v>
      </c>
      <c r="AZ82" s="29">
        <f t="shared" si="75"/>
        <v>16913.755697601369</v>
      </c>
      <c r="BA82" s="29">
        <f t="shared" si="75"/>
        <v>17995.488367221442</v>
      </c>
      <c r="BB82" s="29">
        <f t="shared" si="75"/>
        <v>19146.404108268362</v>
      </c>
      <c r="BC82" s="29">
        <f t="shared" si="75"/>
        <v>20370.927578983919</v>
      </c>
      <c r="BD82" s="29">
        <f t="shared" si="75"/>
        <v>21673.766420139491</v>
      </c>
      <c r="BE82" s="29">
        <f t="shared" si="75"/>
        <v>23059.929353408315</v>
      </c>
      <c r="BF82" s="29">
        <f t="shared" si="75"/>
        <v>24534.74543723352</v>
      </c>
      <c r="BG82" s="29">
        <f t="shared" si="75"/>
        <v>26103.884554220487</v>
      </c>
      <c r="BH82" s="29">
        <f t="shared" si="75"/>
        <v>27773.379208816663</v>
      </c>
      <c r="BI82" s="29">
        <f t="shared" si="75"/>
        <v>29549.647719079258</v>
      </c>
      <c r="BJ82" s="29">
        <f t="shared" si="75"/>
        <v>31439.518891690874</v>
      </c>
      <c r="BK82" s="29">
        <f t="shared" si="75"/>
        <v>33450.258275085333</v>
      </c>
      <c r="BL82" s="29">
        <f t="shared" si="75"/>
        <v>35589.596091613006</v>
      </c>
      <c r="BM82" s="29">
        <f t="shared" si="75"/>
        <v>37865.756956129946</v>
      </c>
      <c r="BN82" s="29">
        <f t="shared" si="75"/>
        <v>40287.491495262977</v>
      </c>
      <c r="BO82" s="29">
        <f t="shared" si="75"/>
        <v>42864.109988909964</v>
      </c>
      <c r="BP82" s="29">
        <f t="shared" si="75"/>
        <v>45605.51816330896</v>
      </c>
      <c r="BQ82" s="29">
        <f t="shared" si="75"/>
        <v>48522.255273281473</v>
      </c>
      <c r="BR82" s="29">
        <f t="shared" si="75"/>
        <v>51625.534620055827</v>
      </c>
      <c r="BS82" s="29">
        <f t="shared" si="75"/>
        <v>54927.286660440099</v>
      </c>
    </row>
    <row r="83" spans="1:71" x14ac:dyDescent="0.2">
      <c r="A83" s="2" t="s">
        <v>372</v>
      </c>
      <c r="B83" s="2" t="s">
        <v>373</v>
      </c>
      <c r="C83" s="11" t="s">
        <v>79</v>
      </c>
      <c r="G83" s="28" t="s">
        <v>204</v>
      </c>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row>
    <row r="84" spans="1:71" x14ac:dyDescent="0.2">
      <c r="A84" s="2" t="s">
        <v>374</v>
      </c>
      <c r="B84" s="2" t="s">
        <v>375</v>
      </c>
      <c r="C84" s="11" t="s">
        <v>82</v>
      </c>
      <c r="D84" s="26">
        <f>'Growth calculation'!G85</f>
        <v>5.7591699404877739E-2</v>
      </c>
      <c r="E84" s="27">
        <v>6360</v>
      </c>
      <c r="F84" s="12">
        <v>2025</v>
      </c>
      <c r="G84" s="2" t="s">
        <v>162</v>
      </c>
      <c r="H84" s="27">
        <v>1020</v>
      </c>
      <c r="I84" s="27">
        <v>990</v>
      </c>
      <c r="J84" s="27">
        <v>980</v>
      </c>
      <c r="K84" s="27">
        <v>930</v>
      </c>
      <c r="L84" s="27">
        <v>970</v>
      </c>
      <c r="M84" s="27">
        <v>1030</v>
      </c>
      <c r="N84" s="27">
        <v>1140</v>
      </c>
      <c r="O84" s="27">
        <v>1230</v>
      </c>
      <c r="P84" s="27">
        <v>1350</v>
      </c>
      <c r="Q84" s="27">
        <v>1430</v>
      </c>
      <c r="R84" s="27">
        <v>1520</v>
      </c>
      <c r="S84" s="27">
        <v>1600</v>
      </c>
      <c r="T84" s="27">
        <v>1640</v>
      </c>
      <c r="U84" s="27">
        <v>1660</v>
      </c>
      <c r="V84" s="27">
        <v>1590</v>
      </c>
      <c r="W84" s="27">
        <v>1590</v>
      </c>
      <c r="X84" s="27">
        <v>1660</v>
      </c>
      <c r="Y84" s="27">
        <v>1830</v>
      </c>
      <c r="Z84" s="27">
        <v>1980</v>
      </c>
      <c r="AA84" s="27">
        <v>2130</v>
      </c>
      <c r="AB84" s="27">
        <v>2340</v>
      </c>
      <c r="AC84" s="27">
        <v>2570</v>
      </c>
      <c r="AD84" s="27">
        <v>2610</v>
      </c>
      <c r="AE84" s="27">
        <v>2690</v>
      </c>
      <c r="AF84" s="27">
        <v>2850</v>
      </c>
      <c r="AG84" s="27">
        <v>3090</v>
      </c>
      <c r="AH84" s="27">
        <v>3300</v>
      </c>
      <c r="AI84" s="27">
        <v>3460</v>
      </c>
      <c r="AJ84" s="27">
        <v>3610</v>
      </c>
      <c r="AK84" s="27">
        <v>3760</v>
      </c>
      <c r="AL84" s="27">
        <v>3980</v>
      </c>
      <c r="AM84" s="27">
        <v>4270</v>
      </c>
      <c r="AN84" s="27">
        <v>4490</v>
      </c>
      <c r="AO84" s="27">
        <v>4360</v>
      </c>
      <c r="AP84" s="27">
        <v>4800</v>
      </c>
      <c r="AQ84" s="27">
        <v>5220</v>
      </c>
      <c r="AR84" s="27">
        <v>5470</v>
      </c>
      <c r="AS84" s="27">
        <v>5780</v>
      </c>
      <c r="AT84" s="27">
        <v>6360</v>
      </c>
      <c r="AU84" s="29">
        <f t="shared" ref="AU84:AU106" si="76">$E84*(1+$D84)</f>
        <v>6726.2832082150226</v>
      </c>
      <c r="AV84" s="29">
        <f t="shared" ref="AV84:BS84" si="77">AU84*(1+$D84)</f>
        <v>7113.6612888546188</v>
      </c>
      <c r="AW84" s="29">
        <f t="shared" si="77"/>
        <v>7523.3491314704488</v>
      </c>
      <c r="AX84" s="29">
        <f t="shared" si="77"/>
        <v>7956.6315931680429</v>
      </c>
      <c r="AY84" s="29">
        <f t="shared" si="77"/>
        <v>8414.8675281571304</v>
      </c>
      <c r="AZ84" s="29">
        <f t="shared" si="77"/>
        <v>8899.4940493706217</v>
      </c>
      <c r="BA84" s="29">
        <f t="shared" si="77"/>
        <v>9412.0310355174734</v>
      </c>
      <c r="BB84" s="29">
        <f t="shared" si="77"/>
        <v>9954.0858977043754</v>
      </c>
      <c r="BC84" s="29">
        <f t="shared" si="77"/>
        <v>10527.358620575298</v>
      </c>
      <c r="BD84" s="29">
        <f t="shared" si="77"/>
        <v>11133.64709377882</v>
      </c>
      <c r="BE84" s="29">
        <f t="shared" si="77"/>
        <v>11774.85275048372</v>
      </c>
      <c r="BF84" s="29">
        <f t="shared" si="77"/>
        <v>12452.986530626276</v>
      </c>
      <c r="BG84" s="29">
        <f t="shared" si="77"/>
        <v>13170.175187591096</v>
      </c>
      <c r="BH84" s="29">
        <f t="shared" si="77"/>
        <v>13928.667958104421</v>
      </c>
      <c r="BI84" s="29">
        <f t="shared" si="77"/>
        <v>14730.843616257924</v>
      </c>
      <c r="BJ84" s="29">
        <f t="shared" si="77"/>
        <v>15579.217933785712</v>
      </c>
      <c r="BK84" s="29">
        <f t="shared" si="77"/>
        <v>16476.451569991379</v>
      </c>
      <c r="BL84" s="29">
        <f t="shared" si="77"/>
        <v>17425.35841606935</v>
      </c>
      <c r="BM84" s="29">
        <f t="shared" si="77"/>
        <v>18428.914419989873</v>
      </c>
      <c r="BN84" s="29">
        <f t="shared" si="77"/>
        <v>19490.266919624148</v>
      </c>
      <c r="BO84" s="29">
        <f t="shared" si="77"/>
        <v>20612.744513379974</v>
      </c>
      <c r="BP84" s="29">
        <f t="shared" si="77"/>
        <v>21799.867499304095</v>
      </c>
      <c r="BQ84" s="29">
        <f t="shared" si="77"/>
        <v>23055.358915390181</v>
      </c>
      <c r="BR84" s="29">
        <f t="shared" si="77"/>
        <v>24383.156215716899</v>
      </c>
      <c r="BS84" s="29">
        <f t="shared" si="77"/>
        <v>25787.423619034642</v>
      </c>
    </row>
    <row r="85" spans="1:71" x14ac:dyDescent="0.2">
      <c r="A85" s="2" t="s">
        <v>376</v>
      </c>
      <c r="B85" s="2" t="s">
        <v>377</v>
      </c>
      <c r="C85" s="11" t="s">
        <v>210</v>
      </c>
      <c r="D85" s="26">
        <f>'Growth calculation'!G86</f>
        <v>7.4680999999999997E-2</v>
      </c>
      <c r="E85" s="27">
        <v>1730</v>
      </c>
      <c r="F85" s="12">
        <v>2025</v>
      </c>
      <c r="G85" s="28" t="s">
        <v>378</v>
      </c>
      <c r="H85" s="27">
        <v>730</v>
      </c>
      <c r="I85" s="27">
        <v>590</v>
      </c>
      <c r="J85" s="27">
        <v>580</v>
      </c>
      <c r="K85" s="27">
        <v>600</v>
      </c>
      <c r="L85" s="27">
        <v>610</v>
      </c>
      <c r="M85" s="27">
        <v>660</v>
      </c>
      <c r="N85" s="27">
        <v>700</v>
      </c>
      <c r="O85" s="27">
        <v>700</v>
      </c>
      <c r="P85" s="27">
        <v>710</v>
      </c>
      <c r="Q85" s="27">
        <v>730</v>
      </c>
      <c r="R85" s="27">
        <v>720</v>
      </c>
      <c r="S85" s="27">
        <v>670</v>
      </c>
      <c r="T85" s="27">
        <v>640</v>
      </c>
      <c r="U85" s="27">
        <v>580</v>
      </c>
      <c r="V85" s="27">
        <v>530</v>
      </c>
      <c r="W85" s="27">
        <v>500</v>
      </c>
      <c r="X85" s="27">
        <v>500</v>
      </c>
      <c r="Y85" s="27">
        <v>550</v>
      </c>
      <c r="Z85" s="27">
        <v>530</v>
      </c>
      <c r="AA85" s="27">
        <v>500</v>
      </c>
      <c r="AB85" s="27">
        <v>530</v>
      </c>
      <c r="AC85" s="27">
        <v>610</v>
      </c>
      <c r="AD85" s="27">
        <v>660</v>
      </c>
      <c r="AE85" s="27">
        <v>680</v>
      </c>
      <c r="AF85" s="27">
        <v>670</v>
      </c>
      <c r="AG85" s="27">
        <v>680</v>
      </c>
      <c r="AH85" s="27">
        <v>680</v>
      </c>
      <c r="AI85" s="27">
        <v>730</v>
      </c>
      <c r="AJ85" s="27">
        <v>740</v>
      </c>
      <c r="AK85" s="27">
        <v>760</v>
      </c>
      <c r="AL85" s="27">
        <v>800</v>
      </c>
      <c r="AM85" s="27">
        <v>860</v>
      </c>
      <c r="AN85" s="27">
        <v>970</v>
      </c>
      <c r="AO85" s="27">
        <v>1030</v>
      </c>
      <c r="AP85" s="27">
        <v>1120</v>
      </c>
      <c r="AQ85" s="27">
        <v>1280</v>
      </c>
      <c r="AR85" s="27">
        <v>1340</v>
      </c>
      <c r="AS85" s="27">
        <v>1440</v>
      </c>
      <c r="AT85" s="27">
        <v>1730</v>
      </c>
      <c r="AU85" s="29">
        <f t="shared" si="76"/>
        <v>1859.19813</v>
      </c>
      <c r="AV85" s="29">
        <f t="shared" ref="AV85:BS85" si="78">AU85*(1+$D85)</f>
        <v>1998.0449055465299</v>
      </c>
      <c r="AW85" s="29">
        <f t="shared" si="78"/>
        <v>2147.2608971376503</v>
      </c>
      <c r="AX85" s="29">
        <f t="shared" si="78"/>
        <v>2307.6204881967874</v>
      </c>
      <c r="AY85" s="29">
        <f t="shared" si="78"/>
        <v>2479.9558938758119</v>
      </c>
      <c r="AZ85" s="29">
        <f t="shared" si="78"/>
        <v>2665.1614799863514</v>
      </c>
      <c r="BA85" s="29">
        <f t="shared" si="78"/>
        <v>2864.1984044732121</v>
      </c>
      <c r="BB85" s="29">
        <f t="shared" si="78"/>
        <v>3078.0996055176761</v>
      </c>
      <c r="BC85" s="29">
        <f t="shared" si="78"/>
        <v>3307.9751621573419</v>
      </c>
      <c r="BD85" s="29">
        <f t="shared" si="78"/>
        <v>3555.0180552424144</v>
      </c>
      <c r="BE85" s="29">
        <f t="shared" si="78"/>
        <v>3820.5103586259734</v>
      </c>
      <c r="BF85" s="29">
        <f t="shared" si="78"/>
        <v>4105.8298927185197</v>
      </c>
      <c r="BG85" s="29">
        <f t="shared" si="78"/>
        <v>4412.4573749366318</v>
      </c>
      <c r="BH85" s="29">
        <f t="shared" si="78"/>
        <v>4741.9841041542741</v>
      </c>
      <c r="BI85" s="29">
        <f t="shared" si="78"/>
        <v>5096.1202190366193</v>
      </c>
      <c r="BJ85" s="29">
        <f t="shared" si="78"/>
        <v>5476.7035731144933</v>
      </c>
      <c r="BK85" s="29">
        <f t="shared" si="78"/>
        <v>5885.7092726582569</v>
      </c>
      <c r="BL85" s="29">
        <f t="shared" si="78"/>
        <v>6325.2599268496479</v>
      </c>
      <c r="BM85" s="29">
        <f t="shared" si="78"/>
        <v>6797.6366634467067</v>
      </c>
      <c r="BN85" s="29">
        <f t="shared" si="78"/>
        <v>7305.2909671095704</v>
      </c>
      <c r="BO85" s="29">
        <f t="shared" si="78"/>
        <v>7850.8574018242798</v>
      </c>
      <c r="BP85" s="29">
        <f t="shared" si="78"/>
        <v>8437.1672834499186</v>
      </c>
      <c r="BQ85" s="29">
        <f t="shared" si="78"/>
        <v>9067.2633733452421</v>
      </c>
      <c r="BR85" s="29">
        <f t="shared" si="78"/>
        <v>9744.4156693300374</v>
      </c>
      <c r="BS85" s="29">
        <f t="shared" si="78"/>
        <v>10472.138375931274</v>
      </c>
    </row>
    <row r="86" spans="1:71" x14ac:dyDescent="0.2">
      <c r="A86" s="2" t="s">
        <v>379</v>
      </c>
      <c r="B86" s="2" t="s">
        <v>380</v>
      </c>
      <c r="C86" s="11" t="s">
        <v>75</v>
      </c>
      <c r="D86" s="26">
        <f>'Growth calculation'!G87</f>
        <v>5.5641541557034491E-2</v>
      </c>
      <c r="E86" s="27">
        <v>1090</v>
      </c>
      <c r="F86" s="12">
        <v>2025</v>
      </c>
      <c r="G86" s="2" t="s">
        <v>162</v>
      </c>
      <c r="H86" s="27">
        <v>450</v>
      </c>
      <c r="I86" s="27">
        <v>480</v>
      </c>
      <c r="J86" s="27">
        <v>540</v>
      </c>
      <c r="K86" s="27">
        <v>590</v>
      </c>
      <c r="L86" s="27">
        <v>650</v>
      </c>
      <c r="M86" s="27">
        <v>630</v>
      </c>
      <c r="N86" s="27">
        <v>590</v>
      </c>
      <c r="O86" s="27">
        <v>570</v>
      </c>
      <c r="P86" s="27">
        <v>590</v>
      </c>
      <c r="Q86" s="27">
        <v>630</v>
      </c>
      <c r="R86" s="27">
        <v>630</v>
      </c>
      <c r="S86" s="27">
        <v>460</v>
      </c>
      <c r="T86" s="27">
        <v>500</v>
      </c>
      <c r="U86" s="27">
        <v>410</v>
      </c>
      <c r="V86" s="27">
        <v>350</v>
      </c>
      <c r="W86" s="27">
        <v>330</v>
      </c>
      <c r="X86" s="27">
        <v>360</v>
      </c>
      <c r="Y86" s="27">
        <v>410</v>
      </c>
      <c r="Z86" s="27">
        <v>470</v>
      </c>
      <c r="AA86" s="27">
        <v>470</v>
      </c>
      <c r="AB86" s="27">
        <v>480</v>
      </c>
      <c r="AC86" s="27">
        <v>540</v>
      </c>
      <c r="AD86" s="27">
        <v>590</v>
      </c>
      <c r="AE86" s="27">
        <v>620</v>
      </c>
      <c r="AF86" s="27">
        <v>660</v>
      </c>
      <c r="AG86" s="27">
        <v>630</v>
      </c>
      <c r="AH86" s="27">
        <v>660</v>
      </c>
      <c r="AI86" s="27">
        <v>660</v>
      </c>
      <c r="AJ86" s="27">
        <v>670</v>
      </c>
      <c r="AK86" s="27">
        <v>670</v>
      </c>
      <c r="AL86" s="27">
        <v>710</v>
      </c>
      <c r="AM86" s="27">
        <v>750</v>
      </c>
      <c r="AN86" s="27">
        <v>850</v>
      </c>
      <c r="AO86" s="27">
        <v>860</v>
      </c>
      <c r="AP86" s="27">
        <v>910</v>
      </c>
      <c r="AQ86" s="27">
        <v>960</v>
      </c>
      <c r="AR86" s="27">
        <v>970</v>
      </c>
      <c r="AS86" s="27">
        <v>980</v>
      </c>
      <c r="AT86" s="27">
        <v>1090</v>
      </c>
      <c r="AU86" s="29">
        <f t="shared" si="76"/>
        <v>1150.6492802971675</v>
      </c>
      <c r="AV86" s="29">
        <f t="shared" ref="AV86:BS86" si="79">AU86*(1+$D86)</f>
        <v>1214.673180044394</v>
      </c>
      <c r="AW86" s="29">
        <f t="shared" si="79"/>
        <v>1282.2594682700492</v>
      </c>
      <c r="AX86" s="29">
        <f t="shared" si="79"/>
        <v>1353.6063617606978</v>
      </c>
      <c r="AY86" s="29">
        <f t="shared" si="79"/>
        <v>1428.9231063904717</v>
      </c>
      <c r="AZ86" s="29">
        <f t="shared" si="79"/>
        <v>1508.4305907965038</v>
      </c>
      <c r="BA86" s="29">
        <f t="shared" si="79"/>
        <v>1592.3619942002094</v>
      </c>
      <c r="BB86" s="29">
        <f t="shared" si="79"/>
        <v>1680.9634702743426</v>
      </c>
      <c r="BC86" s="29">
        <f t="shared" si="79"/>
        <v>1774.4948690614692</v>
      </c>
      <c r="BD86" s="29">
        <f t="shared" si="79"/>
        <v>1873.2304990610971</v>
      </c>
      <c r="BE86" s="29">
        <f t="shared" si="79"/>
        <v>1977.4599317205095</v>
      </c>
      <c r="BF86" s="29">
        <f t="shared" si="79"/>
        <v>2087.4888506887064</v>
      </c>
      <c r="BG86" s="29">
        <f t="shared" si="79"/>
        <v>2203.639948324148</v>
      </c>
      <c r="BH86" s="29">
        <f t="shared" si="79"/>
        <v>2326.2538720855673</v>
      </c>
      <c r="BI86" s="29">
        <f t="shared" si="79"/>
        <v>2455.6902235814287</v>
      </c>
      <c r="BJ86" s="29">
        <f t="shared" si="79"/>
        <v>2592.328613208038</v>
      </c>
      <c r="BK86" s="29">
        <f t="shared" si="79"/>
        <v>2736.5697734693422</v>
      </c>
      <c r="BL86" s="29">
        <f t="shared" si="79"/>
        <v>2888.8367342435608</v>
      </c>
      <c r="BM86" s="29">
        <f t="shared" si="79"/>
        <v>3049.5760634434614</v>
      </c>
      <c r="BN86" s="29">
        <f t="shared" si="79"/>
        <v>3219.2591767088879</v>
      </c>
      <c r="BO86" s="29">
        <f t="shared" si="79"/>
        <v>3398.3837199725999</v>
      </c>
      <c r="BP86" s="29">
        <f t="shared" si="79"/>
        <v>3587.4750289542044</v>
      </c>
      <c r="BQ86" s="29">
        <f t="shared" si="79"/>
        <v>3787.087669862583</v>
      </c>
      <c r="BR86" s="29">
        <f t="shared" si="79"/>
        <v>3997.8070658253746</v>
      </c>
      <c r="BS86" s="29">
        <f t="shared" si="79"/>
        <v>4220.2512138155025</v>
      </c>
    </row>
    <row r="87" spans="1:71" x14ac:dyDescent="0.2">
      <c r="A87" s="2" t="s">
        <v>381</v>
      </c>
      <c r="B87" s="2" t="s">
        <v>382</v>
      </c>
      <c r="C87" s="11" t="s">
        <v>79</v>
      </c>
      <c r="D87" s="26">
        <f>'Growth calculation'!G88</f>
        <v>6.2377450980392157E-2</v>
      </c>
      <c r="E87" s="27">
        <v>28470</v>
      </c>
      <c r="F87" s="12">
        <v>2025</v>
      </c>
      <c r="G87" s="2" t="s">
        <v>162</v>
      </c>
      <c r="H87" s="27">
        <v>450</v>
      </c>
      <c r="I87" s="27">
        <v>460</v>
      </c>
      <c r="J87" s="27">
        <v>350</v>
      </c>
      <c r="K87" s="27">
        <v>390</v>
      </c>
      <c r="L87" s="27">
        <v>330</v>
      </c>
      <c r="M87" s="27">
        <v>390</v>
      </c>
      <c r="N87" s="27">
        <v>470</v>
      </c>
      <c r="O87" s="27">
        <v>570</v>
      </c>
      <c r="P87" s="27">
        <v>670</v>
      </c>
      <c r="Q87" s="27">
        <v>830</v>
      </c>
      <c r="R87" s="27">
        <v>880</v>
      </c>
      <c r="S87" s="27">
        <v>860</v>
      </c>
      <c r="T87" s="27">
        <v>850</v>
      </c>
      <c r="U87" s="27">
        <v>870</v>
      </c>
      <c r="V87" s="27">
        <v>860</v>
      </c>
      <c r="W87" s="27">
        <v>870</v>
      </c>
      <c r="X87" s="27">
        <v>910</v>
      </c>
      <c r="Y87" s="27">
        <v>1010</v>
      </c>
      <c r="Z87" s="27">
        <v>1070</v>
      </c>
      <c r="AA87" s="27">
        <v>1450</v>
      </c>
      <c r="AB87" s="27">
        <v>2250</v>
      </c>
      <c r="AC87" s="27">
        <v>3820</v>
      </c>
      <c r="AD87" s="27">
        <v>4160</v>
      </c>
      <c r="AE87" s="27">
        <v>4520</v>
      </c>
      <c r="AF87" s="27">
        <v>4860</v>
      </c>
      <c r="AG87" s="27">
        <v>5350</v>
      </c>
      <c r="AH87" s="27">
        <v>5610</v>
      </c>
      <c r="AI87" s="27">
        <v>5640</v>
      </c>
      <c r="AJ87" s="27">
        <v>5530</v>
      </c>
      <c r="AK87" s="27">
        <v>5610</v>
      </c>
      <c r="AL87" s="27">
        <v>5870</v>
      </c>
      <c r="AM87" s="27">
        <v>6100</v>
      </c>
      <c r="AN87" s="27">
        <v>6380</v>
      </c>
      <c r="AO87" s="27">
        <v>8090</v>
      </c>
      <c r="AP87" s="27">
        <v>7810</v>
      </c>
      <c r="AQ87" s="27">
        <v>14680</v>
      </c>
      <c r="AR87" s="27">
        <v>17770</v>
      </c>
      <c r="AS87" s="27">
        <v>26400</v>
      </c>
      <c r="AT87" s="27">
        <v>28470</v>
      </c>
      <c r="AU87" s="29">
        <f t="shared" si="76"/>
        <v>30245.886029411769</v>
      </c>
      <c r="AV87" s="29">
        <f t="shared" ref="AV87:BS87" si="80">AU87*(1+$D87)</f>
        <v>32132.547302569932</v>
      </c>
      <c r="AW87" s="29">
        <f t="shared" si="80"/>
        <v>34136.893696811123</v>
      </c>
      <c r="AX87" s="29">
        <f t="shared" si="80"/>
        <v>36266.266110006822</v>
      </c>
      <c r="AY87" s="29">
        <f t="shared" si="80"/>
        <v>38528.463346525634</v>
      </c>
      <c r="AZ87" s="29">
        <f t="shared" si="80"/>
        <v>40931.770680273374</v>
      </c>
      <c r="BA87" s="29">
        <f t="shared" si="80"/>
        <v>43484.990199422784</v>
      </c>
      <c r="BB87" s="29">
        <f t="shared" si="80"/>
        <v>46197.473043970116</v>
      </c>
      <c r="BC87" s="29">
        <f t="shared" si="80"/>
        <v>49079.153654188354</v>
      </c>
      <c r="BD87" s="29">
        <f t="shared" si="80"/>
        <v>52140.586155411627</v>
      </c>
      <c r="BE87" s="29">
        <f t="shared" si="80"/>
        <v>55392.983012409735</v>
      </c>
      <c r="BF87" s="29">
        <f t="shared" si="80"/>
        <v>58848.256094924029</v>
      </c>
      <c r="BG87" s="29">
        <f t="shared" si="80"/>
        <v>62519.060304766725</v>
      </c>
      <c r="BH87" s="29">
        <f t="shared" si="80"/>
        <v>66418.839924267493</v>
      </c>
      <c r="BI87" s="29">
        <f t="shared" si="80"/>
        <v>70561.877855818006</v>
      </c>
      <c r="BJ87" s="29">
        <f t="shared" si="80"/>
        <v>74963.347932853721</v>
      </c>
      <c r="BK87" s="29">
        <f t="shared" si="80"/>
        <v>79639.370493861396</v>
      </c>
      <c r="BL87" s="29">
        <f t="shared" si="80"/>
        <v>84607.071422951529</v>
      </c>
      <c r="BM87" s="29">
        <f t="shared" si="80"/>
        <v>89884.644873231242</v>
      </c>
      <c r="BN87" s="29">
        <f t="shared" si="80"/>
        <v>95491.419902701193</v>
      </c>
      <c r="BO87" s="29">
        <f t="shared" si="80"/>
        <v>101447.93126673</v>
      </c>
      <c r="BP87" s="29">
        <f t="shared" si="80"/>
        <v>107775.99462638266</v>
      </c>
      <c r="BQ87" s="29">
        <f t="shared" si="80"/>
        <v>114498.78644805287</v>
      </c>
      <c r="BR87" s="29">
        <f t="shared" si="80"/>
        <v>121640.92888703069</v>
      </c>
      <c r="BS87" s="29">
        <f t="shared" si="80"/>
        <v>129228.57996589084</v>
      </c>
    </row>
    <row r="88" spans="1:71" x14ac:dyDescent="0.2">
      <c r="A88" s="2" t="s">
        <v>383</v>
      </c>
      <c r="B88" s="2" t="s">
        <v>384</v>
      </c>
      <c r="C88" s="11" t="s">
        <v>210</v>
      </c>
      <c r="D88" s="26">
        <f>'Growth calculation'!G89</f>
        <v>1.9024247000587247E-2</v>
      </c>
      <c r="E88" s="27">
        <v>2010</v>
      </c>
      <c r="F88" s="12">
        <v>2025</v>
      </c>
      <c r="G88" s="2" t="s">
        <v>162</v>
      </c>
      <c r="H88" s="27">
        <v>350</v>
      </c>
      <c r="I88" s="27">
        <v>390</v>
      </c>
      <c r="J88" s="27">
        <v>380</v>
      </c>
      <c r="K88" s="27">
        <v>430</v>
      </c>
      <c r="L88" s="27">
        <v>460</v>
      </c>
      <c r="M88" s="27">
        <v>400</v>
      </c>
      <c r="N88" s="27">
        <v>320</v>
      </c>
      <c r="O88" s="27">
        <v>260</v>
      </c>
      <c r="P88" s="27">
        <v>310</v>
      </c>
      <c r="Q88" s="27">
        <v>370</v>
      </c>
      <c r="R88" s="27">
        <v>400</v>
      </c>
      <c r="S88" s="27">
        <v>410</v>
      </c>
      <c r="T88" s="27">
        <v>460</v>
      </c>
      <c r="U88" s="27">
        <v>560</v>
      </c>
      <c r="V88" s="27">
        <v>650</v>
      </c>
      <c r="W88" s="27">
        <v>740</v>
      </c>
      <c r="X88" s="27">
        <v>690</v>
      </c>
      <c r="Y88" s="27">
        <v>680</v>
      </c>
      <c r="Z88" s="27">
        <v>710</v>
      </c>
      <c r="AA88" s="27">
        <v>800</v>
      </c>
      <c r="AB88" s="27">
        <v>900</v>
      </c>
      <c r="AC88" s="27">
        <v>1010</v>
      </c>
      <c r="AD88" s="27">
        <v>1160</v>
      </c>
      <c r="AE88" s="27">
        <v>1140</v>
      </c>
      <c r="AF88" s="27">
        <v>1260</v>
      </c>
      <c r="AG88" s="27">
        <v>1320</v>
      </c>
      <c r="AH88" s="27">
        <v>1410</v>
      </c>
      <c r="AI88" s="27">
        <v>1460</v>
      </c>
      <c r="AJ88" s="27">
        <v>1430</v>
      </c>
      <c r="AK88" s="27">
        <v>1380</v>
      </c>
      <c r="AL88" s="27">
        <v>1370</v>
      </c>
      <c r="AM88" s="27">
        <v>1430</v>
      </c>
      <c r="AN88" s="27">
        <v>1410</v>
      </c>
      <c r="AO88" s="27">
        <v>1340</v>
      </c>
      <c r="AP88" s="27">
        <v>1450</v>
      </c>
      <c r="AQ88" s="27">
        <v>1610</v>
      </c>
      <c r="AR88" s="27">
        <v>1740</v>
      </c>
      <c r="AS88" s="27">
        <v>1730</v>
      </c>
      <c r="AT88" s="27">
        <v>2010</v>
      </c>
      <c r="AU88" s="29">
        <f t="shared" si="76"/>
        <v>2048.2387364711803</v>
      </c>
      <c r="AV88" s="29">
        <f t="shared" ref="AV88:BS88" si="81">AU88*(1+$D88)</f>
        <v>2087.2049361099789</v>
      </c>
      <c r="AW88" s="29">
        <f t="shared" si="81"/>
        <v>2126.9124383553799</v>
      </c>
      <c r="AX88" s="29">
        <f t="shared" si="81"/>
        <v>2167.3753459312738</v>
      </c>
      <c r="AY88" s="29">
        <f t="shared" si="81"/>
        <v>2208.6080298552538</v>
      </c>
      <c r="AZ88" s="29">
        <f t="shared" si="81"/>
        <v>2250.6251345427004</v>
      </c>
      <c r="BA88" s="29">
        <f t="shared" si="81"/>
        <v>2293.4415830079706</v>
      </c>
      <c r="BB88" s="29">
        <f t="shared" si="81"/>
        <v>2337.0725821645319</v>
      </c>
      <c r="BC88" s="29">
        <f t="shared" si="81"/>
        <v>2381.53362822593</v>
      </c>
      <c r="BD88" s="29">
        <f t="shared" si="81"/>
        <v>2426.8405122095046</v>
      </c>
      <c r="BE88" s="29">
        <f t="shared" si="81"/>
        <v>2473.0093255448101</v>
      </c>
      <c r="BF88" s="29">
        <f t="shared" si="81"/>
        <v>2520.0564657887303</v>
      </c>
      <c r="BG88" s="29">
        <f t="shared" si="81"/>
        <v>2567.9986424493222</v>
      </c>
      <c r="BH88" s="29">
        <f t="shared" si="81"/>
        <v>2616.8528829204511</v>
      </c>
      <c r="BI88" s="29">
        <f t="shared" si="81"/>
        <v>2666.6365385293284</v>
      </c>
      <c r="BJ88" s="29">
        <f t="shared" si="81"/>
        <v>2717.3672906991014</v>
      </c>
      <c r="BK88" s="29">
        <f t="shared" si="81"/>
        <v>2769.0631572286775</v>
      </c>
      <c r="BL88" s="29">
        <f t="shared" si="81"/>
        <v>2821.7424986920219</v>
      </c>
      <c r="BM88" s="29">
        <f t="shared" si="81"/>
        <v>2875.424024959193</v>
      </c>
      <c r="BN88" s="29">
        <f t="shared" si="81"/>
        <v>2930.1268018414394</v>
      </c>
      <c r="BO88" s="29">
        <f t="shared" si="81"/>
        <v>2985.8702578627117</v>
      </c>
      <c r="BP88" s="29">
        <f t="shared" si="81"/>
        <v>3042.6741911599993</v>
      </c>
      <c r="BQ88" s="29">
        <f t="shared" si="81"/>
        <v>3100.5587765149389</v>
      </c>
      <c r="BR88" s="29">
        <f t="shared" si="81"/>
        <v>3159.5445725191976</v>
      </c>
      <c r="BS88" s="29">
        <f t="shared" si="81"/>
        <v>3219.6525288761677</v>
      </c>
    </row>
    <row r="89" spans="1:71" x14ac:dyDescent="0.2">
      <c r="A89" s="2" t="s">
        <v>385</v>
      </c>
      <c r="B89" s="2" t="s">
        <v>386</v>
      </c>
      <c r="C89" s="11" t="s">
        <v>210</v>
      </c>
      <c r="D89" s="26">
        <f>'Growth calculation'!G90</f>
        <v>5.4840538152476581E-2</v>
      </c>
      <c r="E89" s="27">
        <v>3270</v>
      </c>
      <c r="F89" s="12">
        <v>2025</v>
      </c>
      <c r="G89" s="2" t="s">
        <v>162</v>
      </c>
      <c r="H89" s="27">
        <v>1100</v>
      </c>
      <c r="I89" s="27">
        <v>1160</v>
      </c>
      <c r="J89" s="27">
        <v>1060</v>
      </c>
      <c r="K89" s="27">
        <v>950</v>
      </c>
      <c r="L89" s="27">
        <v>880</v>
      </c>
      <c r="M89" s="27">
        <v>800</v>
      </c>
      <c r="N89" s="27">
        <v>810</v>
      </c>
      <c r="O89" s="27">
        <v>880</v>
      </c>
      <c r="P89" s="27">
        <v>920</v>
      </c>
      <c r="Q89" s="27">
        <v>910</v>
      </c>
      <c r="R89" s="27">
        <v>970</v>
      </c>
      <c r="S89" s="27">
        <v>960</v>
      </c>
      <c r="T89" s="27">
        <v>1010</v>
      </c>
      <c r="U89" s="27">
        <v>1060</v>
      </c>
      <c r="V89" s="27">
        <v>1050</v>
      </c>
      <c r="W89" s="27">
        <v>1070</v>
      </c>
      <c r="X89" s="27">
        <v>1130</v>
      </c>
      <c r="Y89" s="27">
        <v>1210</v>
      </c>
      <c r="Z89" s="27">
        <v>1290</v>
      </c>
      <c r="AA89" s="27">
        <v>1360</v>
      </c>
      <c r="AB89" s="27">
        <v>1490</v>
      </c>
      <c r="AC89" s="27">
        <v>1620</v>
      </c>
      <c r="AD89" s="27">
        <v>1670</v>
      </c>
      <c r="AE89" s="27">
        <v>1730</v>
      </c>
      <c r="AF89" s="27">
        <v>1860</v>
      </c>
      <c r="AG89" s="27">
        <v>1950</v>
      </c>
      <c r="AH89" s="27">
        <v>1990</v>
      </c>
      <c r="AI89" s="27">
        <v>1980</v>
      </c>
      <c r="AJ89" s="27">
        <v>2030</v>
      </c>
      <c r="AK89" s="27">
        <v>2090</v>
      </c>
      <c r="AL89" s="27">
        <v>2210</v>
      </c>
      <c r="AM89" s="27">
        <v>2280</v>
      </c>
      <c r="AN89" s="27">
        <v>2330</v>
      </c>
      <c r="AO89" s="27">
        <v>2120</v>
      </c>
      <c r="AP89" s="27">
        <v>2440</v>
      </c>
      <c r="AQ89" s="27">
        <v>2700</v>
      </c>
      <c r="AR89" s="27">
        <v>2870</v>
      </c>
      <c r="AS89" s="27">
        <v>3020</v>
      </c>
      <c r="AT89" s="27">
        <v>3270</v>
      </c>
      <c r="AU89" s="29">
        <f t="shared" si="76"/>
        <v>3449.3285597585982</v>
      </c>
      <c r="AV89" s="29">
        <f t="shared" ref="AV89:BS89" si="82">AU89*(1+$D89)</f>
        <v>3638.4915942404668</v>
      </c>
      <c r="AW89" s="29">
        <f t="shared" si="82"/>
        <v>3838.0284313318766</v>
      </c>
      <c r="AX89" s="29">
        <f t="shared" si="82"/>
        <v>4048.507975950622</v>
      </c>
      <c r="AY89" s="29">
        <f t="shared" si="82"/>
        <v>4270.5303320663479</v>
      </c>
      <c r="AZ89" s="29">
        <f t="shared" si="82"/>
        <v>4504.7285136733408</v>
      </c>
      <c r="BA89" s="29">
        <f t="shared" si="82"/>
        <v>4751.770249593993</v>
      </c>
      <c r="BB89" s="29">
        <f t="shared" si="82"/>
        <v>5012.3598872586554</v>
      </c>
      <c r="BC89" s="29">
        <f t="shared" si="82"/>
        <v>5287.2404008898066</v>
      </c>
      <c r="BD89" s="29">
        <f t="shared" si="82"/>
        <v>5577.1955098161197</v>
      </c>
      <c r="BE89" s="29">
        <f t="shared" si="82"/>
        <v>5883.0519129560116</v>
      </c>
      <c r="BF89" s="29">
        <f t="shared" si="82"/>
        <v>6205.681645841476</v>
      </c>
      <c r="BG89" s="29">
        <f t="shared" si="82"/>
        <v>6546.0045669023693</v>
      </c>
      <c r="BH89" s="29">
        <f t="shared" si="82"/>
        <v>6904.9909800998648</v>
      </c>
      <c r="BI89" s="29">
        <f t="shared" si="82"/>
        <v>7283.664401386538</v>
      </c>
      <c r="BJ89" s="29">
        <f t="shared" si="82"/>
        <v>7683.1044768806123</v>
      </c>
      <c r="BK89" s="29">
        <f t="shared" si="82"/>
        <v>8104.4500610744471</v>
      </c>
      <c r="BL89" s="29">
        <f t="shared" si="82"/>
        <v>8548.9024638536412</v>
      </c>
      <c r="BM89" s="29">
        <f t="shared" si="82"/>
        <v>9017.7288755844074</v>
      </c>
      <c r="BN89" s="29">
        <f t="shared" si="82"/>
        <v>9512.2659800345846</v>
      </c>
      <c r="BO89" s="29">
        <f t="shared" si="82"/>
        <v>10033.923765429176</v>
      </c>
      <c r="BP89" s="29">
        <f t="shared" si="82"/>
        <v>10584.189544506236</v>
      </c>
      <c r="BQ89" s="29">
        <f t="shared" si="82"/>
        <v>11164.632195034774</v>
      </c>
      <c r="BR89" s="29">
        <f t="shared" si="82"/>
        <v>11776.906632884946</v>
      </c>
      <c r="BS89" s="29">
        <f t="shared" si="82"/>
        <v>12422.758530403828</v>
      </c>
    </row>
    <row r="90" spans="1:71" x14ac:dyDescent="0.2">
      <c r="A90" s="2" t="s">
        <v>387</v>
      </c>
      <c r="B90" s="2" t="s">
        <v>388</v>
      </c>
      <c r="C90" s="11" t="s">
        <v>79</v>
      </c>
      <c r="D90" s="26">
        <f>'Growth calculation'!G91</f>
        <v>4.487946829686984E-2</v>
      </c>
      <c r="E90" s="27">
        <v>62500</v>
      </c>
      <c r="F90" s="12">
        <v>2025</v>
      </c>
      <c r="G90" s="2" t="s">
        <v>162</v>
      </c>
      <c r="H90" s="27">
        <v>9080</v>
      </c>
      <c r="I90" s="27">
        <v>10770</v>
      </c>
      <c r="J90" s="27">
        <v>11550</v>
      </c>
      <c r="K90" s="27">
        <v>12660</v>
      </c>
      <c r="L90" s="27">
        <v>14320</v>
      </c>
      <c r="M90" s="27">
        <v>16560</v>
      </c>
      <c r="N90" s="27">
        <v>19560</v>
      </c>
      <c r="O90" s="27">
        <v>21820</v>
      </c>
      <c r="P90" s="27">
        <v>23570</v>
      </c>
      <c r="Q90" s="27">
        <v>24140</v>
      </c>
      <c r="R90" s="27">
        <v>26080</v>
      </c>
      <c r="S90" s="27">
        <v>25110</v>
      </c>
      <c r="T90" s="27">
        <v>25800</v>
      </c>
      <c r="U90" s="27">
        <v>26930</v>
      </c>
      <c r="V90" s="27">
        <v>26350</v>
      </c>
      <c r="W90" s="27">
        <v>25270</v>
      </c>
      <c r="X90" s="27">
        <v>26340</v>
      </c>
      <c r="Y90" s="27">
        <v>28120</v>
      </c>
      <c r="Z90" s="27">
        <v>28890</v>
      </c>
      <c r="AA90" s="27">
        <v>30290</v>
      </c>
      <c r="AB90" s="27">
        <v>32070</v>
      </c>
      <c r="AC90" s="27">
        <v>33950</v>
      </c>
      <c r="AD90" s="27">
        <v>32350</v>
      </c>
      <c r="AE90" s="27">
        <v>33620</v>
      </c>
      <c r="AF90" s="27">
        <v>35690</v>
      </c>
      <c r="AG90" s="27">
        <v>36340</v>
      </c>
      <c r="AH90" s="27">
        <v>38570</v>
      </c>
      <c r="AI90" s="27">
        <v>40240</v>
      </c>
      <c r="AJ90" s="27">
        <v>41180</v>
      </c>
      <c r="AK90" s="27">
        <v>42970</v>
      </c>
      <c r="AL90" s="27">
        <v>46380</v>
      </c>
      <c r="AM90" s="27">
        <v>50050</v>
      </c>
      <c r="AN90" s="27">
        <v>50480</v>
      </c>
      <c r="AO90" s="27">
        <v>48550</v>
      </c>
      <c r="AP90" s="27">
        <v>54380</v>
      </c>
      <c r="AQ90" s="27">
        <v>54000</v>
      </c>
      <c r="AR90" s="27">
        <v>54870</v>
      </c>
      <c r="AS90" s="27">
        <v>57410</v>
      </c>
      <c r="AT90" s="27">
        <v>62500</v>
      </c>
      <c r="AU90" s="29">
        <f t="shared" si="76"/>
        <v>65304.966768554368</v>
      </c>
      <c r="AV90" s="29">
        <f t="shared" ref="AV90:BS90" si="83">AU90*(1+$D90)</f>
        <v>68235.818954271846</v>
      </c>
      <c r="AW90" s="29">
        <f t="shared" si="83"/>
        <v>71298.206227741044</v>
      </c>
      <c r="AX90" s="29">
        <f t="shared" si="83"/>
        <v>74498.031813762631</v>
      </c>
      <c r="AY90" s="29">
        <f t="shared" si="83"/>
        <v>77841.463870727588</v>
      </c>
      <c r="AZ90" s="29">
        <f t="shared" si="83"/>
        <v>81334.947380695841</v>
      </c>
      <c r="BA90" s="29">
        <f t="shared" si="83"/>
        <v>84985.216573095357</v>
      </c>
      <c r="BB90" s="29">
        <f t="shared" si="83"/>
        <v>88799.307905990208</v>
      </c>
      <c r="BC90" s="29">
        <f t="shared" si="83"/>
        <v>92784.573629941078</v>
      </c>
      <c r="BD90" s="29">
        <f t="shared" si="83"/>
        <v>96948.6959606046</v>
      </c>
      <c r="BE90" s="29">
        <f t="shared" si="83"/>
        <v>101299.70188739142</v>
      </c>
      <c r="BF90" s="29">
        <f t="shared" si="83"/>
        <v>105845.97864672897</v>
      </c>
      <c r="BG90" s="29">
        <f t="shared" si="83"/>
        <v>110596.28988975601</v>
      </c>
      <c r="BH90" s="29">
        <f t="shared" si="83"/>
        <v>115559.79257561475</v>
      </c>
      <c r="BI90" s="29">
        <f t="shared" si="83"/>
        <v>120746.05462290491</v>
      </c>
      <c r="BJ90" s="29">
        <f t="shared" si="83"/>
        <v>126165.07335332569</v>
      </c>
      <c r="BK90" s="29">
        <f t="shared" si="83"/>
        <v>131827.29476305851</v>
      </c>
      <c r="BL90" s="29">
        <f t="shared" si="83"/>
        <v>137743.6336590393</v>
      </c>
      <c r="BM90" s="29">
        <f t="shared" si="83"/>
        <v>143925.4946989358</v>
      </c>
      <c r="BN90" s="29">
        <f t="shared" si="83"/>
        <v>150384.79437538801</v>
      </c>
      <c r="BO90" s="29">
        <f t="shared" si="83"/>
        <v>157133.98398688954</v>
      </c>
      <c r="BP90" s="29">
        <f t="shared" si="83"/>
        <v>164186.07363959</v>
      </c>
      <c r="BQ90" s="29">
        <f t="shared" si="83"/>
        <v>171554.65732628552</v>
      </c>
      <c r="BR90" s="29">
        <f t="shared" si="83"/>
        <v>179253.93913094091</v>
      </c>
      <c r="BS90" s="29">
        <f t="shared" si="83"/>
        <v>187298.76060925701</v>
      </c>
    </row>
    <row r="91" spans="1:71" x14ac:dyDescent="0.2">
      <c r="A91" s="2" t="s">
        <v>389</v>
      </c>
      <c r="B91" s="2" t="s">
        <v>390</v>
      </c>
      <c r="C91" s="11" t="s">
        <v>79</v>
      </c>
      <c r="D91" s="26">
        <f>'Growth calculation'!G92</f>
        <v>5.5989796379926293E-2</v>
      </c>
      <c r="E91" s="27">
        <v>23850</v>
      </c>
      <c r="F91" s="12">
        <v>2025</v>
      </c>
      <c r="G91" s="2" t="s">
        <v>162</v>
      </c>
      <c r="H91" s="27">
        <v>2520</v>
      </c>
      <c r="I91" s="27">
        <v>2840</v>
      </c>
      <c r="J91" s="27">
        <v>2910</v>
      </c>
      <c r="K91" s="27">
        <v>3020</v>
      </c>
      <c r="L91" s="27">
        <v>2910</v>
      </c>
      <c r="M91" s="27">
        <v>3320</v>
      </c>
      <c r="N91" s="27">
        <v>3670</v>
      </c>
      <c r="O91" s="27">
        <v>4040</v>
      </c>
      <c r="P91" s="27">
        <v>4260</v>
      </c>
      <c r="Q91" s="27">
        <v>4380</v>
      </c>
      <c r="R91" s="27">
        <v>4410</v>
      </c>
      <c r="S91" s="27">
        <v>4420</v>
      </c>
      <c r="T91" s="27">
        <v>4500</v>
      </c>
      <c r="U91" s="27">
        <v>4630</v>
      </c>
      <c r="V91" s="27">
        <v>4790</v>
      </c>
      <c r="W91" s="27">
        <v>5300</v>
      </c>
      <c r="X91" s="27">
        <v>6630</v>
      </c>
      <c r="Y91" s="27">
        <v>8650</v>
      </c>
      <c r="Z91" s="27">
        <v>10380</v>
      </c>
      <c r="AA91" s="27">
        <v>11230</v>
      </c>
      <c r="AB91" s="27">
        <v>11770</v>
      </c>
      <c r="AC91" s="27">
        <v>13250</v>
      </c>
      <c r="AD91" s="27">
        <v>13400</v>
      </c>
      <c r="AE91" s="27">
        <v>13250</v>
      </c>
      <c r="AF91" s="27">
        <v>13260</v>
      </c>
      <c r="AG91" s="27">
        <v>13080</v>
      </c>
      <c r="AH91" s="27">
        <v>13560</v>
      </c>
      <c r="AI91" s="27">
        <v>13630</v>
      </c>
      <c r="AJ91" s="27">
        <v>13310</v>
      </c>
      <c r="AK91" s="27">
        <v>13230</v>
      </c>
      <c r="AL91" s="27">
        <v>13310</v>
      </c>
      <c r="AM91" s="27">
        <v>15180</v>
      </c>
      <c r="AN91" s="27">
        <v>16840</v>
      </c>
      <c r="AO91" s="27">
        <v>16330</v>
      </c>
      <c r="AP91" s="27">
        <v>18070</v>
      </c>
      <c r="AQ91" s="27">
        <v>19200</v>
      </c>
      <c r="AR91" s="27">
        <v>19820</v>
      </c>
      <c r="AS91" s="27">
        <v>20800</v>
      </c>
      <c r="AT91" s="27">
        <v>23850</v>
      </c>
      <c r="AU91" s="29">
        <f t="shared" si="76"/>
        <v>25185.356643661242</v>
      </c>
      <c r="AV91" s="29">
        <f t="shared" ref="AV91:BS91" si="84">AU91*(1+$D91)</f>
        <v>26595.479633895658</v>
      </c>
      <c r="AW91" s="29">
        <f t="shared" si="84"/>
        <v>28084.555123223952</v>
      </c>
      <c r="AX91" s="29">
        <f t="shared" si="84"/>
        <v>29657.003645994078</v>
      </c>
      <c r="AY91" s="29">
        <f t="shared" si="84"/>
        <v>31317.49324137202</v>
      </c>
      <c r="AZ91" s="29">
        <f t="shared" si="84"/>
        <v>33070.953311086159</v>
      </c>
      <c r="BA91" s="29">
        <f t="shared" si="84"/>
        <v>34922.589253063925</v>
      </c>
      <c r="BB91" s="29">
        <f t="shared" si="84"/>
        <v>36877.897914402776</v>
      </c>
      <c r="BC91" s="29">
        <f t="shared" si="84"/>
        <v>38942.683909549894</v>
      </c>
      <c r="BD91" s="29">
        <f t="shared" si="84"/>
        <v>41123.076852133425</v>
      </c>
      <c r="BE91" s="29">
        <f t="shared" si="84"/>
        <v>43425.549551600438</v>
      </c>
      <c r="BF91" s="29">
        <f t="shared" si="84"/>
        <v>45856.937228680945</v>
      </c>
      <c r="BG91" s="29">
        <f t="shared" si="84"/>
        <v>48424.457806721854</v>
      </c>
      <c r="BH91" s="29">
        <f t="shared" si="84"/>
        <v>51135.733339128543</v>
      </c>
      <c r="BI91" s="29">
        <f t="shared" si="84"/>
        <v>53998.812636524555</v>
      </c>
      <c r="BJ91" s="29">
        <f t="shared" si="84"/>
        <v>57022.195160801355</v>
      </c>
      <c r="BK91" s="29">
        <f t="shared" si="84"/>
        <v>60214.856256991043</v>
      </c>
      <c r="BL91" s="29">
        <f t="shared" si="84"/>
        <v>63586.273797866503</v>
      </c>
      <c r="BM91" s="29">
        <f t="shared" si="84"/>
        <v>67146.456320367288</v>
      </c>
      <c r="BN91" s="29">
        <f t="shared" si="84"/>
        <v>70905.972737378266</v>
      </c>
      <c r="BO91" s="29">
        <f t="shared" si="84"/>
        <v>74875.983713064677</v>
      </c>
      <c r="BP91" s="29">
        <f t="shared" si="84"/>
        <v>79068.274794905839</v>
      </c>
      <c r="BQ91" s="29">
        <f t="shared" si="84"/>
        <v>83495.29140078467</v>
      </c>
      <c r="BR91" s="29">
        <f t="shared" si="84"/>
        <v>88170.175764997213</v>
      </c>
      <c r="BS91" s="29">
        <f t="shared" si="84"/>
        <v>93106.805952861716</v>
      </c>
    </row>
    <row r="92" spans="1:71" x14ac:dyDescent="0.2">
      <c r="A92" s="2" t="s">
        <v>391</v>
      </c>
      <c r="B92" s="2" t="s">
        <v>392</v>
      </c>
      <c r="C92" s="11" t="s">
        <v>79</v>
      </c>
      <c r="D92" s="26">
        <f>'Growth calculation'!G93</f>
        <v>7.1689000000000003E-2</v>
      </c>
      <c r="E92" s="27">
        <v>89220</v>
      </c>
      <c r="F92" s="12">
        <v>2025</v>
      </c>
      <c r="G92" s="28" t="s">
        <v>393</v>
      </c>
      <c r="H92" s="27">
        <v>19480</v>
      </c>
      <c r="I92" s="27">
        <v>23940</v>
      </c>
      <c r="J92" s="27">
        <v>24680</v>
      </c>
      <c r="K92" s="27">
        <v>25300</v>
      </c>
      <c r="L92" s="27">
        <v>25760</v>
      </c>
      <c r="M92" s="27">
        <v>27030</v>
      </c>
      <c r="N92" s="27">
        <v>26610</v>
      </c>
      <c r="O92" s="27">
        <v>26170</v>
      </c>
      <c r="P92" s="27">
        <v>25990</v>
      </c>
      <c r="Q92" s="27">
        <v>27750</v>
      </c>
      <c r="R92" s="27">
        <v>28690</v>
      </c>
      <c r="S92" s="27">
        <v>29550</v>
      </c>
      <c r="T92" s="27">
        <v>30720</v>
      </c>
      <c r="U92" s="27">
        <v>32170</v>
      </c>
      <c r="V92" s="27">
        <v>31120</v>
      </c>
      <c r="W92" s="27">
        <v>31080</v>
      </c>
      <c r="X92" s="27">
        <v>33810</v>
      </c>
      <c r="Y92" s="27">
        <v>42100</v>
      </c>
      <c r="Z92" s="27">
        <v>51760</v>
      </c>
      <c r="AA92" s="27">
        <v>55160</v>
      </c>
      <c r="AB92" s="27">
        <v>63250</v>
      </c>
      <c r="AC92" s="27">
        <v>52520</v>
      </c>
      <c r="AD92" s="27">
        <v>43740</v>
      </c>
      <c r="AE92" s="27">
        <v>38480</v>
      </c>
      <c r="AF92" s="27">
        <v>39690</v>
      </c>
      <c r="AG92" s="27">
        <v>43190</v>
      </c>
      <c r="AH92" s="27">
        <v>49540</v>
      </c>
      <c r="AI92" s="27">
        <v>50800</v>
      </c>
      <c r="AJ92" s="27">
        <v>53170</v>
      </c>
      <c r="AK92" s="27">
        <v>59210</v>
      </c>
      <c r="AL92" s="27">
        <v>62770</v>
      </c>
      <c r="AM92" s="27">
        <v>72840</v>
      </c>
      <c r="AN92" s="27">
        <v>75560</v>
      </c>
      <c r="AO92" s="27">
        <v>66730</v>
      </c>
      <c r="AP92" s="27">
        <v>68000</v>
      </c>
      <c r="AQ92" s="27">
        <v>74620</v>
      </c>
      <c r="AR92" s="27">
        <v>80870</v>
      </c>
      <c r="AS92" s="27">
        <v>80910</v>
      </c>
      <c r="AT92" s="27">
        <v>89220</v>
      </c>
      <c r="AU92" s="29">
        <f t="shared" si="76"/>
        <v>95616.092580000011</v>
      </c>
      <c r="AV92" s="29">
        <f t="shared" ref="AV92:BS92" si="85">AU92*(1+$D92)</f>
        <v>102470.71464096765</v>
      </c>
      <c r="AW92" s="29">
        <f t="shared" si="85"/>
        <v>109816.73770286399</v>
      </c>
      <c r="AX92" s="29">
        <f t="shared" si="85"/>
        <v>117689.38981204462</v>
      </c>
      <c r="AY92" s="29">
        <f t="shared" si="85"/>
        <v>126126.4244782803</v>
      </c>
      <c r="AZ92" s="29">
        <f t="shared" si="85"/>
        <v>135168.30172270376</v>
      </c>
      <c r="BA92" s="29">
        <f t="shared" si="85"/>
        <v>144858.3821049027</v>
      </c>
      <c r="BB92" s="29">
        <f t="shared" si="85"/>
        <v>155243.13465962108</v>
      </c>
      <c r="BC92" s="29">
        <f t="shared" si="85"/>
        <v>166372.35974023468</v>
      </c>
      <c r="BD92" s="29">
        <f t="shared" si="85"/>
        <v>178299.42783765239</v>
      </c>
      <c r="BE92" s="29">
        <f t="shared" si="85"/>
        <v>191081.53551990588</v>
      </c>
      <c r="BF92" s="29">
        <f t="shared" si="85"/>
        <v>204779.97971979243</v>
      </c>
      <c r="BG92" s="29">
        <f t="shared" si="85"/>
        <v>219460.45168592467</v>
      </c>
      <c r="BH92" s="29">
        <f t="shared" si="85"/>
        <v>235193.35200683694</v>
      </c>
      <c r="BI92" s="29">
        <f t="shared" si="85"/>
        <v>252054.1282188551</v>
      </c>
      <c r="BJ92" s="29">
        <f t="shared" si="85"/>
        <v>270123.63661673665</v>
      </c>
      <c r="BK92" s="29">
        <f t="shared" si="85"/>
        <v>289488.53000215389</v>
      </c>
      <c r="BL92" s="29">
        <f t="shared" si="85"/>
        <v>310241.67322947836</v>
      </c>
      <c r="BM92" s="29">
        <f t="shared" si="85"/>
        <v>332482.58854162646</v>
      </c>
      <c r="BN92" s="29">
        <f t="shared" si="85"/>
        <v>356317.93283158715</v>
      </c>
      <c r="BO92" s="29">
        <f t="shared" si="85"/>
        <v>381862.00911835086</v>
      </c>
      <c r="BP92" s="29">
        <f t="shared" si="85"/>
        <v>409237.31469003635</v>
      </c>
      <c r="BQ92" s="29">
        <f t="shared" si="85"/>
        <v>438575.12854285043</v>
      </c>
      <c r="BR92" s="29">
        <f t="shared" si="85"/>
        <v>470016.14093295886</v>
      </c>
      <c r="BS92" s="29">
        <f t="shared" si="85"/>
        <v>503711.12806030182</v>
      </c>
    </row>
    <row r="93" spans="1:71" x14ac:dyDescent="0.2">
      <c r="A93" s="2" t="s">
        <v>394</v>
      </c>
      <c r="B93" s="2" t="s">
        <v>395</v>
      </c>
      <c r="C93" s="11" t="s">
        <v>210</v>
      </c>
      <c r="D93" s="26">
        <f>'Growth calculation'!G94</f>
        <v>6.4409156370802689E-2</v>
      </c>
      <c r="E93" s="27">
        <v>2760</v>
      </c>
      <c r="F93" s="12">
        <v>2025</v>
      </c>
      <c r="G93" s="2" t="s">
        <v>162</v>
      </c>
      <c r="H93" s="27">
        <v>360</v>
      </c>
      <c r="I93" s="27">
        <v>400</v>
      </c>
      <c r="J93" s="27">
        <v>390</v>
      </c>
      <c r="K93" s="27">
        <v>390</v>
      </c>
      <c r="L93" s="27">
        <v>350</v>
      </c>
      <c r="M93" s="27">
        <v>350</v>
      </c>
      <c r="N93" s="27">
        <v>330</v>
      </c>
      <c r="O93" s="27">
        <v>340</v>
      </c>
      <c r="P93" s="27">
        <v>370</v>
      </c>
      <c r="Q93" s="27">
        <v>400</v>
      </c>
      <c r="R93" s="27">
        <v>410</v>
      </c>
      <c r="S93" s="27">
        <v>410</v>
      </c>
      <c r="T93" s="27">
        <v>440</v>
      </c>
      <c r="U93" s="27">
        <v>440</v>
      </c>
      <c r="V93" s="27">
        <v>450</v>
      </c>
      <c r="W93" s="27">
        <v>460</v>
      </c>
      <c r="X93" s="27">
        <v>510</v>
      </c>
      <c r="Y93" s="27">
        <v>610</v>
      </c>
      <c r="Z93" s="27">
        <v>700</v>
      </c>
      <c r="AA93" s="27">
        <v>780</v>
      </c>
      <c r="AB93" s="27">
        <v>910</v>
      </c>
      <c r="AC93" s="27">
        <v>990</v>
      </c>
      <c r="AD93" s="27">
        <v>1110</v>
      </c>
      <c r="AE93" s="27">
        <v>1210</v>
      </c>
      <c r="AF93" s="27">
        <v>1350</v>
      </c>
      <c r="AG93" s="27">
        <v>1460</v>
      </c>
      <c r="AH93" s="27">
        <v>1500</v>
      </c>
      <c r="AI93" s="27">
        <v>1540</v>
      </c>
      <c r="AJ93" s="27">
        <v>1580</v>
      </c>
      <c r="AK93" s="27">
        <v>1670</v>
      </c>
      <c r="AL93" s="27">
        <v>1790</v>
      </c>
      <c r="AM93" s="27">
        <v>1970</v>
      </c>
      <c r="AN93" s="27">
        <v>2070</v>
      </c>
      <c r="AO93" s="27">
        <v>1900</v>
      </c>
      <c r="AP93" s="27">
        <v>2170</v>
      </c>
      <c r="AQ93" s="27">
        <v>2360</v>
      </c>
      <c r="AR93" s="27">
        <v>2490</v>
      </c>
      <c r="AS93" s="27">
        <v>2550</v>
      </c>
      <c r="AT93" s="27">
        <v>2760</v>
      </c>
      <c r="AU93" s="29">
        <f t="shared" si="76"/>
        <v>2937.7692715834155</v>
      </c>
      <c r="AV93" s="29">
        <f t="shared" ref="AV93:BS93" si="86">AU93*(1+$D93)</f>
        <v>3126.9885119781707</v>
      </c>
      <c r="AW93" s="29">
        <f t="shared" si="86"/>
        <v>3328.3952040158761</v>
      </c>
      <c r="AX93" s="29">
        <f t="shared" si="86"/>
        <v>3542.7743311751642</v>
      </c>
      <c r="AY93" s="29">
        <f t="shared" si="86"/>
        <v>3770.9614370582913</v>
      </c>
      <c r="AZ93" s="29">
        <f t="shared" si="86"/>
        <v>4013.8458819260454</v>
      </c>
      <c r="BA93" s="29">
        <f t="shared" si="86"/>
        <v>4272.3743089833224</v>
      </c>
      <c r="BB93" s="29">
        <f t="shared" si="86"/>
        <v>4547.554333925229</v>
      </c>
      <c r="BC93" s="29">
        <f t="shared" si="86"/>
        <v>4840.4584721237406</v>
      </c>
      <c r="BD93" s="29">
        <f t="shared" si="86"/>
        <v>5152.2283187611356</v>
      </c>
      <c r="BE93" s="29">
        <f t="shared" si="86"/>
        <v>5484.0789982022998</v>
      </c>
      <c r="BF93" s="29">
        <f t="shared" si="86"/>
        <v>5837.3038999473465</v>
      </c>
      <c r="BG93" s="29">
        <f t="shared" si="86"/>
        <v>6213.2797196229512</v>
      </c>
      <c r="BH93" s="29">
        <f t="shared" si="86"/>
        <v>6613.4718246596831</v>
      </c>
      <c r="BI93" s="29">
        <f t="shared" si="86"/>
        <v>7039.4399655680863</v>
      </c>
      <c r="BJ93" s="29">
        <f t="shared" si="86"/>
        <v>7492.8443550732391</v>
      </c>
      <c r="BK93" s="29">
        <f t="shared" si="86"/>
        <v>7975.4521388012372</v>
      </c>
      <c r="BL93" s="29">
        <f t="shared" si="86"/>
        <v>8489.1442827371393</v>
      </c>
      <c r="BM93" s="29">
        <f t="shared" si="86"/>
        <v>9035.9229042982606</v>
      </c>
      <c r="BN93" s="29">
        <f t="shared" si="86"/>
        <v>9617.9190755957243</v>
      </c>
      <c r="BO93" s="29">
        <f t="shared" si="86"/>
        <v>10237.401129297496</v>
      </c>
      <c r="BP93" s="29">
        <f t="shared" si="86"/>
        <v>10896.783499465049</v>
      </c>
      <c r="BQ93" s="29">
        <f t="shared" si="86"/>
        <v>11598.636131820876</v>
      </c>
      <c r="BR93" s="29">
        <f t="shared" si="86"/>
        <v>12345.694500123369</v>
      </c>
      <c r="BS93" s="29">
        <f t="shared" si="86"/>
        <v>13140.870267687973</v>
      </c>
    </row>
    <row r="94" spans="1:71" x14ac:dyDescent="0.2">
      <c r="A94" s="2" t="s">
        <v>396</v>
      </c>
      <c r="B94" s="2" t="s">
        <v>397</v>
      </c>
      <c r="C94" s="11" t="s">
        <v>82</v>
      </c>
      <c r="D94" s="26">
        <f>'Growth calculation'!G95</f>
        <v>4.7884258370142763E-2</v>
      </c>
      <c r="E94" s="27">
        <v>5120</v>
      </c>
      <c r="F94" s="12">
        <v>2025</v>
      </c>
      <c r="G94" s="2" t="s">
        <v>162</v>
      </c>
      <c r="H94" s="27">
        <v>500</v>
      </c>
      <c r="I94" s="27">
        <v>510</v>
      </c>
      <c r="J94" s="27">
        <v>520</v>
      </c>
      <c r="K94" s="27">
        <v>560</v>
      </c>
      <c r="L94" s="27">
        <v>600</v>
      </c>
      <c r="M94" s="27">
        <v>650</v>
      </c>
      <c r="N94" s="27">
        <v>730</v>
      </c>
      <c r="O94" s="27">
        <v>840</v>
      </c>
      <c r="P94" s="27">
        <v>970</v>
      </c>
      <c r="Q94" s="27">
        <v>1070</v>
      </c>
      <c r="R94" s="27">
        <v>1080</v>
      </c>
      <c r="S94" s="27">
        <v>640</v>
      </c>
      <c r="T94" s="27">
        <v>560</v>
      </c>
      <c r="U94" s="27">
        <v>570</v>
      </c>
      <c r="V94" s="27">
        <v>700</v>
      </c>
      <c r="W94" s="27">
        <v>780</v>
      </c>
      <c r="X94" s="27">
        <v>880</v>
      </c>
      <c r="Y94" s="27">
        <v>1060</v>
      </c>
      <c r="Z94" s="27">
        <v>1200</v>
      </c>
      <c r="AA94" s="27">
        <v>1350</v>
      </c>
      <c r="AB94" s="27">
        <v>1570</v>
      </c>
      <c r="AC94" s="27">
        <v>1900</v>
      </c>
      <c r="AD94" s="27">
        <v>2110</v>
      </c>
      <c r="AE94" s="27">
        <v>2490</v>
      </c>
      <c r="AF94" s="27">
        <v>2960</v>
      </c>
      <c r="AG94" s="27">
        <v>3520</v>
      </c>
      <c r="AH94" s="27">
        <v>3670</v>
      </c>
      <c r="AI94" s="27">
        <v>3570</v>
      </c>
      <c r="AJ94" s="27">
        <v>3390</v>
      </c>
      <c r="AK94" s="27">
        <v>3370</v>
      </c>
      <c r="AL94" s="27">
        <v>3490</v>
      </c>
      <c r="AM94" s="27">
        <v>3810</v>
      </c>
      <c r="AN94" s="27">
        <v>4020</v>
      </c>
      <c r="AO94" s="27">
        <v>3850</v>
      </c>
      <c r="AP94" s="27">
        <v>4130</v>
      </c>
      <c r="AQ94" s="27">
        <v>4520</v>
      </c>
      <c r="AR94" s="27">
        <v>4810</v>
      </c>
      <c r="AS94" s="27">
        <v>4920</v>
      </c>
      <c r="AT94" s="27">
        <v>5120</v>
      </c>
      <c r="AU94" s="29">
        <f t="shared" si="76"/>
        <v>5365.1674028551315</v>
      </c>
      <c r="AV94" s="29">
        <f t="shared" ref="AV94:BS94" si="87">AU94*(1+$D94)</f>
        <v>5622.0744649725148</v>
      </c>
      <c r="AW94" s="29">
        <f t="shared" si="87"/>
        <v>5891.2833312294415</v>
      </c>
      <c r="AX94" s="29">
        <f t="shared" si="87"/>
        <v>6173.3830643937481</v>
      </c>
      <c r="AY94" s="29">
        <f t="shared" si="87"/>
        <v>6468.9909340670429</v>
      </c>
      <c r="AZ94" s="29">
        <f t="shared" si="87"/>
        <v>6778.753767348021</v>
      </c>
      <c r="BA94" s="29">
        <f t="shared" si="87"/>
        <v>7103.349364171293</v>
      </c>
      <c r="BB94" s="29">
        <f t="shared" si="87"/>
        <v>7443.4879804186612</v>
      </c>
      <c r="BC94" s="29">
        <f t="shared" si="87"/>
        <v>7799.9138820480812</v>
      </c>
      <c r="BD94" s="29">
        <f t="shared" si="87"/>
        <v>8173.4069736409356</v>
      </c>
      <c r="BE94" s="29">
        <f t="shared" si="87"/>
        <v>8564.7845049310854</v>
      </c>
      <c r="BF94" s="29">
        <f t="shared" si="87"/>
        <v>8974.9028590498019</v>
      </c>
      <c r="BG94" s="29">
        <f t="shared" si="87"/>
        <v>9404.6594263994757</v>
      </c>
      <c r="BH94" s="29">
        <f t="shared" si="87"/>
        <v>9854.9945682563884</v>
      </c>
      <c r="BI94" s="29">
        <f t="shared" si="87"/>
        <v>10326.893674399133</v>
      </c>
      <c r="BJ94" s="29">
        <f t="shared" si="87"/>
        <v>10821.389319265054</v>
      </c>
      <c r="BK94" s="29">
        <f t="shared" si="87"/>
        <v>11339.563521352646</v>
      </c>
      <c r="BL94" s="29">
        <f t="shared" si="87"/>
        <v>11882.550110813743</v>
      </c>
      <c r="BM94" s="29">
        <f t="shared" si="87"/>
        <v>12451.537210416118</v>
      </c>
      <c r="BN94" s="29">
        <f t="shared" si="87"/>
        <v>13047.769835305131</v>
      </c>
      <c r="BO94" s="29">
        <f t="shared" si="87"/>
        <v>13672.552617253039</v>
      </c>
      <c r="BP94" s="29">
        <f t="shared" si="87"/>
        <v>14327.252659356956</v>
      </c>
      <c r="BQ94" s="29">
        <f t="shared" si="87"/>
        <v>15013.302527431921</v>
      </c>
      <c r="BR94" s="29">
        <f t="shared" si="87"/>
        <v>15732.20338464459</v>
      </c>
      <c r="BS94" s="29">
        <f t="shared" si="87"/>
        <v>16485.528276246547</v>
      </c>
    </row>
    <row r="95" spans="1:71" x14ac:dyDescent="0.2">
      <c r="A95" s="2" t="s">
        <v>398</v>
      </c>
      <c r="B95" s="2" t="s">
        <v>399</v>
      </c>
      <c r="C95" s="11" t="s">
        <v>82</v>
      </c>
      <c r="D95" s="26">
        <f>'Growth calculation'!G96</f>
        <v>1.244E-2</v>
      </c>
      <c r="E95" s="27">
        <v>4650</v>
      </c>
      <c r="F95" s="12">
        <v>2025</v>
      </c>
      <c r="G95" s="28" t="s">
        <v>400</v>
      </c>
      <c r="H95" s="27">
        <v>3320</v>
      </c>
      <c r="I95" s="27">
        <v>2850</v>
      </c>
      <c r="J95" s="27">
        <v>2440</v>
      </c>
      <c r="K95" s="27">
        <v>2450</v>
      </c>
      <c r="L95" s="27">
        <v>2460</v>
      </c>
      <c r="M95" s="27">
        <v>2270</v>
      </c>
      <c r="N95" s="27">
        <v>1590</v>
      </c>
      <c r="O95" s="27">
        <v>1300</v>
      </c>
      <c r="P95" s="27">
        <v>1270</v>
      </c>
      <c r="Q95" s="27">
        <v>1600</v>
      </c>
      <c r="R95" s="27">
        <v>1790</v>
      </c>
      <c r="S95" s="27">
        <v>1770</v>
      </c>
      <c r="T95" s="27">
        <v>1730</v>
      </c>
      <c r="U95" s="27">
        <v>1750</v>
      </c>
      <c r="V95" s="27">
        <v>1780</v>
      </c>
      <c r="W95" s="27">
        <v>1880</v>
      </c>
      <c r="X95" s="27">
        <v>2180</v>
      </c>
      <c r="Y95" s="27">
        <v>2450</v>
      </c>
      <c r="Z95" s="27">
        <v>2850</v>
      </c>
      <c r="AA95" s="27">
        <v>3330</v>
      </c>
      <c r="AB95" s="27">
        <v>4070</v>
      </c>
      <c r="AC95" s="27">
        <v>4720</v>
      </c>
      <c r="AD95" s="27">
        <v>5260</v>
      </c>
      <c r="AE95" s="27">
        <v>5910</v>
      </c>
      <c r="AF95" s="27">
        <v>6680</v>
      </c>
      <c r="AG95" s="27">
        <v>7310</v>
      </c>
      <c r="AH95" s="27">
        <v>7220</v>
      </c>
      <c r="AI95" s="27">
        <v>6660</v>
      </c>
      <c r="AJ95" s="27">
        <v>5460</v>
      </c>
      <c r="AK95" s="27">
        <v>5530</v>
      </c>
      <c r="AL95" s="27">
        <v>5640</v>
      </c>
      <c r="AM95" s="27">
        <v>5390</v>
      </c>
      <c r="AN95" s="27">
        <v>4710</v>
      </c>
      <c r="AO95" s="27">
        <v>3980</v>
      </c>
      <c r="AP95" s="27">
        <v>4110</v>
      </c>
      <c r="AQ95" s="27">
        <v>4390</v>
      </c>
      <c r="AR95" s="27">
        <v>5070</v>
      </c>
      <c r="AS95" s="27">
        <v>5130</v>
      </c>
      <c r="AT95" s="27">
        <v>4650</v>
      </c>
      <c r="AU95" s="29">
        <f t="shared" si="76"/>
        <v>4707.8460000000005</v>
      </c>
      <c r="AV95" s="29">
        <f t="shared" ref="AV95:BS95" si="88">AU95*(1+$D95)</f>
        <v>4766.4116042400001</v>
      </c>
      <c r="AW95" s="29">
        <f t="shared" si="88"/>
        <v>4825.7057645967461</v>
      </c>
      <c r="AX95" s="29">
        <f t="shared" si="88"/>
        <v>4885.7375443083292</v>
      </c>
      <c r="AY95" s="29">
        <f t="shared" si="88"/>
        <v>4946.516119359525</v>
      </c>
      <c r="AZ95" s="29">
        <f t="shared" si="88"/>
        <v>5008.0507798843573</v>
      </c>
      <c r="BA95" s="29">
        <f t="shared" si="88"/>
        <v>5070.3509315861183</v>
      </c>
      <c r="BB95" s="29">
        <f t="shared" si="88"/>
        <v>5133.42609717505</v>
      </c>
      <c r="BC95" s="29">
        <f t="shared" si="88"/>
        <v>5197.2859178239078</v>
      </c>
      <c r="BD95" s="29">
        <f t="shared" si="88"/>
        <v>5261.9401546416375</v>
      </c>
      <c r="BE95" s="29">
        <f t="shared" si="88"/>
        <v>5327.3986901653798</v>
      </c>
      <c r="BF95" s="29">
        <f t="shared" si="88"/>
        <v>5393.6715298710369</v>
      </c>
      <c r="BG95" s="29">
        <f t="shared" si="88"/>
        <v>5460.7688037026328</v>
      </c>
      <c r="BH95" s="29">
        <f t="shared" si="88"/>
        <v>5528.700767620694</v>
      </c>
      <c r="BI95" s="29">
        <f t="shared" si="88"/>
        <v>5597.4778051698959</v>
      </c>
      <c r="BJ95" s="29">
        <f t="shared" si="88"/>
        <v>5667.1104290662097</v>
      </c>
      <c r="BK95" s="29">
        <f t="shared" si="88"/>
        <v>5737.6092828037936</v>
      </c>
      <c r="BL95" s="29">
        <f t="shared" si="88"/>
        <v>5808.9851422818729</v>
      </c>
      <c r="BM95" s="29">
        <f t="shared" si="88"/>
        <v>5881.2489174518596</v>
      </c>
      <c r="BN95" s="29">
        <f t="shared" si="88"/>
        <v>5954.411653984961</v>
      </c>
      <c r="BO95" s="29">
        <f t="shared" si="88"/>
        <v>6028.4845349605339</v>
      </c>
      <c r="BP95" s="29">
        <f t="shared" si="88"/>
        <v>6103.4788825754431</v>
      </c>
      <c r="BQ95" s="29">
        <f t="shared" si="88"/>
        <v>6179.4061598746821</v>
      </c>
      <c r="BR95" s="29">
        <f t="shared" si="88"/>
        <v>6256.2779725035234</v>
      </c>
      <c r="BS95" s="29">
        <f t="shared" si="88"/>
        <v>6334.1060704814672</v>
      </c>
    </row>
    <row r="96" spans="1:71" x14ac:dyDescent="0.2">
      <c r="A96" s="2" t="s">
        <v>401</v>
      </c>
      <c r="B96" s="2" t="s">
        <v>402</v>
      </c>
      <c r="C96" s="11" t="s">
        <v>82</v>
      </c>
      <c r="D96" s="26">
        <f>'Growth calculation'!G97</f>
        <v>1.244E-2</v>
      </c>
      <c r="E96" s="27">
        <v>5690</v>
      </c>
      <c r="F96" s="12">
        <v>2025</v>
      </c>
      <c r="G96" s="28" t="s">
        <v>284</v>
      </c>
      <c r="H96" s="27">
        <v>3480</v>
      </c>
      <c r="I96" s="27">
        <v>3660</v>
      </c>
      <c r="J96" s="27">
        <v>3650</v>
      </c>
      <c r="K96" s="27">
        <v>7000</v>
      </c>
      <c r="L96" s="27">
        <v>70</v>
      </c>
      <c r="M96" s="27">
        <v>50</v>
      </c>
      <c r="N96" s="27">
        <v>40</v>
      </c>
      <c r="O96" s="27">
        <v>60</v>
      </c>
      <c r="P96" s="27">
        <v>120</v>
      </c>
      <c r="Q96" s="27">
        <v>380</v>
      </c>
      <c r="R96" s="27">
        <v>730</v>
      </c>
      <c r="S96" s="27">
        <v>890</v>
      </c>
      <c r="T96" s="27">
        <v>1240</v>
      </c>
      <c r="U96" s="27">
        <v>1530</v>
      </c>
      <c r="V96" s="27">
        <v>1660</v>
      </c>
      <c r="W96" s="27">
        <v>1330</v>
      </c>
      <c r="X96" s="27">
        <v>790</v>
      </c>
      <c r="Y96" s="27">
        <v>1310</v>
      </c>
      <c r="Z96" s="27">
        <v>1510</v>
      </c>
      <c r="AA96" s="27">
        <v>1880</v>
      </c>
      <c r="AB96" s="27">
        <v>2480</v>
      </c>
      <c r="AC96" s="27">
        <v>3470</v>
      </c>
      <c r="AD96" s="27">
        <v>4010</v>
      </c>
      <c r="AE96" s="27">
        <v>4390</v>
      </c>
      <c r="AF96" s="27">
        <v>4740</v>
      </c>
      <c r="AG96" s="27">
        <v>5980</v>
      </c>
      <c r="AH96" s="27">
        <v>6620</v>
      </c>
      <c r="AI96" s="27">
        <v>6440</v>
      </c>
      <c r="AJ96" s="27">
        <v>5460</v>
      </c>
      <c r="AK96" s="27">
        <v>5060</v>
      </c>
      <c r="AL96" s="27">
        <v>4430</v>
      </c>
      <c r="AM96" s="27">
        <v>4820</v>
      </c>
      <c r="AN96" s="27">
        <v>5520</v>
      </c>
      <c r="AO96" s="27">
        <v>4720</v>
      </c>
      <c r="AP96" s="27">
        <v>4740</v>
      </c>
      <c r="AQ96" s="27">
        <v>5510</v>
      </c>
      <c r="AR96" s="27">
        <v>5920</v>
      </c>
      <c r="AS96" s="27">
        <v>6030</v>
      </c>
      <c r="AT96" s="27">
        <v>5690</v>
      </c>
      <c r="AU96" s="29">
        <f t="shared" si="76"/>
        <v>5760.7835999999998</v>
      </c>
      <c r="AV96" s="29">
        <f t="shared" ref="AV96:BS96" si="89">AU96*(1+$D96)</f>
        <v>5832.4477479839998</v>
      </c>
      <c r="AW96" s="29">
        <f t="shared" si="89"/>
        <v>5905.0033979689206</v>
      </c>
      <c r="AX96" s="29">
        <f t="shared" si="89"/>
        <v>5978.4616402396541</v>
      </c>
      <c r="AY96" s="29">
        <f t="shared" si="89"/>
        <v>6052.8337030442353</v>
      </c>
      <c r="AZ96" s="29">
        <f t="shared" si="89"/>
        <v>6128.1309543101061</v>
      </c>
      <c r="BA96" s="29">
        <f t="shared" si="89"/>
        <v>6204.3649033817237</v>
      </c>
      <c r="BB96" s="29">
        <f t="shared" si="89"/>
        <v>6281.5472027797923</v>
      </c>
      <c r="BC96" s="29">
        <f t="shared" si="89"/>
        <v>6359.6896499823733</v>
      </c>
      <c r="BD96" s="29">
        <f t="shared" si="89"/>
        <v>6438.8041892281544</v>
      </c>
      <c r="BE96" s="29">
        <f t="shared" si="89"/>
        <v>6518.9029133421527</v>
      </c>
      <c r="BF96" s="29">
        <f t="shared" si="89"/>
        <v>6599.9980655841291</v>
      </c>
      <c r="BG96" s="29">
        <f t="shared" si="89"/>
        <v>6682.1020415199955</v>
      </c>
      <c r="BH96" s="29">
        <f t="shared" si="89"/>
        <v>6765.2273909165042</v>
      </c>
      <c r="BI96" s="29">
        <f t="shared" si="89"/>
        <v>6849.3868196595058</v>
      </c>
      <c r="BJ96" s="29">
        <f t="shared" si="89"/>
        <v>6934.5931916960699</v>
      </c>
      <c r="BK96" s="29">
        <f t="shared" si="89"/>
        <v>7020.8595310007686</v>
      </c>
      <c r="BL96" s="29">
        <f t="shared" si="89"/>
        <v>7108.199023566418</v>
      </c>
      <c r="BM96" s="29">
        <f t="shared" si="89"/>
        <v>7196.6250194195845</v>
      </c>
      <c r="BN96" s="29">
        <f t="shared" si="89"/>
        <v>7286.151034661164</v>
      </c>
      <c r="BO96" s="29">
        <f t="shared" si="89"/>
        <v>7376.7907535323493</v>
      </c>
      <c r="BP96" s="29">
        <f t="shared" si="89"/>
        <v>7468.5580305062922</v>
      </c>
      <c r="BQ96" s="29">
        <f t="shared" si="89"/>
        <v>7561.4668924057905</v>
      </c>
      <c r="BR96" s="29">
        <f t="shared" si="89"/>
        <v>7655.5315405473184</v>
      </c>
      <c r="BS96" s="29">
        <f t="shared" si="89"/>
        <v>7750.7663529117272</v>
      </c>
    </row>
    <row r="97" spans="1:71" x14ac:dyDescent="0.2">
      <c r="A97" s="2" t="s">
        <v>403</v>
      </c>
      <c r="B97" s="2" t="s">
        <v>404</v>
      </c>
      <c r="C97" s="11" t="s">
        <v>79</v>
      </c>
      <c r="D97" s="26">
        <f>'Growth calculation'!G98</f>
        <v>3.7474956724706021E-2</v>
      </c>
      <c r="E97" s="27">
        <v>87360</v>
      </c>
      <c r="F97" s="12">
        <v>2025</v>
      </c>
      <c r="G97" s="2" t="s">
        <v>162</v>
      </c>
      <c r="H97" s="27">
        <v>8220</v>
      </c>
      <c r="I97" s="27">
        <v>10420</v>
      </c>
      <c r="J97" s="27">
        <v>11100</v>
      </c>
      <c r="K97" s="27">
        <v>12560</v>
      </c>
      <c r="L97" s="27">
        <v>13130</v>
      </c>
      <c r="M97" s="27">
        <v>14440</v>
      </c>
      <c r="N97" s="27">
        <v>14600</v>
      </c>
      <c r="O97" s="27">
        <v>15480</v>
      </c>
      <c r="P97" s="27">
        <v>16920</v>
      </c>
      <c r="Q97" s="27">
        <v>18880</v>
      </c>
      <c r="R97" s="27">
        <v>20650</v>
      </c>
      <c r="S97" s="27">
        <v>21430</v>
      </c>
      <c r="T97" s="27">
        <v>22690</v>
      </c>
      <c r="U97" s="27">
        <v>24130</v>
      </c>
      <c r="V97" s="27">
        <v>24080</v>
      </c>
      <c r="W97" s="27">
        <v>24920</v>
      </c>
      <c r="X97" s="27">
        <v>29980</v>
      </c>
      <c r="Y97" s="27">
        <v>37840</v>
      </c>
      <c r="Z97" s="27">
        <v>44640</v>
      </c>
      <c r="AA97" s="27">
        <v>47950</v>
      </c>
      <c r="AB97" s="27">
        <v>50540</v>
      </c>
      <c r="AC97" s="27">
        <v>50940</v>
      </c>
      <c r="AD97" s="27">
        <v>46810</v>
      </c>
      <c r="AE97" s="27">
        <v>44970</v>
      </c>
      <c r="AF97" s="27">
        <v>42670</v>
      </c>
      <c r="AG97" s="27">
        <v>41070</v>
      </c>
      <c r="AH97" s="27">
        <v>44170</v>
      </c>
      <c r="AI97" s="27">
        <v>47580</v>
      </c>
      <c r="AJ97" s="27">
        <v>52340</v>
      </c>
      <c r="AK97" s="27">
        <v>52880</v>
      </c>
      <c r="AL97" s="27">
        <v>54410</v>
      </c>
      <c r="AM97" s="27">
        <v>59110</v>
      </c>
      <c r="AN97" s="27">
        <v>62460</v>
      </c>
      <c r="AO97" s="27">
        <v>64420</v>
      </c>
      <c r="AP97" s="27">
        <v>74070</v>
      </c>
      <c r="AQ97" s="27">
        <v>75970</v>
      </c>
      <c r="AR97" s="27">
        <v>79280</v>
      </c>
      <c r="AS97" s="27">
        <v>80650</v>
      </c>
      <c r="AT97" s="27">
        <v>87360</v>
      </c>
      <c r="AU97" s="29">
        <f t="shared" si="76"/>
        <v>90633.812219470332</v>
      </c>
      <c r="AV97" s="29">
        <f t="shared" ref="AV97:BS97" si="90">AU97*(1+$D97)</f>
        <v>94030.310410190126</v>
      </c>
      <c r="AW97" s="29">
        <f t="shared" si="90"/>
        <v>97554.092223622691</v>
      </c>
      <c r="AX97" s="29">
        <f t="shared" si="90"/>
        <v>101209.92760802094</v>
      </c>
      <c r="AY97" s="29">
        <f t="shared" si="90"/>
        <v>105002.76526524217</v>
      </c>
      <c r="AZ97" s="29">
        <f t="shared" si="90"/>
        <v>108937.73934953159</v>
      </c>
      <c r="BA97" s="29">
        <f t="shared" si="90"/>
        <v>113020.17641734261</v>
      </c>
      <c r="BB97" s="29">
        <f t="shared" si="90"/>
        <v>117255.60263760117</v>
      </c>
      <c r="BC97" s="29">
        <f t="shared" si="90"/>
        <v>121649.75127217462</v>
      </c>
      <c r="BD97" s="29">
        <f t="shared" si="90"/>
        <v>126208.57043667062</v>
      </c>
      <c r="BE97" s="29">
        <f t="shared" si="90"/>
        <v>130938.23115207188</v>
      </c>
      <c r="BF97" s="29">
        <f t="shared" si="90"/>
        <v>135845.13569810535</v>
      </c>
      <c r="BG97" s="29">
        <f t="shared" si="90"/>
        <v>140935.92627965368</v>
      </c>
      <c r="BH97" s="29">
        <f t="shared" si="90"/>
        <v>146217.49401794007</v>
      </c>
      <c r="BI97" s="29">
        <f t="shared" si="90"/>
        <v>151696.98827865734</v>
      </c>
      <c r="BJ97" s="29">
        <f t="shared" si="90"/>
        <v>157381.82634966829</v>
      </c>
      <c r="BK97" s="29">
        <f t="shared" si="90"/>
        <v>163279.70348137734</v>
      </c>
      <c r="BL97" s="29">
        <f t="shared" si="90"/>
        <v>169398.6033033648</v>
      </c>
      <c r="BM97" s="29">
        <f t="shared" si="90"/>
        <v>175746.80863138405</v>
      </c>
      <c r="BN97" s="29">
        <f t="shared" si="90"/>
        <v>182332.91267935038</v>
      </c>
      <c r="BO97" s="29">
        <f t="shared" si="90"/>
        <v>189165.83069149865</v>
      </c>
      <c r="BP97" s="29">
        <f t="shared" si="90"/>
        <v>196254.81201045564</v>
      </c>
      <c r="BQ97" s="29">
        <f t="shared" si="90"/>
        <v>203609.45259756281</v>
      </c>
      <c r="BR97" s="29">
        <f t="shared" si="90"/>
        <v>211239.70802239756</v>
      </c>
      <c r="BS97" s="29">
        <f t="shared" si="90"/>
        <v>219155.90693907646</v>
      </c>
    </row>
    <row r="98" spans="1:71" x14ac:dyDescent="0.2">
      <c r="A98" s="2" t="s">
        <v>405</v>
      </c>
      <c r="B98" s="2" t="s">
        <v>406</v>
      </c>
      <c r="C98" s="11" t="s">
        <v>79</v>
      </c>
      <c r="D98" s="26">
        <f>'Growth calculation'!G99</f>
        <v>1.244E-2</v>
      </c>
      <c r="E98" s="27">
        <v>87030</v>
      </c>
      <c r="F98" s="12">
        <v>2023</v>
      </c>
      <c r="G98" s="28" t="s">
        <v>407</v>
      </c>
      <c r="H98" s="27">
        <v>7930</v>
      </c>
      <c r="I98" s="27">
        <v>10360</v>
      </c>
      <c r="J98" s="27">
        <v>11430</v>
      </c>
      <c r="K98" s="27">
        <v>12410</v>
      </c>
      <c r="L98" s="27">
        <v>13120</v>
      </c>
      <c r="M98" s="27">
        <v>14420</v>
      </c>
      <c r="N98" s="27">
        <v>13920</v>
      </c>
      <c r="O98" s="27">
        <v>13740</v>
      </c>
      <c r="P98" s="27">
        <v>14170</v>
      </c>
      <c r="Q98" s="27">
        <v>15490</v>
      </c>
      <c r="R98" s="27">
        <v>17210</v>
      </c>
      <c r="S98" s="27">
        <v>18970</v>
      </c>
      <c r="T98" s="27">
        <v>21680</v>
      </c>
      <c r="U98" s="27">
        <v>22470</v>
      </c>
      <c r="V98" s="27">
        <v>23100</v>
      </c>
      <c r="W98" s="27">
        <v>24130</v>
      </c>
      <c r="X98" s="27">
        <v>27590</v>
      </c>
      <c r="Y98" s="27">
        <v>33670</v>
      </c>
      <c r="Z98" s="27">
        <v>39430</v>
      </c>
      <c r="AA98" s="27">
        <v>44860</v>
      </c>
      <c r="AB98" s="27">
        <v>47950</v>
      </c>
      <c r="AC98" s="27">
        <v>43640</v>
      </c>
      <c r="AD98" s="27">
        <v>46790</v>
      </c>
      <c r="AE98" s="27">
        <v>72410</v>
      </c>
      <c r="AF98" s="27">
        <v>74840</v>
      </c>
      <c r="AG98" s="27">
        <v>82400</v>
      </c>
      <c r="AH98" s="27">
        <v>87680</v>
      </c>
      <c r="AI98" s="27">
        <v>88570</v>
      </c>
      <c r="AJ98" s="27">
        <v>83630</v>
      </c>
      <c r="AK98" s="27">
        <v>78690</v>
      </c>
      <c r="AL98" s="27">
        <v>77890</v>
      </c>
      <c r="AM98" s="27">
        <v>83430</v>
      </c>
      <c r="AN98" s="27">
        <v>84470</v>
      </c>
      <c r="AO98" s="27">
        <v>79280</v>
      </c>
      <c r="AP98" s="27">
        <v>76440</v>
      </c>
      <c r="AQ98" s="27">
        <v>78440</v>
      </c>
      <c r="AR98" s="27">
        <v>87030</v>
      </c>
      <c r="AS98" s="27"/>
      <c r="AT98" s="27"/>
      <c r="AU98" s="29">
        <f t="shared" si="76"/>
        <v>88112.653200000001</v>
      </c>
      <c r="AV98" s="29">
        <f t="shared" ref="AV98:BS98" si="91">AU98*(1+$D98)</f>
        <v>89208.774605808008</v>
      </c>
      <c r="AW98" s="29">
        <f t="shared" si="91"/>
        <v>90318.531761904262</v>
      </c>
      <c r="AX98" s="29">
        <f t="shared" si="91"/>
        <v>91442.094297022355</v>
      </c>
      <c r="AY98" s="29">
        <f t="shared" si="91"/>
        <v>92579.633950077317</v>
      </c>
      <c r="AZ98" s="29">
        <f t="shared" si="91"/>
        <v>93731.324596416278</v>
      </c>
      <c r="BA98" s="29">
        <f t="shared" si="91"/>
        <v>94897.342274395691</v>
      </c>
      <c r="BB98" s="29">
        <f t="shared" si="91"/>
        <v>96077.86521228918</v>
      </c>
      <c r="BC98" s="29">
        <f t="shared" si="91"/>
        <v>97273.073855530063</v>
      </c>
      <c r="BD98" s="29">
        <f t="shared" si="91"/>
        <v>98483.150894292863</v>
      </c>
      <c r="BE98" s="29">
        <f t="shared" si="91"/>
        <v>99708.281291417865</v>
      </c>
      <c r="BF98" s="29">
        <f t="shared" si="91"/>
        <v>100948.6523106831</v>
      </c>
      <c r="BG98" s="29">
        <f t="shared" si="91"/>
        <v>102204.453545428</v>
      </c>
      <c r="BH98" s="29">
        <f t="shared" si="91"/>
        <v>103475.87694753312</v>
      </c>
      <c r="BI98" s="29">
        <f t="shared" si="91"/>
        <v>104763.11685676043</v>
      </c>
      <c r="BJ98" s="29">
        <f t="shared" si="91"/>
        <v>106066.37003045854</v>
      </c>
      <c r="BK98" s="29">
        <f t="shared" si="91"/>
        <v>107385.83567363744</v>
      </c>
      <c r="BL98" s="29">
        <f t="shared" si="91"/>
        <v>108721.7154694175</v>
      </c>
      <c r="BM98" s="29">
        <f t="shared" si="91"/>
        <v>110074.21360985705</v>
      </c>
      <c r="BN98" s="29">
        <f t="shared" si="91"/>
        <v>111443.53682716367</v>
      </c>
      <c r="BO98" s="29">
        <f t="shared" si="91"/>
        <v>112829.89442529359</v>
      </c>
      <c r="BP98" s="29">
        <f t="shared" si="91"/>
        <v>114233.49831194425</v>
      </c>
      <c r="BQ98" s="29">
        <f t="shared" si="91"/>
        <v>115654.56303094483</v>
      </c>
      <c r="BR98" s="29">
        <f t="shared" si="91"/>
        <v>117093.30579504979</v>
      </c>
      <c r="BS98" s="29">
        <f t="shared" si="91"/>
        <v>118549.94651914021</v>
      </c>
    </row>
    <row r="99" spans="1:71" x14ac:dyDescent="0.2">
      <c r="A99" s="2" t="s">
        <v>408</v>
      </c>
      <c r="B99" s="2" t="s">
        <v>409</v>
      </c>
      <c r="C99" s="11" t="s">
        <v>79</v>
      </c>
      <c r="D99" s="26">
        <f>'Growth calculation'!G100</f>
        <v>4.3879573303406971E-2</v>
      </c>
      <c r="E99" s="27">
        <v>56180</v>
      </c>
      <c r="F99" s="12">
        <v>2025</v>
      </c>
      <c r="G99" s="2" t="s">
        <v>162</v>
      </c>
      <c r="H99" s="27">
        <v>9000</v>
      </c>
      <c r="I99" s="27">
        <v>11050</v>
      </c>
      <c r="J99" s="27">
        <v>11590</v>
      </c>
      <c r="K99" s="27">
        <v>12860</v>
      </c>
      <c r="L99" s="27">
        <v>13660</v>
      </c>
      <c r="M99" s="27">
        <v>15270</v>
      </c>
      <c r="N99" s="27">
        <v>15670</v>
      </c>
      <c r="O99" s="27">
        <v>16620</v>
      </c>
      <c r="P99" s="27">
        <v>18050</v>
      </c>
      <c r="Q99" s="27">
        <v>19560</v>
      </c>
      <c r="R99" s="27">
        <v>20070</v>
      </c>
      <c r="S99" s="27">
        <v>19830</v>
      </c>
      <c r="T99" s="27">
        <v>19500</v>
      </c>
      <c r="U99" s="27">
        <v>20360</v>
      </c>
      <c r="V99" s="27">
        <v>20360</v>
      </c>
      <c r="W99" s="27">
        <v>19550</v>
      </c>
      <c r="X99" s="27">
        <v>19650</v>
      </c>
      <c r="Y99" s="27">
        <v>20960</v>
      </c>
      <c r="Z99" s="27">
        <v>22490</v>
      </c>
      <c r="AA99" s="27">
        <v>23340</v>
      </c>
      <c r="AB99" s="27">
        <v>25080</v>
      </c>
      <c r="AC99" s="27">
        <v>27300</v>
      </c>
      <c r="AD99" s="27">
        <v>28440</v>
      </c>
      <c r="AE99" s="27">
        <v>30770</v>
      </c>
      <c r="AF99" s="27">
        <v>32820</v>
      </c>
      <c r="AG99" s="27">
        <v>33500</v>
      </c>
      <c r="AH99" s="27">
        <v>35470</v>
      </c>
      <c r="AI99" s="27">
        <v>37000</v>
      </c>
      <c r="AJ99" s="27">
        <v>36900</v>
      </c>
      <c r="AK99" s="27">
        <v>37240</v>
      </c>
      <c r="AL99" s="27">
        <v>38600</v>
      </c>
      <c r="AM99" s="27">
        <v>41960</v>
      </c>
      <c r="AN99" s="27">
        <v>44110</v>
      </c>
      <c r="AO99" s="27">
        <v>43330</v>
      </c>
      <c r="AP99" s="27">
        <v>49640</v>
      </c>
      <c r="AQ99" s="27">
        <v>55460</v>
      </c>
      <c r="AR99" s="27">
        <v>54480</v>
      </c>
      <c r="AS99" s="27">
        <v>53090</v>
      </c>
      <c r="AT99" s="27">
        <v>56180</v>
      </c>
      <c r="AU99" s="29">
        <f t="shared" si="76"/>
        <v>58645.1544281854</v>
      </c>
      <c r="AV99" s="29">
        <f t="shared" ref="AV99:BS99" si="92">AU99*(1+$D99)</f>
        <v>61218.478780806581</v>
      </c>
      <c r="AW99" s="29">
        <f t="shared" si="92"/>
        <v>63904.719507992049</v>
      </c>
      <c r="AX99" s="29">
        <f t="shared" si="92"/>
        <v>66708.831332076647</v>
      </c>
      <c r="AY99" s="29">
        <f t="shared" si="92"/>
        <v>69635.986386497112</v>
      </c>
      <c r="AZ99" s="29">
        <f t="shared" si="92"/>
        <v>72691.583755698462</v>
      </c>
      <c r="BA99" s="29">
        <f t="shared" si="92"/>
        <v>75881.259433647385</v>
      </c>
      <c r="BB99" s="29">
        <f t="shared" si="92"/>
        <v>79210.896719320954</v>
      </c>
      <c r="BC99" s="29">
        <f t="shared" si="92"/>
        <v>82686.637068344993</v>
      </c>
      <c r="BD99" s="29">
        <f t="shared" si="92"/>
        <v>86314.891420797649</v>
      </c>
      <c r="BE99" s="29">
        <f t="shared" si="92"/>
        <v>90102.352026072156</v>
      </c>
      <c r="BF99" s="29">
        <f t="shared" si="92"/>
        <v>94056.00478660957</v>
      </c>
      <c r="BG99" s="29">
        <f t="shared" si="92"/>
        <v>98183.1421432692</v>
      </c>
      <c r="BH99" s="29">
        <f t="shared" si="92"/>
        <v>102491.3765261036</v>
      </c>
      <c r="BI99" s="29">
        <f t="shared" si="92"/>
        <v>106988.65439534785</v>
      </c>
      <c r="BJ99" s="29">
        <f t="shared" si="92"/>
        <v>111683.2708985214</v>
      </c>
      <c r="BK99" s="29">
        <f t="shared" si="92"/>
        <v>116583.88517067733</v>
      </c>
      <c r="BL99" s="29">
        <f t="shared" si="92"/>
        <v>121699.53630602005</v>
      </c>
      <c r="BM99" s="29">
        <f t="shared" si="92"/>
        <v>127039.66003035069</v>
      </c>
      <c r="BN99" s="29">
        <f t="shared" si="92"/>
        <v>132614.10610509236</v>
      </c>
      <c r="BO99" s="29">
        <f t="shared" si="92"/>
        <v>138433.15649499654</v>
      </c>
      <c r="BP99" s="29">
        <f t="shared" si="92"/>
        <v>144507.54433304074</v>
      </c>
      <c r="BQ99" s="29">
        <f t="shared" si="92"/>
        <v>150848.47371749775</v>
      </c>
      <c r="BR99" s="29">
        <f t="shared" si="92"/>
        <v>157467.64037769174</v>
      </c>
      <c r="BS99" s="29">
        <f t="shared" si="92"/>
        <v>164377.25324655921</v>
      </c>
    </row>
    <row r="100" spans="1:71" x14ac:dyDescent="0.2">
      <c r="A100" s="2" t="s">
        <v>410</v>
      </c>
      <c r="B100" s="2" t="s">
        <v>411</v>
      </c>
      <c r="C100" s="11" t="s">
        <v>79</v>
      </c>
      <c r="D100" s="26">
        <f>'Growth calculation'!G101</f>
        <v>1.244E-2</v>
      </c>
      <c r="E100" s="27">
        <v>42080</v>
      </c>
      <c r="F100" s="12">
        <v>2025</v>
      </c>
      <c r="G100" s="28" t="s">
        <v>412</v>
      </c>
      <c r="H100" s="27">
        <v>12190</v>
      </c>
      <c r="I100" s="27">
        <v>15990</v>
      </c>
      <c r="J100" s="27">
        <v>17340</v>
      </c>
      <c r="K100" s="27">
        <v>18710</v>
      </c>
      <c r="L100" s="27">
        <v>20410</v>
      </c>
      <c r="M100" s="27">
        <v>23010</v>
      </c>
      <c r="N100" s="27">
        <v>21640</v>
      </c>
      <c r="O100" s="27">
        <v>20910</v>
      </c>
      <c r="P100" s="27">
        <v>20720</v>
      </c>
      <c r="Q100" s="27">
        <v>21880</v>
      </c>
      <c r="R100" s="27">
        <v>22370</v>
      </c>
      <c r="S100" s="27">
        <v>22270</v>
      </c>
      <c r="T100" s="27">
        <v>22050</v>
      </c>
      <c r="U100" s="27">
        <v>21980</v>
      </c>
      <c r="V100" s="27">
        <v>21260</v>
      </c>
      <c r="W100" s="27">
        <v>20830</v>
      </c>
      <c r="X100" s="27">
        <v>23440</v>
      </c>
      <c r="Y100" s="27">
        <v>28390</v>
      </c>
      <c r="Z100" s="27">
        <v>32480</v>
      </c>
      <c r="AA100" s="27">
        <v>34260</v>
      </c>
      <c r="AB100" s="27">
        <v>35880</v>
      </c>
      <c r="AC100" s="27">
        <v>37870</v>
      </c>
      <c r="AD100" s="27">
        <v>37830</v>
      </c>
      <c r="AE100" s="27">
        <v>37720</v>
      </c>
      <c r="AF100" s="27">
        <v>37710</v>
      </c>
      <c r="AG100" s="27">
        <v>35970</v>
      </c>
      <c r="AH100" s="27">
        <v>35700</v>
      </c>
      <c r="AI100" s="27">
        <v>35370</v>
      </c>
      <c r="AJ100" s="27">
        <v>33460</v>
      </c>
      <c r="AK100" s="27">
        <v>32400</v>
      </c>
      <c r="AL100" s="27">
        <v>31790</v>
      </c>
      <c r="AM100" s="27">
        <v>34270</v>
      </c>
      <c r="AN100" s="27">
        <v>35030</v>
      </c>
      <c r="AO100" s="27">
        <v>32600</v>
      </c>
      <c r="AP100" s="27">
        <v>36760</v>
      </c>
      <c r="AQ100" s="27">
        <v>39060</v>
      </c>
      <c r="AR100" s="27">
        <v>38750</v>
      </c>
      <c r="AS100" s="27">
        <v>38640</v>
      </c>
      <c r="AT100" s="27">
        <v>42080</v>
      </c>
      <c r="AU100" s="29">
        <f t="shared" si="76"/>
        <v>42603.475200000001</v>
      </c>
      <c r="AV100" s="29">
        <f t="shared" ref="AV100:BS100" si="93">AU100*(1+$D100)</f>
        <v>43133.462431487998</v>
      </c>
      <c r="AW100" s="29">
        <f t="shared" si="93"/>
        <v>43670.042704135711</v>
      </c>
      <c r="AX100" s="29">
        <f t="shared" si="93"/>
        <v>44213.298035375163</v>
      </c>
      <c r="AY100" s="29">
        <f t="shared" si="93"/>
        <v>44763.311462935228</v>
      </c>
      <c r="AZ100" s="29">
        <f t="shared" si="93"/>
        <v>45320.167057534141</v>
      </c>
      <c r="BA100" s="29">
        <f t="shared" si="93"/>
        <v>45883.949935729863</v>
      </c>
      <c r="BB100" s="29">
        <f t="shared" si="93"/>
        <v>46454.746272930344</v>
      </c>
      <c r="BC100" s="29">
        <f t="shared" si="93"/>
        <v>47032.643316565598</v>
      </c>
      <c r="BD100" s="29">
        <f t="shared" si="93"/>
        <v>47617.729399423675</v>
      </c>
      <c r="BE100" s="29">
        <f t="shared" si="93"/>
        <v>48210.093953152507</v>
      </c>
      <c r="BF100" s="29">
        <f t="shared" si="93"/>
        <v>48809.827521929728</v>
      </c>
      <c r="BG100" s="29">
        <f t="shared" si="93"/>
        <v>49417.021776302536</v>
      </c>
      <c r="BH100" s="29">
        <f t="shared" si="93"/>
        <v>50031.769527199736</v>
      </c>
      <c r="BI100" s="29">
        <f t="shared" si="93"/>
        <v>50654.164740118104</v>
      </c>
      <c r="BJ100" s="29">
        <f t="shared" si="93"/>
        <v>51284.302549485175</v>
      </c>
      <c r="BK100" s="29">
        <f t="shared" si="93"/>
        <v>51922.279273200773</v>
      </c>
      <c r="BL100" s="29">
        <f t="shared" si="93"/>
        <v>52568.19242735939</v>
      </c>
      <c r="BM100" s="29">
        <f t="shared" si="93"/>
        <v>53222.140741155745</v>
      </c>
      <c r="BN100" s="29">
        <f t="shared" si="93"/>
        <v>53884.224171975722</v>
      </c>
      <c r="BO100" s="29">
        <f t="shared" si="93"/>
        <v>54554.543920675103</v>
      </c>
      <c r="BP100" s="29">
        <f t="shared" si="93"/>
        <v>55233.202447048301</v>
      </c>
      <c r="BQ100" s="29">
        <f t="shared" si="93"/>
        <v>55920.303485489581</v>
      </c>
      <c r="BR100" s="29">
        <f t="shared" si="93"/>
        <v>56615.952060849071</v>
      </c>
      <c r="BS100" s="29">
        <f t="shared" si="93"/>
        <v>57320.254504486031</v>
      </c>
    </row>
    <row r="101" spans="1:71" x14ac:dyDescent="0.2">
      <c r="A101" s="2" t="s">
        <v>413</v>
      </c>
      <c r="B101" s="2" t="s">
        <v>414</v>
      </c>
      <c r="C101" s="11" t="s">
        <v>82</v>
      </c>
      <c r="D101" s="26">
        <f>'Growth calculation'!G102</f>
        <v>6.0028865108420204E-2</v>
      </c>
      <c r="E101" s="27">
        <v>7790</v>
      </c>
      <c r="F101" s="12">
        <v>2025</v>
      </c>
      <c r="G101" s="2" t="s">
        <v>162</v>
      </c>
      <c r="H101" s="27">
        <v>1190</v>
      </c>
      <c r="I101" s="27">
        <v>1510</v>
      </c>
      <c r="J101" s="27">
        <v>1720</v>
      </c>
      <c r="K101" s="27">
        <v>1800</v>
      </c>
      <c r="L101" s="27">
        <v>1760</v>
      </c>
      <c r="M101" s="27">
        <v>1630</v>
      </c>
      <c r="N101" s="27">
        <v>1860</v>
      </c>
      <c r="O101" s="27">
        <v>1900</v>
      </c>
      <c r="P101" s="27">
        <v>2330</v>
      </c>
      <c r="Q101" s="27">
        <v>2560</v>
      </c>
      <c r="R101" s="27">
        <v>2800</v>
      </c>
      <c r="S101" s="27">
        <v>2940</v>
      </c>
      <c r="T101" s="27">
        <v>3170</v>
      </c>
      <c r="U101" s="27">
        <v>3300</v>
      </c>
      <c r="V101" s="27">
        <v>3300</v>
      </c>
      <c r="W101" s="27">
        <v>3320</v>
      </c>
      <c r="X101" s="27">
        <v>3500</v>
      </c>
      <c r="Y101" s="27">
        <v>3730</v>
      </c>
      <c r="Z101" s="27">
        <v>3870</v>
      </c>
      <c r="AA101" s="27">
        <v>4170</v>
      </c>
      <c r="AB101" s="27">
        <v>4400</v>
      </c>
      <c r="AC101" s="27">
        <v>4660</v>
      </c>
      <c r="AD101" s="27">
        <v>4420</v>
      </c>
      <c r="AE101" s="27">
        <v>4490</v>
      </c>
      <c r="AF101" s="27">
        <v>4700</v>
      </c>
      <c r="AG101" s="27">
        <v>5100</v>
      </c>
      <c r="AH101" s="27">
        <v>5150</v>
      </c>
      <c r="AI101" s="27">
        <v>5060</v>
      </c>
      <c r="AJ101" s="27">
        <v>4940</v>
      </c>
      <c r="AK101" s="27">
        <v>4990</v>
      </c>
      <c r="AL101" s="27">
        <v>5300</v>
      </c>
      <c r="AM101" s="27">
        <v>5610</v>
      </c>
      <c r="AN101" s="27">
        <v>5930</v>
      </c>
      <c r="AO101" s="27">
        <v>5360</v>
      </c>
      <c r="AP101" s="27">
        <v>5690</v>
      </c>
      <c r="AQ101" s="27">
        <v>6340</v>
      </c>
      <c r="AR101" s="27">
        <v>6860</v>
      </c>
      <c r="AS101" s="27">
        <v>7190</v>
      </c>
      <c r="AT101" s="27">
        <v>7790</v>
      </c>
      <c r="AU101" s="29">
        <f t="shared" si="76"/>
        <v>8257.6248591945932</v>
      </c>
      <c r="AV101" s="29">
        <f t="shared" ref="AV101:BS101" si="94">AU101*(1+$D101)</f>
        <v>8753.3207079831227</v>
      </c>
      <c r="AW101" s="29">
        <f t="shared" si="94"/>
        <v>9278.7726160133825</v>
      </c>
      <c r="AX101" s="29">
        <f t="shared" si="94"/>
        <v>9835.7668057517531</v>
      </c>
      <c r="AY101" s="29">
        <f t="shared" si="94"/>
        <v>10426.196724572103</v>
      </c>
      <c r="AZ101" s="29">
        <f t="shared" si="94"/>
        <v>11052.069481345294</v>
      </c>
      <c r="BA101" s="29">
        <f t="shared" si="94"/>
        <v>11715.512669409858</v>
      </c>
      <c r="BB101" s="29">
        <f t="shared" si="94"/>
        <v>12418.78159911785</v>
      </c>
      <c r="BC101" s="29">
        <f t="shared" si="94"/>
        <v>13164.266964542227</v>
      </c>
      <c r="BD101" s="29">
        <f t="shared" si="94"/>
        <v>13954.502970407964</v>
      </c>
      <c r="BE101" s="29">
        <f t="shared" si="94"/>
        <v>14792.175946873633</v>
      </c>
      <c r="BF101" s="29">
        <f t="shared" si="94"/>
        <v>15680.133481448527</v>
      </c>
      <c r="BG101" s="29">
        <f t="shared" si="94"/>
        <v>16621.394099088426</v>
      </c>
      <c r="BH101" s="29">
        <f t="shared" si="94"/>
        <v>17619.157523376496</v>
      </c>
      <c r="BI101" s="29">
        <f t="shared" si="94"/>
        <v>18676.815553671269</v>
      </c>
      <c r="BJ101" s="29">
        <f t="shared" si="94"/>
        <v>19797.963595197445</v>
      </c>
      <c r="BK101" s="29">
        <f t="shared" si="94"/>
        <v>20986.412881274966</v>
      </c>
      <c r="BL101" s="29">
        <f t="shared" si="94"/>
        <v>22246.203429234632</v>
      </c>
      <c r="BM101" s="29">
        <f t="shared" si="94"/>
        <v>23581.617774062634</v>
      </c>
      <c r="BN101" s="29">
        <f t="shared" si="94"/>
        <v>24997.195526460164</v>
      </c>
      <c r="BO101" s="29">
        <f t="shared" si="94"/>
        <v>26497.748804806844</v>
      </c>
      <c r="BP101" s="29">
        <f t="shared" si="94"/>
        <v>28088.378593487396</v>
      </c>
      <c r="BQ101" s="29">
        <f t="shared" si="94"/>
        <v>29774.492083190089</v>
      </c>
      <c r="BR101" s="29">
        <f t="shared" si="94"/>
        <v>31561.821052123632</v>
      </c>
      <c r="BS101" s="29">
        <f t="shared" si="94"/>
        <v>33456.441350637659</v>
      </c>
    </row>
    <row r="102" spans="1:71" x14ac:dyDescent="0.2">
      <c r="A102" s="2" t="s">
        <v>415</v>
      </c>
      <c r="B102" s="2" t="s">
        <v>416</v>
      </c>
      <c r="C102" s="11" t="s">
        <v>79</v>
      </c>
      <c r="D102" s="26">
        <f>'Growth calculation'!G103</f>
        <v>1.244E-2</v>
      </c>
      <c r="E102" s="27">
        <v>38340</v>
      </c>
      <c r="F102" s="12">
        <v>2025</v>
      </c>
      <c r="G102" s="28" t="s">
        <v>417</v>
      </c>
      <c r="H102" s="27">
        <v>18770</v>
      </c>
      <c r="I102" s="27">
        <v>25750</v>
      </c>
      <c r="J102" s="27">
        <v>28050</v>
      </c>
      <c r="K102" s="27">
        <v>28990</v>
      </c>
      <c r="L102" s="27">
        <v>29660</v>
      </c>
      <c r="M102" s="27">
        <v>31650</v>
      </c>
      <c r="N102" s="27">
        <v>34780</v>
      </c>
      <c r="O102" s="27">
        <v>38380</v>
      </c>
      <c r="P102" s="27">
        <v>43580</v>
      </c>
      <c r="Q102" s="27">
        <v>44730</v>
      </c>
      <c r="R102" s="27">
        <v>41610</v>
      </c>
      <c r="S102" s="27">
        <v>35530</v>
      </c>
      <c r="T102" s="27">
        <v>34750</v>
      </c>
      <c r="U102" s="27">
        <v>37330</v>
      </c>
      <c r="V102" s="27">
        <v>37890</v>
      </c>
      <c r="W102" s="27">
        <v>35880</v>
      </c>
      <c r="X102" s="27">
        <v>36120</v>
      </c>
      <c r="Y102" s="27">
        <v>39430</v>
      </c>
      <c r="Z102" s="27">
        <v>41690</v>
      </c>
      <c r="AA102" s="27">
        <v>41030</v>
      </c>
      <c r="AB102" s="27">
        <v>39770</v>
      </c>
      <c r="AC102" s="27">
        <v>39820</v>
      </c>
      <c r="AD102" s="27">
        <v>39540</v>
      </c>
      <c r="AE102" s="27">
        <v>44290</v>
      </c>
      <c r="AF102" s="27">
        <v>47800</v>
      </c>
      <c r="AG102" s="27">
        <v>50540</v>
      </c>
      <c r="AH102" s="27">
        <v>49350</v>
      </c>
      <c r="AI102" s="27">
        <v>45180</v>
      </c>
      <c r="AJ102" s="27">
        <v>40140</v>
      </c>
      <c r="AK102" s="27">
        <v>39220</v>
      </c>
      <c r="AL102" s="27">
        <v>39700</v>
      </c>
      <c r="AM102" s="27">
        <v>42720</v>
      </c>
      <c r="AN102" s="27">
        <v>42960</v>
      </c>
      <c r="AO102" s="27">
        <v>41880</v>
      </c>
      <c r="AP102" s="27">
        <v>45160</v>
      </c>
      <c r="AQ102" s="27">
        <v>44300</v>
      </c>
      <c r="AR102" s="27">
        <v>40740</v>
      </c>
      <c r="AS102" s="27">
        <v>37170</v>
      </c>
      <c r="AT102" s="27">
        <v>38340</v>
      </c>
      <c r="AU102" s="29">
        <f t="shared" si="76"/>
        <v>38816.9496</v>
      </c>
      <c r="AV102" s="29">
        <f t="shared" ref="AV102:BS102" si="95">AU102*(1+$D102)</f>
        <v>39299.832453023999</v>
      </c>
      <c r="AW102" s="29">
        <f t="shared" si="95"/>
        <v>39788.722368739618</v>
      </c>
      <c r="AX102" s="29">
        <f t="shared" si="95"/>
        <v>40283.694075006737</v>
      </c>
      <c r="AY102" s="29">
        <f t="shared" si="95"/>
        <v>40784.823229299822</v>
      </c>
      <c r="AZ102" s="29">
        <f t="shared" si="95"/>
        <v>41292.186430272312</v>
      </c>
      <c r="BA102" s="29">
        <f t="shared" si="95"/>
        <v>41805.861229464899</v>
      </c>
      <c r="BB102" s="29">
        <f t="shared" si="95"/>
        <v>42325.926143159442</v>
      </c>
      <c r="BC102" s="29">
        <f t="shared" si="95"/>
        <v>42852.460664380349</v>
      </c>
      <c r="BD102" s="29">
        <f t="shared" si="95"/>
        <v>43385.545275045239</v>
      </c>
      <c r="BE102" s="29">
        <f t="shared" si="95"/>
        <v>43925.261458266803</v>
      </c>
      <c r="BF102" s="29">
        <f t="shared" si="95"/>
        <v>44471.691710807645</v>
      </c>
      <c r="BG102" s="29">
        <f t="shared" si="95"/>
        <v>45024.919555690096</v>
      </c>
      <c r="BH102" s="29">
        <f t="shared" si="95"/>
        <v>45585.029554962879</v>
      </c>
      <c r="BI102" s="29">
        <f t="shared" si="95"/>
        <v>46152.107322626616</v>
      </c>
      <c r="BJ102" s="29">
        <f t="shared" si="95"/>
        <v>46726.239537720088</v>
      </c>
      <c r="BK102" s="29">
        <f t="shared" si="95"/>
        <v>47307.513957569325</v>
      </c>
      <c r="BL102" s="29">
        <f t="shared" si="95"/>
        <v>47896.019431201486</v>
      </c>
      <c r="BM102" s="29">
        <f t="shared" si="95"/>
        <v>48491.84591292563</v>
      </c>
      <c r="BN102" s="29">
        <f t="shared" si="95"/>
        <v>49095.084476082426</v>
      </c>
      <c r="BO102" s="29">
        <f t="shared" si="95"/>
        <v>49705.827326964893</v>
      </c>
      <c r="BP102" s="29">
        <f t="shared" si="95"/>
        <v>50324.167818912334</v>
      </c>
      <c r="BQ102" s="29">
        <f t="shared" si="95"/>
        <v>50950.200466579605</v>
      </c>
      <c r="BR102" s="29">
        <f t="shared" si="95"/>
        <v>51584.020960383852</v>
      </c>
      <c r="BS102" s="29">
        <f t="shared" si="95"/>
        <v>52225.726181131031</v>
      </c>
    </row>
    <row r="103" spans="1:71" x14ac:dyDescent="0.2">
      <c r="A103" s="2" t="s">
        <v>418</v>
      </c>
      <c r="B103" s="2" t="s">
        <v>419</v>
      </c>
      <c r="C103" s="11" t="s">
        <v>82</v>
      </c>
      <c r="D103" s="26">
        <f>'Growth calculation'!G104</f>
        <v>2.3065476190476164E-2</v>
      </c>
      <c r="E103" s="27">
        <v>5260</v>
      </c>
      <c r="F103" s="12">
        <v>2025</v>
      </c>
      <c r="G103" s="2" t="s">
        <v>162</v>
      </c>
      <c r="H103" s="27">
        <v>2160</v>
      </c>
      <c r="I103" s="27">
        <v>2200</v>
      </c>
      <c r="J103" s="27">
        <v>1580</v>
      </c>
      <c r="K103" s="27">
        <v>1260</v>
      </c>
      <c r="L103" s="27">
        <v>1040</v>
      </c>
      <c r="M103" s="27">
        <v>1200</v>
      </c>
      <c r="N103" s="27">
        <v>1230</v>
      </c>
      <c r="O103" s="27">
        <v>1290</v>
      </c>
      <c r="P103" s="27">
        <v>1370</v>
      </c>
      <c r="Q103" s="27">
        <v>1380</v>
      </c>
      <c r="R103" s="27">
        <v>1390</v>
      </c>
      <c r="S103" s="27">
        <v>1410</v>
      </c>
      <c r="T103" s="27">
        <v>1460</v>
      </c>
      <c r="U103" s="27">
        <v>1590</v>
      </c>
      <c r="V103" s="27">
        <v>1650</v>
      </c>
      <c r="W103" s="27">
        <v>1680</v>
      </c>
      <c r="X103" s="27">
        <v>1800</v>
      </c>
      <c r="Y103" s="27">
        <v>2050</v>
      </c>
      <c r="Z103" s="27">
        <v>2240</v>
      </c>
      <c r="AA103" s="27">
        <v>2340</v>
      </c>
      <c r="AB103" s="27">
        <v>2500</v>
      </c>
      <c r="AC103" s="27">
        <v>3010</v>
      </c>
      <c r="AD103" s="27">
        <v>3510</v>
      </c>
      <c r="AE103" s="27">
        <v>3950</v>
      </c>
      <c r="AF103" s="27">
        <v>4140</v>
      </c>
      <c r="AG103" s="27">
        <v>4400</v>
      </c>
      <c r="AH103" s="27">
        <v>4510</v>
      </c>
      <c r="AI103" s="27">
        <v>4380</v>
      </c>
      <c r="AJ103" s="27">
        <v>4220</v>
      </c>
      <c r="AK103" s="27">
        <v>4200</v>
      </c>
      <c r="AL103" s="27">
        <v>4300</v>
      </c>
      <c r="AM103" s="27">
        <v>4480</v>
      </c>
      <c r="AN103" s="27">
        <v>4580</v>
      </c>
      <c r="AO103" s="27">
        <v>4460</v>
      </c>
      <c r="AP103" s="27">
        <v>4650</v>
      </c>
      <c r="AQ103" s="27">
        <v>4810</v>
      </c>
      <c r="AR103" s="27">
        <v>4890</v>
      </c>
      <c r="AS103" s="27">
        <v>4880</v>
      </c>
      <c r="AT103" s="27">
        <v>5260</v>
      </c>
      <c r="AU103" s="29">
        <f t="shared" si="76"/>
        <v>5381.3244047619055</v>
      </c>
      <c r="AV103" s="29">
        <f t="shared" ref="AV103:BS103" si="96">AU103*(1+$D103)</f>
        <v>5505.4472146931703</v>
      </c>
      <c r="AW103" s="29">
        <f t="shared" si="96"/>
        <v>5632.4329763415999</v>
      </c>
      <c r="AX103" s="29">
        <f t="shared" si="96"/>
        <v>5762.3477250518608</v>
      </c>
      <c r="AY103" s="29">
        <f t="shared" si="96"/>
        <v>5895.2590193052893</v>
      </c>
      <c r="AZ103" s="29">
        <f t="shared" si="96"/>
        <v>6031.2359758517659</v>
      </c>
      <c r="BA103" s="29">
        <f t="shared" si="96"/>
        <v>6170.3493056519192</v>
      </c>
      <c r="BB103" s="29">
        <f t="shared" si="96"/>
        <v>6312.6713506483557</v>
      </c>
      <c r="BC103" s="29">
        <f t="shared" si="96"/>
        <v>6458.2761213850372</v>
      </c>
      <c r="BD103" s="29">
        <f t="shared" si="96"/>
        <v>6607.2393354943652</v>
      </c>
      <c r="BE103" s="29">
        <f t="shared" si="96"/>
        <v>6759.6384570719883</v>
      </c>
      <c r="BF103" s="29">
        <f t="shared" si="96"/>
        <v>6915.5527369598103</v>
      </c>
      <c r="BG103" s="29">
        <f t="shared" si="96"/>
        <v>7075.0632539581402</v>
      </c>
      <c r="BH103" s="29">
        <f t="shared" si="96"/>
        <v>7238.2529569884255</v>
      </c>
      <c r="BI103" s="29">
        <f t="shared" si="96"/>
        <v>7405.2067082284866</v>
      </c>
      <c r="BJ103" s="29">
        <f t="shared" si="96"/>
        <v>7576.0113272426861</v>
      </c>
      <c r="BK103" s="29">
        <f t="shared" si="96"/>
        <v>7750.7556361299812</v>
      </c>
      <c r="BL103" s="29">
        <f t="shared" si="96"/>
        <v>7929.5305057133373</v>
      </c>
      <c r="BM103" s="29">
        <f t="shared" si="96"/>
        <v>8112.4289027945233</v>
      </c>
      <c r="BN103" s="29">
        <f t="shared" si="96"/>
        <v>8299.5459384988626</v>
      </c>
      <c r="BO103" s="29">
        <f t="shared" si="96"/>
        <v>8490.9789177350722</v>
      </c>
      <c r="BP103" s="29">
        <f t="shared" si="96"/>
        <v>8686.8273897959261</v>
      </c>
      <c r="BQ103" s="29">
        <f t="shared" si="96"/>
        <v>8887.1932001260411</v>
      </c>
      <c r="BR103" s="29">
        <f t="shared" si="96"/>
        <v>9092.1805432837118</v>
      </c>
      <c r="BS103" s="29">
        <f t="shared" si="96"/>
        <v>9301.8960171243343</v>
      </c>
    </row>
    <row r="104" spans="1:71" x14ac:dyDescent="0.2">
      <c r="A104" s="2" t="s">
        <v>420</v>
      </c>
      <c r="B104" s="2" t="s">
        <v>421</v>
      </c>
      <c r="C104" s="11" t="s">
        <v>82</v>
      </c>
      <c r="D104" s="26">
        <f>'Growth calculation'!G105</f>
        <v>5.441833425126974E-2</v>
      </c>
      <c r="E104" s="27">
        <v>13740</v>
      </c>
      <c r="F104" s="12">
        <v>2025</v>
      </c>
      <c r="G104" s="2" t="s">
        <v>162</v>
      </c>
      <c r="H104" s="27"/>
      <c r="I104" s="27"/>
      <c r="J104" s="27"/>
      <c r="K104" s="27"/>
      <c r="L104" s="27"/>
      <c r="M104" s="27"/>
      <c r="N104" s="27">
        <v>1350</v>
      </c>
      <c r="O104" s="27">
        <v>1240</v>
      </c>
      <c r="P104" s="27">
        <v>1210</v>
      </c>
      <c r="Q104" s="27">
        <v>1270</v>
      </c>
      <c r="R104" s="27">
        <v>1330</v>
      </c>
      <c r="S104" s="27">
        <v>1340</v>
      </c>
      <c r="T104" s="27">
        <v>1250</v>
      </c>
      <c r="U104" s="27">
        <v>1220</v>
      </c>
      <c r="V104" s="27">
        <v>1290</v>
      </c>
      <c r="W104" s="27">
        <v>1450</v>
      </c>
      <c r="X104" s="27">
        <v>1720</v>
      </c>
      <c r="Y104" s="27">
        <v>2180</v>
      </c>
      <c r="Z104" s="27">
        <v>2780</v>
      </c>
      <c r="AA104" s="27">
        <v>3670</v>
      </c>
      <c r="AB104" s="27">
        <v>4740</v>
      </c>
      <c r="AC104" s="27">
        <v>5870</v>
      </c>
      <c r="AD104" s="27">
        <v>6580</v>
      </c>
      <c r="AE104" s="27">
        <v>7210</v>
      </c>
      <c r="AF104" s="27">
        <v>8030</v>
      </c>
      <c r="AG104" s="27">
        <v>9640</v>
      </c>
      <c r="AH104" s="27">
        <v>11490</v>
      </c>
      <c r="AI104" s="27">
        <v>11720</v>
      </c>
      <c r="AJ104" s="27">
        <v>11040</v>
      </c>
      <c r="AK104" s="27">
        <v>8500</v>
      </c>
      <c r="AL104" s="27">
        <v>7780</v>
      </c>
      <c r="AM104" s="27">
        <v>7800</v>
      </c>
      <c r="AN104" s="27">
        <v>8500</v>
      </c>
      <c r="AO104" s="27">
        <v>8380</v>
      </c>
      <c r="AP104" s="27">
        <v>8540</v>
      </c>
      <c r="AQ104" s="27">
        <v>9400</v>
      </c>
      <c r="AR104" s="27">
        <v>10710</v>
      </c>
      <c r="AS104" s="27">
        <v>12100</v>
      </c>
      <c r="AT104" s="27">
        <v>13740</v>
      </c>
      <c r="AU104" s="29">
        <f t="shared" si="76"/>
        <v>14487.707912612448</v>
      </c>
      <c r="AV104" s="29">
        <f t="shared" ref="AV104:BS104" si="97">AU104*(1+$D104)</f>
        <v>15276.104844335759</v>
      </c>
      <c r="AW104" s="29">
        <f t="shared" si="97"/>
        <v>16107.405023812265</v>
      </c>
      <c r="AX104" s="29">
        <f t="shared" si="97"/>
        <v>16983.943174318665</v>
      </c>
      <c r="AY104" s="29">
        <f t="shared" si="97"/>
        <v>17908.181070883311</v>
      </c>
      <c r="AZ104" s="29">
        <f t="shared" si="97"/>
        <v>18882.714454230903</v>
      </c>
      <c r="BA104" s="29">
        <f t="shared" si="97"/>
        <v>19910.280320972524</v>
      </c>
      <c r="BB104" s="29">
        <f t="shared" si="97"/>
        <v>20993.764610515689</v>
      </c>
      <c r="BC104" s="29">
        <f t="shared" si="97"/>
        <v>22136.210310283212</v>
      </c>
      <c r="BD104" s="29">
        <f t="shared" si="97"/>
        <v>23340.826002004611</v>
      </c>
      <c r="BE104" s="29">
        <f t="shared" si="97"/>
        <v>24610.994873082429</v>
      </c>
      <c r="BF104" s="29">
        <f t="shared" si="97"/>
        <v>25950.284218342116</v>
      </c>
      <c r="BG104" s="29">
        <f t="shared" si="97"/>
        <v>27362.455458851309</v>
      </c>
      <c r="BH104" s="29">
        <f t="shared" si="97"/>
        <v>28851.474705946563</v>
      </c>
      <c r="BI104" s="29">
        <f t="shared" si="97"/>
        <v>30421.523900136821</v>
      </c>
      <c r="BJ104" s="29">
        <f t="shared" si="97"/>
        <v>32077.012556167461</v>
      </c>
      <c r="BK104" s="29">
        <f t="shared" si="97"/>
        <v>33822.59014723116</v>
      </c>
      <c r="BL104" s="29">
        <f t="shared" si="97"/>
        <v>35663.159163106895</v>
      </c>
      <c r="BM104" s="29">
        <f t="shared" si="97"/>
        <v>37603.888878901082</v>
      </c>
      <c r="BN104" s="29">
        <f t="shared" si="97"/>
        <v>39650.229873060729</v>
      </c>
      <c r="BO104" s="29">
        <f t="shared" si="97"/>
        <v>41807.929335432629</v>
      </c>
      <c r="BP104" s="29">
        <f t="shared" si="97"/>
        <v>44083.04720836167</v>
      </c>
      <c r="BQ104" s="29">
        <f t="shared" si="97"/>
        <v>46481.973206160801</v>
      </c>
      <c r="BR104" s="29">
        <f t="shared" si="97"/>
        <v>49011.444760752231</v>
      </c>
      <c r="BS104" s="29">
        <f t="shared" si="97"/>
        <v>51678.565943880494</v>
      </c>
    </row>
    <row r="105" spans="1:71" x14ac:dyDescent="0.2">
      <c r="A105" s="2" t="s">
        <v>422</v>
      </c>
      <c r="B105" s="2" t="s">
        <v>423</v>
      </c>
      <c r="C105" s="11" t="s">
        <v>210</v>
      </c>
      <c r="D105" s="26">
        <f>'Growth calculation'!G106</f>
        <v>5.555555555555558E-2</v>
      </c>
      <c r="E105" s="27">
        <v>2200</v>
      </c>
      <c r="F105" s="12">
        <v>2025</v>
      </c>
      <c r="G105" s="2" t="s">
        <v>162</v>
      </c>
      <c r="H105" s="27">
        <v>390</v>
      </c>
      <c r="I105" s="27">
        <v>420</v>
      </c>
      <c r="J105" s="27">
        <v>410</v>
      </c>
      <c r="K105" s="27">
        <v>390</v>
      </c>
      <c r="L105" s="27">
        <v>360</v>
      </c>
      <c r="M105" s="27">
        <v>340</v>
      </c>
      <c r="N105" s="27">
        <v>280</v>
      </c>
      <c r="O105" s="27">
        <v>270</v>
      </c>
      <c r="P105" s="27">
        <v>280</v>
      </c>
      <c r="Q105" s="27">
        <v>350</v>
      </c>
      <c r="R105" s="27">
        <v>400</v>
      </c>
      <c r="S105" s="27">
        <v>450</v>
      </c>
      <c r="T105" s="27">
        <v>450</v>
      </c>
      <c r="U105" s="27">
        <v>430</v>
      </c>
      <c r="V105" s="27">
        <v>410</v>
      </c>
      <c r="W105" s="27">
        <v>390</v>
      </c>
      <c r="X105" s="27">
        <v>420</v>
      </c>
      <c r="Y105" s="27">
        <v>460</v>
      </c>
      <c r="Z105" s="27">
        <v>520</v>
      </c>
      <c r="AA105" s="27">
        <v>590</v>
      </c>
      <c r="AB105" s="27">
        <v>710</v>
      </c>
      <c r="AC105" s="27">
        <v>830</v>
      </c>
      <c r="AD105" s="27">
        <v>830</v>
      </c>
      <c r="AE105" s="27">
        <v>930</v>
      </c>
      <c r="AF105" s="27">
        <v>1010</v>
      </c>
      <c r="AG105" s="27">
        <v>1060</v>
      </c>
      <c r="AH105" s="27">
        <v>1130</v>
      </c>
      <c r="AI105" s="27">
        <v>1250</v>
      </c>
      <c r="AJ105" s="27">
        <v>1320</v>
      </c>
      <c r="AK105" s="27">
        <v>1490</v>
      </c>
      <c r="AL105" s="27">
        <v>1540</v>
      </c>
      <c r="AM105" s="27">
        <v>1720</v>
      </c>
      <c r="AN105" s="27">
        <v>1880</v>
      </c>
      <c r="AO105" s="27">
        <v>1910</v>
      </c>
      <c r="AP105" s="27">
        <v>2070</v>
      </c>
      <c r="AQ105" s="27">
        <v>2170</v>
      </c>
      <c r="AR105" s="27">
        <v>2110</v>
      </c>
      <c r="AS105" s="27">
        <v>2070</v>
      </c>
      <c r="AT105" s="27">
        <v>2200</v>
      </c>
      <c r="AU105" s="29">
        <f t="shared" si="76"/>
        <v>2322.2222222222222</v>
      </c>
      <c r="AV105" s="29">
        <f t="shared" ref="AV105:BS105" si="98">AU105*(1+$D105)</f>
        <v>2451.2345679012346</v>
      </c>
      <c r="AW105" s="29">
        <f t="shared" si="98"/>
        <v>2587.4142661179699</v>
      </c>
      <c r="AX105" s="29">
        <f t="shared" si="98"/>
        <v>2731.1595031245238</v>
      </c>
      <c r="AY105" s="29">
        <f t="shared" si="98"/>
        <v>2882.8905866314417</v>
      </c>
      <c r="AZ105" s="29">
        <f t="shared" si="98"/>
        <v>3043.0511747776332</v>
      </c>
      <c r="BA105" s="29">
        <f t="shared" si="98"/>
        <v>3212.1095733763905</v>
      </c>
      <c r="BB105" s="29">
        <f t="shared" si="98"/>
        <v>3390.5601052306347</v>
      </c>
      <c r="BC105" s="29">
        <f t="shared" si="98"/>
        <v>3578.9245555212256</v>
      </c>
      <c r="BD105" s="29">
        <f t="shared" si="98"/>
        <v>3777.753697494627</v>
      </c>
      <c r="BE105" s="29">
        <f t="shared" si="98"/>
        <v>3987.6289029109953</v>
      </c>
      <c r="BF105" s="29">
        <f t="shared" si="98"/>
        <v>4209.1638419616065</v>
      </c>
      <c r="BG105" s="29">
        <f t="shared" si="98"/>
        <v>4443.0062776261402</v>
      </c>
      <c r="BH105" s="29">
        <f t="shared" si="98"/>
        <v>4689.8399597164816</v>
      </c>
      <c r="BI105" s="29">
        <f t="shared" si="98"/>
        <v>4950.3866241451751</v>
      </c>
      <c r="BJ105" s="29">
        <f t="shared" si="98"/>
        <v>5225.4081032643517</v>
      </c>
      <c r="BK105" s="29">
        <f t="shared" si="98"/>
        <v>5515.7085534457046</v>
      </c>
      <c r="BL105" s="29">
        <f t="shared" si="98"/>
        <v>5822.136806414911</v>
      </c>
      <c r="BM105" s="29">
        <f t="shared" si="98"/>
        <v>6145.5888512157399</v>
      </c>
      <c r="BN105" s="29">
        <f t="shared" si="98"/>
        <v>6487.0104540610591</v>
      </c>
      <c r="BO105" s="29">
        <f t="shared" si="98"/>
        <v>6847.3999237311182</v>
      </c>
      <c r="BP105" s="29">
        <f t="shared" si="98"/>
        <v>7227.8110306050694</v>
      </c>
      <c r="BQ105" s="29">
        <f t="shared" si="98"/>
        <v>7629.3560878609069</v>
      </c>
      <c r="BR105" s="29">
        <f t="shared" si="98"/>
        <v>8053.20920385318</v>
      </c>
      <c r="BS105" s="29">
        <f t="shared" si="98"/>
        <v>8500.6097151783561</v>
      </c>
    </row>
    <row r="106" spans="1:71" x14ac:dyDescent="0.2">
      <c r="A106" s="2" t="s">
        <v>424</v>
      </c>
      <c r="B106" s="2" t="s">
        <v>425</v>
      </c>
      <c r="C106" s="11" t="s">
        <v>210</v>
      </c>
      <c r="D106" s="26">
        <f>'Growth calculation'!G107</f>
        <v>4.4046291872378851E-2</v>
      </c>
      <c r="E106" s="27">
        <v>3930</v>
      </c>
      <c r="F106" s="12">
        <v>2025</v>
      </c>
      <c r="G106" s="2" t="s">
        <v>162</v>
      </c>
      <c r="H106" s="27">
        <v>480</v>
      </c>
      <c r="I106" s="27">
        <v>600</v>
      </c>
      <c r="J106" s="27">
        <v>590</v>
      </c>
      <c r="K106" s="27">
        <v>610</v>
      </c>
      <c r="L106" s="27">
        <v>830</v>
      </c>
      <c r="M106" s="27">
        <v>1020</v>
      </c>
      <c r="N106" s="27">
        <v>1080</v>
      </c>
      <c r="O106" s="27">
        <v>1180</v>
      </c>
      <c r="P106" s="27">
        <v>1290</v>
      </c>
      <c r="Q106" s="27">
        <v>1200</v>
      </c>
      <c r="R106" s="27">
        <v>1440</v>
      </c>
      <c r="S106" s="27">
        <v>1540</v>
      </c>
      <c r="T106" s="27">
        <v>1340</v>
      </c>
      <c r="U106" s="27">
        <v>1370</v>
      </c>
      <c r="V106" s="27">
        <v>1340</v>
      </c>
      <c r="W106" s="27">
        <v>1220</v>
      </c>
      <c r="X106" s="27">
        <v>1200</v>
      </c>
      <c r="Y106" s="27">
        <v>1430</v>
      </c>
      <c r="Z106" s="27">
        <v>1620</v>
      </c>
      <c r="AA106" s="27">
        <v>1670</v>
      </c>
      <c r="AB106" s="27">
        <v>1790</v>
      </c>
      <c r="AC106" s="27">
        <v>1860</v>
      </c>
      <c r="AD106" s="27">
        <v>1850</v>
      </c>
      <c r="AE106" s="27">
        <v>2030</v>
      </c>
      <c r="AF106" s="27">
        <v>2110</v>
      </c>
      <c r="AG106" s="27">
        <v>2630</v>
      </c>
      <c r="AH106" s="27">
        <v>3040</v>
      </c>
      <c r="AI106" s="27">
        <v>3260</v>
      </c>
      <c r="AJ106" s="27">
        <v>3490</v>
      </c>
      <c r="AK106" s="27">
        <v>2990</v>
      </c>
      <c r="AL106" s="27">
        <v>3130</v>
      </c>
      <c r="AM106" s="27">
        <v>3280</v>
      </c>
      <c r="AN106" s="27">
        <v>3610</v>
      </c>
      <c r="AO106" s="27">
        <v>3070</v>
      </c>
      <c r="AP106" s="27">
        <v>3150</v>
      </c>
      <c r="AQ106" s="27">
        <v>3280</v>
      </c>
      <c r="AR106" s="27">
        <v>3710</v>
      </c>
      <c r="AS106" s="27">
        <v>3580</v>
      </c>
      <c r="AT106" s="27">
        <v>3930</v>
      </c>
      <c r="AU106" s="29">
        <f t="shared" si="76"/>
        <v>4103.1019270584493</v>
      </c>
      <c r="AV106" s="29">
        <f t="shared" ref="AV106:BS106" si="99">AU106*(1+$D106)</f>
        <v>4283.8283521197864</v>
      </c>
      <c r="AW106" s="29">
        <f t="shared" si="99"/>
        <v>4472.5151060484268</v>
      </c>
      <c r="AX106" s="29">
        <f t="shared" si="99"/>
        <v>4669.5128118130597</v>
      </c>
      <c r="AY106" s="29">
        <f t="shared" si="99"/>
        <v>4875.187536023991</v>
      </c>
      <c r="AZ106" s="29">
        <f t="shared" si="99"/>
        <v>5089.9214691682873</v>
      </c>
      <c r="BA106" s="29">
        <f t="shared" si="99"/>
        <v>5314.1136358067615</v>
      </c>
      <c r="BB106" s="29">
        <f t="shared" si="99"/>
        <v>5548.1806360524952</v>
      </c>
      <c r="BC106" s="29">
        <f t="shared" si="99"/>
        <v>5792.5574197087444</v>
      </c>
      <c r="BD106" s="29">
        <f t="shared" si="99"/>
        <v>6047.6980945047499</v>
      </c>
      <c r="BE106" s="29">
        <f t="shared" si="99"/>
        <v>6314.0767699313365</v>
      </c>
      <c r="BF106" s="29">
        <f t="shared" si="99"/>
        <v>6592.1884382443395</v>
      </c>
      <c r="BG106" s="29">
        <f t="shared" si="99"/>
        <v>6882.5498942729719</v>
      </c>
      <c r="BH106" s="29">
        <f t="shared" si="99"/>
        <v>7185.70069574233</v>
      </c>
      <c r="BI106" s="29">
        <f t="shared" si="99"/>
        <v>7502.2041658945536</v>
      </c>
      <c r="BJ106" s="29">
        <f t="shared" si="99"/>
        <v>7832.6484402717224</v>
      </c>
      <c r="BK106" s="29">
        <f t="shared" si="99"/>
        <v>8177.6475596056644</v>
      </c>
      <c r="BL106" s="29">
        <f t="shared" si="99"/>
        <v>8537.8426108455023</v>
      </c>
      <c r="BM106" s="29">
        <f t="shared" si="99"/>
        <v>8913.9029184432366</v>
      </c>
      <c r="BN106" s="29">
        <f t="shared" si="99"/>
        <v>9306.5272881110377</v>
      </c>
      <c r="BO106" s="29">
        <f t="shared" si="99"/>
        <v>9716.4453053614361</v>
      </c>
      <c r="BP106" s="29">
        <f t="shared" si="99"/>
        <v>10144.418691243392</v>
      </c>
      <c r="BQ106" s="29">
        <f t="shared" si="99"/>
        <v>10591.242717793515</v>
      </c>
      <c r="BR106" s="29">
        <f t="shared" si="99"/>
        <v>11057.747685832657</v>
      </c>
      <c r="BS106" s="29">
        <f t="shared" si="99"/>
        <v>11544.800467853966</v>
      </c>
    </row>
    <row r="107" spans="1:71" x14ac:dyDescent="0.2">
      <c r="A107" s="2" t="s">
        <v>426</v>
      </c>
      <c r="B107" s="2" t="s">
        <v>427</v>
      </c>
      <c r="C107" s="11" t="s">
        <v>75</v>
      </c>
      <c r="G107" s="28" t="s">
        <v>204</v>
      </c>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row>
    <row r="108" spans="1:71" x14ac:dyDescent="0.2">
      <c r="A108" s="2" t="s">
        <v>428</v>
      </c>
      <c r="B108" s="2" t="s">
        <v>429</v>
      </c>
      <c r="C108" s="11" t="s">
        <v>79</v>
      </c>
      <c r="D108" s="26">
        <f>'Growth calculation'!G109</f>
        <v>3.0594443384830527E-2</v>
      </c>
      <c r="E108" s="27">
        <v>37880</v>
      </c>
      <c r="F108" s="12">
        <v>2025</v>
      </c>
      <c r="G108" s="2" t="s">
        <v>162</v>
      </c>
      <c r="H108" s="27">
        <v>3630</v>
      </c>
      <c r="I108" s="27">
        <v>4660</v>
      </c>
      <c r="J108" s="27">
        <v>5550</v>
      </c>
      <c r="K108" s="27">
        <v>6660</v>
      </c>
      <c r="L108" s="27">
        <v>7810</v>
      </c>
      <c r="M108" s="27">
        <v>8580</v>
      </c>
      <c r="N108" s="27">
        <v>9310</v>
      </c>
      <c r="O108" s="27">
        <v>10440</v>
      </c>
      <c r="P108" s="27">
        <v>12230</v>
      </c>
      <c r="Q108" s="27">
        <v>13790</v>
      </c>
      <c r="R108" s="27">
        <v>14030</v>
      </c>
      <c r="S108" s="27">
        <v>10720</v>
      </c>
      <c r="T108" s="27">
        <v>10820</v>
      </c>
      <c r="U108" s="27">
        <v>11460</v>
      </c>
      <c r="V108" s="27">
        <v>12390</v>
      </c>
      <c r="W108" s="27">
        <v>13320</v>
      </c>
      <c r="X108" s="27">
        <v>14290</v>
      </c>
      <c r="Y108" s="27">
        <v>16790</v>
      </c>
      <c r="Z108" s="27">
        <v>19230</v>
      </c>
      <c r="AA108" s="27">
        <v>21610</v>
      </c>
      <c r="AB108" s="27">
        <v>24390</v>
      </c>
      <c r="AC108" s="27">
        <v>24840</v>
      </c>
      <c r="AD108" s="27">
        <v>22960</v>
      </c>
      <c r="AE108" s="27">
        <v>23250</v>
      </c>
      <c r="AF108" s="27">
        <v>24590</v>
      </c>
      <c r="AG108" s="27">
        <v>26780</v>
      </c>
      <c r="AH108" s="27">
        <v>28210</v>
      </c>
      <c r="AI108" s="27">
        <v>29480</v>
      </c>
      <c r="AJ108" s="27">
        <v>30130</v>
      </c>
      <c r="AK108" s="27">
        <v>30850</v>
      </c>
      <c r="AL108" s="27">
        <v>31940</v>
      </c>
      <c r="AM108" s="27">
        <v>34610</v>
      </c>
      <c r="AN108" s="27">
        <v>35790</v>
      </c>
      <c r="AO108" s="27">
        <v>35000</v>
      </c>
      <c r="AP108" s="27">
        <v>37450</v>
      </c>
      <c r="AQ108" s="27">
        <v>38590</v>
      </c>
      <c r="AR108" s="27">
        <v>38020</v>
      </c>
      <c r="AS108" s="27">
        <v>36750</v>
      </c>
      <c r="AT108" s="27">
        <v>37880</v>
      </c>
      <c r="AU108" s="29">
        <f t="shared" ref="AU108:AU117" si="100">$E108*(1+$D108)</f>
        <v>39038.917515417379</v>
      </c>
      <c r="AV108" s="29">
        <f t="shared" ref="AV108:BS108" si="101">AU108*(1+$D108)</f>
        <v>40233.291467147879</v>
      </c>
      <c r="AW108" s="29">
        <f t="shared" si="101"/>
        <v>41464.206625124913</v>
      </c>
      <c r="AX108" s="29">
        <f t="shared" si="101"/>
        <v>42732.780947214203</v>
      </c>
      <c r="AY108" s="29">
        <f t="shared" si="101"/>
        <v>44040.166594580107</v>
      </c>
      <c r="AZ108" s="29">
        <f t="shared" si="101"/>
        <v>45387.550978116487</v>
      </c>
      <c r="BA108" s="29">
        <f t="shared" si="101"/>
        <v>46776.157836892577</v>
      </c>
      <c r="BB108" s="29">
        <f t="shared" si="101"/>
        <v>48207.248349593276</v>
      </c>
      <c r="BC108" s="29">
        <f t="shared" si="101"/>
        <v>49682.122279963369</v>
      </c>
      <c r="BD108" s="29">
        <f t="shared" si="101"/>
        <v>51202.119157295929</v>
      </c>
      <c r="BE108" s="29">
        <f t="shared" si="101"/>
        <v>52768.619493037157</v>
      </c>
      <c r="BF108" s="29">
        <f t="shared" si="101"/>
        <v>54383.04603461254</v>
      </c>
      <c r="BG108" s="29">
        <f t="shared" si="101"/>
        <v>56046.865057613119</v>
      </c>
      <c r="BH108" s="29">
        <f t="shared" si="101"/>
        <v>57761.58769751549</v>
      </c>
      <c r="BI108" s="29">
        <f t="shared" si="101"/>
        <v>59528.771322145047</v>
      </c>
      <c r="BJ108" s="29">
        <f t="shared" si="101"/>
        <v>61350.020946128927</v>
      </c>
      <c r="BK108" s="29">
        <f t="shared" si="101"/>
        <v>63226.990688623431</v>
      </c>
      <c r="BL108" s="29">
        <f t="shared" si="101"/>
        <v>65161.385275639717</v>
      </c>
      <c r="BM108" s="29">
        <f t="shared" si="101"/>
        <v>67154.9615883324</v>
      </c>
      <c r="BN108" s="29">
        <f t="shared" si="101"/>
        <v>69209.530258657091</v>
      </c>
      <c r="BO108" s="29">
        <f t="shared" si="101"/>
        <v>71326.957313846287</v>
      </c>
      <c r="BP108" s="29">
        <f t="shared" si="101"/>
        <v>73509.165871196979</v>
      </c>
      <c r="BQ108" s="29">
        <f t="shared" si="101"/>
        <v>75758.137884709417</v>
      </c>
      <c r="BR108" s="29">
        <f t="shared" si="101"/>
        <v>78075.915945163331</v>
      </c>
      <c r="BS108" s="29">
        <f t="shared" si="101"/>
        <v>80464.605135266407</v>
      </c>
    </row>
    <row r="109" spans="1:71" x14ac:dyDescent="0.2">
      <c r="A109" s="2" t="s">
        <v>430</v>
      </c>
      <c r="B109" s="2" t="s">
        <v>431</v>
      </c>
      <c r="C109" s="11" t="s">
        <v>82</v>
      </c>
      <c r="D109" s="26">
        <f>'Growth calculation'!G110</f>
        <v>9.0023641826331047E-2</v>
      </c>
      <c r="E109" s="27">
        <v>7760</v>
      </c>
      <c r="F109" s="12">
        <v>2025</v>
      </c>
      <c r="G109" s="2" t="s">
        <v>162</v>
      </c>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v>3130</v>
      </c>
      <c r="AF109" s="27">
        <v>3400</v>
      </c>
      <c r="AG109" s="27">
        <v>3540</v>
      </c>
      <c r="AH109" s="27">
        <v>3800</v>
      </c>
      <c r="AI109" s="27">
        <v>3900</v>
      </c>
      <c r="AJ109" s="27">
        <v>3930</v>
      </c>
      <c r="AK109" s="27">
        <v>3930</v>
      </c>
      <c r="AL109" s="27">
        <v>3950</v>
      </c>
      <c r="AM109" s="27">
        <v>4300</v>
      </c>
      <c r="AN109" s="27">
        <v>4640</v>
      </c>
      <c r="AO109" s="27">
        <v>4450</v>
      </c>
      <c r="AP109" s="27">
        <v>5140</v>
      </c>
      <c r="AQ109" s="27">
        <v>5610</v>
      </c>
      <c r="AR109" s="27">
        <v>6290</v>
      </c>
      <c r="AS109" s="27">
        <v>6920</v>
      </c>
      <c r="AT109" s="27">
        <v>7760</v>
      </c>
      <c r="AU109" s="29">
        <f t="shared" si="100"/>
        <v>8458.5834605723303</v>
      </c>
      <c r="AV109" s="29">
        <f t="shared" ref="AV109:BS109" si="102">AU109*(1+$D109)</f>
        <v>9220.0559483850229</v>
      </c>
      <c r="AW109" s="29">
        <f t="shared" si="102"/>
        <v>10050.078962701171</v>
      </c>
      <c r="AX109" s="29">
        <f t="shared" si="102"/>
        <v>10954.823671565728</v>
      </c>
      <c r="AY109" s="29">
        <f t="shared" si="102"/>
        <v>11941.016794045374</v>
      </c>
      <c r="AZ109" s="29">
        <f t="shared" si="102"/>
        <v>13015.99061295472</v>
      </c>
      <c r="BA109" s="29">
        <f t="shared" si="102"/>
        <v>14187.737489910243</v>
      </c>
      <c r="BB109" s="29">
        <f t="shared" si="102"/>
        <v>15464.969288027934</v>
      </c>
      <c r="BC109" s="29">
        <f t="shared" si="102"/>
        <v>16857.182144068574</v>
      </c>
      <c r="BD109" s="29">
        <f t="shared" si="102"/>
        <v>18374.727071607427</v>
      </c>
      <c r="BE109" s="29">
        <f t="shared" si="102"/>
        <v>20028.886920158406</v>
      </c>
      <c r="BF109" s="29">
        <f t="shared" si="102"/>
        <v>21831.960262438835</v>
      </c>
      <c r="BG109" s="29">
        <f t="shared" si="102"/>
        <v>23797.352833471323</v>
      </c>
      <c r="BH109" s="29">
        <f t="shared" si="102"/>
        <v>25939.677201366572</v>
      </c>
      <c r="BI109" s="29">
        <f t="shared" si="102"/>
        <v>28274.861410833044</v>
      </c>
      <c r="BJ109" s="29">
        <f t="shared" si="102"/>
        <v>30820.267407171032</v>
      </c>
      <c r="BK109" s="29">
        <f t="shared" si="102"/>
        <v>33594.820121225945</v>
      </c>
      <c r="BL109" s="29">
        <f t="shared" si="102"/>
        <v>36619.148175039212</v>
      </c>
      <c r="BM109" s="29">
        <f t="shared" si="102"/>
        <v>39915.737254334294</v>
      </c>
      <c r="BN109" s="29">
        <f t="shared" si="102"/>
        <v>43509.097288152429</v>
      </c>
      <c r="BO109" s="29">
        <f t="shared" si="102"/>
        <v>47425.944678608059</v>
      </c>
      <c r="BP109" s="29">
        <f t="shared" si="102"/>
        <v>51695.400935630467</v>
      </c>
      <c r="BQ109" s="29">
        <f t="shared" si="102"/>
        <v>56349.209193528251</v>
      </c>
      <c r="BR109" s="29">
        <f t="shared" si="102"/>
        <v>61421.970219163442</v>
      </c>
      <c r="BS109" s="29">
        <f t="shared" si="102"/>
        <v>66951.399666440993</v>
      </c>
    </row>
    <row r="110" spans="1:71" x14ac:dyDescent="0.2">
      <c r="A110" s="2" t="s">
        <v>432</v>
      </c>
      <c r="B110" s="2" t="s">
        <v>433</v>
      </c>
      <c r="C110" s="11" t="s">
        <v>79</v>
      </c>
      <c r="D110" s="26">
        <f>'Growth calculation'!G111</f>
        <v>5.5138662316476239E-2</v>
      </c>
      <c r="E110" s="27">
        <v>41110</v>
      </c>
      <c r="F110" s="12">
        <v>2024</v>
      </c>
      <c r="G110" s="2" t="s">
        <v>162</v>
      </c>
      <c r="H110" s="27">
        <v>14700</v>
      </c>
      <c r="I110" s="27">
        <v>13830</v>
      </c>
      <c r="J110" s="27">
        <v>16600</v>
      </c>
      <c r="K110" s="27">
        <v>16460</v>
      </c>
      <c r="L110" s="27">
        <v>12450</v>
      </c>
      <c r="M110" s="27">
        <v>16200</v>
      </c>
      <c r="N110" s="27">
        <v>18590</v>
      </c>
      <c r="O110" s="27">
        <v>18550</v>
      </c>
      <c r="P110" s="27">
        <v>19590</v>
      </c>
      <c r="Q110" s="27">
        <v>19620</v>
      </c>
      <c r="R110" s="27">
        <v>20550</v>
      </c>
      <c r="S110" s="27">
        <v>19540</v>
      </c>
      <c r="T110" s="27">
        <v>17330</v>
      </c>
      <c r="U110" s="27">
        <v>18810</v>
      </c>
      <c r="V110" s="27">
        <v>19550</v>
      </c>
      <c r="W110" s="27">
        <v>19640</v>
      </c>
      <c r="X110" s="27">
        <v>23150</v>
      </c>
      <c r="Y110" s="27">
        <v>29080</v>
      </c>
      <c r="Z110" s="27">
        <v>35740</v>
      </c>
      <c r="AA110" s="27">
        <v>42460</v>
      </c>
      <c r="AB110" s="27">
        <v>47510</v>
      </c>
      <c r="AC110" s="27">
        <v>51800</v>
      </c>
      <c r="AD110" s="27">
        <v>45410</v>
      </c>
      <c r="AE110" s="27">
        <v>42850</v>
      </c>
      <c r="AF110" s="27">
        <v>44350</v>
      </c>
      <c r="AG110" s="27">
        <v>50830</v>
      </c>
      <c r="AH110" s="27">
        <v>53530</v>
      </c>
      <c r="AI110" s="27">
        <v>51350</v>
      </c>
      <c r="AJ110" s="27">
        <v>41830</v>
      </c>
      <c r="AK110" s="27">
        <v>34920</v>
      </c>
      <c r="AL110" s="27">
        <v>30650</v>
      </c>
      <c r="AM110" s="27">
        <v>32340</v>
      </c>
      <c r="AN110" s="27">
        <v>35680</v>
      </c>
      <c r="AO110" s="27">
        <v>33150</v>
      </c>
      <c r="AP110" s="27">
        <v>35990</v>
      </c>
      <c r="AQ110" s="27">
        <v>39120</v>
      </c>
      <c r="AR110" s="27">
        <v>42040</v>
      </c>
      <c r="AS110" s="27">
        <v>41110</v>
      </c>
      <c r="AT110" s="27"/>
      <c r="AU110" s="29">
        <f t="shared" si="100"/>
        <v>43376.750407830339</v>
      </c>
      <c r="AV110" s="29">
        <f t="shared" ref="AV110:BS110" si="103">AU110*(1+$D110)</f>
        <v>45768.48640095377</v>
      </c>
      <c r="AW110" s="29">
        <f t="shared" si="103"/>
        <v>48292.099517352195</v>
      </c>
      <c r="AX110" s="29">
        <f t="shared" si="103"/>
        <v>50954.861285193139</v>
      </c>
      <c r="AY110" s="29">
        <f t="shared" si="103"/>
        <v>53764.444174980294</v>
      </c>
      <c r="AZ110" s="29">
        <f t="shared" si="103"/>
        <v>56728.943706977567</v>
      </c>
      <c r="BA110" s="29">
        <f t="shared" si="103"/>
        <v>59856.901777606996</v>
      </c>
      <c r="BB110" s="29">
        <f t="shared" si="103"/>
        <v>63157.331272032956</v>
      </c>
      <c r="BC110" s="29">
        <f t="shared" si="103"/>
        <v>66639.742033851406</v>
      </c>
      <c r="BD110" s="29">
        <f t="shared" si="103"/>
        <v>70314.168266713023</v>
      </c>
      <c r="BE110" s="29">
        <f t="shared" si="103"/>
        <v>74191.197446835198</v>
      </c>
      <c r="BF110" s="29">
        <f t="shared" si="103"/>
        <v>78282.000829711265</v>
      </c>
      <c r="BG110" s="29">
        <f t="shared" si="103"/>
        <v>82598.365638918825</v>
      </c>
      <c r="BH110" s="29">
        <f t="shared" si="103"/>
        <v>87152.729029776005</v>
      </c>
      <c r="BI110" s="29">
        <f t="shared" si="103"/>
        <v>91958.213925708173</v>
      </c>
      <c r="BJ110" s="29">
        <f t="shared" si="103"/>
        <v>97028.666830584072</v>
      </c>
      <c r="BK110" s="29">
        <f t="shared" si="103"/>
        <v>102378.69772597353</v>
      </c>
      <c r="BL110" s="29">
        <f t="shared" si="103"/>
        <v>108023.72216828658</v>
      </c>
      <c r="BM110" s="29">
        <f t="shared" si="103"/>
        <v>113980.00570709258</v>
      </c>
      <c r="BN110" s="29">
        <f t="shared" si="103"/>
        <v>120264.710752606</v>
      </c>
      <c r="BO110" s="29">
        <f t="shared" si="103"/>
        <v>126895.94602738263</v>
      </c>
      <c r="BP110" s="29">
        <f t="shared" si="103"/>
        <v>133892.81874471626</v>
      </c>
      <c r="BQ110" s="29">
        <f t="shared" si="103"/>
        <v>141275.48966408233</v>
      </c>
      <c r="BR110" s="29">
        <f t="shared" si="103"/>
        <v>149065.23118226498</v>
      </c>
      <c r="BS110" s="29">
        <f t="shared" si="103"/>
        <v>157284.48862755136</v>
      </c>
    </row>
    <row r="111" spans="1:71" x14ac:dyDescent="0.2">
      <c r="A111" s="2" t="s">
        <v>434</v>
      </c>
      <c r="B111" s="2" t="s">
        <v>435</v>
      </c>
      <c r="C111" s="11" t="s">
        <v>210</v>
      </c>
      <c r="D111" s="26">
        <f>'Growth calculation'!G112</f>
        <v>7.4680999999999997E-2</v>
      </c>
      <c r="E111" s="27">
        <v>2800</v>
      </c>
      <c r="F111" s="12">
        <v>2025</v>
      </c>
      <c r="G111" s="28" t="s">
        <v>378</v>
      </c>
      <c r="H111" s="27"/>
      <c r="I111" s="27"/>
      <c r="J111" s="27"/>
      <c r="K111" s="27"/>
      <c r="L111" s="27"/>
      <c r="M111" s="27">
        <v>510</v>
      </c>
      <c r="N111" s="27">
        <v>450</v>
      </c>
      <c r="O111" s="27">
        <v>370</v>
      </c>
      <c r="P111" s="27">
        <v>360</v>
      </c>
      <c r="Q111" s="27">
        <v>390</v>
      </c>
      <c r="R111" s="27">
        <v>390</v>
      </c>
      <c r="S111" s="27">
        <v>360</v>
      </c>
      <c r="T111" s="27">
        <v>300</v>
      </c>
      <c r="U111" s="27">
        <v>280</v>
      </c>
      <c r="V111" s="27">
        <v>280</v>
      </c>
      <c r="W111" s="27">
        <v>290</v>
      </c>
      <c r="X111" s="27">
        <v>340</v>
      </c>
      <c r="Y111" s="27">
        <v>400</v>
      </c>
      <c r="Z111" s="27">
        <v>450</v>
      </c>
      <c r="AA111" s="27">
        <v>500</v>
      </c>
      <c r="AB111" s="27">
        <v>610</v>
      </c>
      <c r="AC111" s="27">
        <v>760</v>
      </c>
      <c r="AD111" s="27">
        <v>860</v>
      </c>
      <c r="AE111" s="27">
        <v>850</v>
      </c>
      <c r="AF111" s="27">
        <v>870</v>
      </c>
      <c r="AG111" s="27">
        <v>1030</v>
      </c>
      <c r="AH111" s="27">
        <v>1180</v>
      </c>
      <c r="AI111" s="27">
        <v>1230</v>
      </c>
      <c r="AJ111" s="27">
        <v>1160</v>
      </c>
      <c r="AK111" s="27">
        <v>1090</v>
      </c>
      <c r="AL111" s="27">
        <v>1090</v>
      </c>
      <c r="AM111" s="27">
        <v>1200</v>
      </c>
      <c r="AN111" s="27">
        <v>1240</v>
      </c>
      <c r="AO111" s="27">
        <v>1210</v>
      </c>
      <c r="AP111" s="27">
        <v>1270</v>
      </c>
      <c r="AQ111" s="27">
        <v>1540</v>
      </c>
      <c r="AR111" s="27">
        <v>1840</v>
      </c>
      <c r="AS111" s="27">
        <v>2260</v>
      </c>
      <c r="AT111" s="27">
        <v>2800</v>
      </c>
      <c r="AU111" s="29">
        <f t="shared" si="100"/>
        <v>3009.1068</v>
      </c>
      <c r="AV111" s="29">
        <f t="shared" ref="AV111:BS111" si="104">AU111*(1+$D111)</f>
        <v>3233.8299049308002</v>
      </c>
      <c r="AW111" s="29">
        <f t="shared" si="104"/>
        <v>3475.3355560609375</v>
      </c>
      <c r="AX111" s="29">
        <f t="shared" si="104"/>
        <v>3734.8770907231242</v>
      </c>
      <c r="AY111" s="29">
        <f t="shared" si="104"/>
        <v>4013.8014467354178</v>
      </c>
      <c r="AZ111" s="29">
        <f t="shared" si="104"/>
        <v>4313.5561525790654</v>
      </c>
      <c r="BA111" s="29">
        <f t="shared" si="104"/>
        <v>4635.6968396098227</v>
      </c>
      <c r="BB111" s="29">
        <f t="shared" si="104"/>
        <v>4981.8953152887243</v>
      </c>
      <c r="BC111" s="29">
        <f t="shared" si="104"/>
        <v>5353.9482393298013</v>
      </c>
      <c r="BD111" s="29">
        <f t="shared" si="104"/>
        <v>5753.7864477911899</v>
      </c>
      <c r="BE111" s="29">
        <f t="shared" si="104"/>
        <v>6183.4849734986838</v>
      </c>
      <c r="BF111" s="29">
        <f t="shared" si="104"/>
        <v>6645.2738148045391</v>
      </c>
      <c r="BG111" s="29">
        <f t="shared" si="104"/>
        <v>7141.5495085679568</v>
      </c>
      <c r="BH111" s="29">
        <f t="shared" si="104"/>
        <v>7674.8875674173205</v>
      </c>
      <c r="BI111" s="29">
        <f t="shared" si="104"/>
        <v>8248.0558458396135</v>
      </c>
      <c r="BJ111" s="29">
        <f t="shared" si="104"/>
        <v>8864.0289044627625</v>
      </c>
      <c r="BK111" s="29">
        <f t="shared" si="104"/>
        <v>9526.003447076946</v>
      </c>
      <c r="BL111" s="29">
        <f t="shared" si="104"/>
        <v>10237.4149105081</v>
      </c>
      <c r="BM111" s="29">
        <f t="shared" si="104"/>
        <v>11001.955293439754</v>
      </c>
      <c r="BN111" s="29">
        <f t="shared" si="104"/>
        <v>11823.592316709128</v>
      </c>
      <c r="BO111" s="29">
        <f t="shared" si="104"/>
        <v>12706.590014513282</v>
      </c>
      <c r="BP111" s="29">
        <f t="shared" si="104"/>
        <v>13655.530863387148</v>
      </c>
      <c r="BQ111" s="29">
        <f t="shared" si="104"/>
        <v>14675.339563795764</v>
      </c>
      <c r="BR111" s="29">
        <f t="shared" si="104"/>
        <v>15771.308597759595</v>
      </c>
      <c r="BS111" s="29">
        <f t="shared" si="104"/>
        <v>16949.125695148879</v>
      </c>
    </row>
    <row r="112" spans="1:71" x14ac:dyDescent="0.2">
      <c r="A112" s="2" t="s">
        <v>436</v>
      </c>
      <c r="B112" s="2" t="s">
        <v>437</v>
      </c>
      <c r="C112" s="11" t="s">
        <v>210</v>
      </c>
      <c r="D112" s="26">
        <f>'Growth calculation'!G113</f>
        <v>1.826799644514665E-2</v>
      </c>
      <c r="E112" s="27">
        <v>2150</v>
      </c>
      <c r="F112" s="12">
        <v>2025</v>
      </c>
      <c r="G112" s="2" t="s">
        <v>162</v>
      </c>
      <c r="H112" s="27">
        <v>430</v>
      </c>
      <c r="I112" s="27">
        <v>250</v>
      </c>
      <c r="J112" s="27">
        <v>210</v>
      </c>
      <c r="K112" s="27">
        <v>190</v>
      </c>
      <c r="L112" s="27">
        <v>210</v>
      </c>
      <c r="M112" s="27">
        <v>240</v>
      </c>
      <c r="N112" s="27">
        <v>270</v>
      </c>
      <c r="O112" s="27">
        <v>310</v>
      </c>
      <c r="P112" s="27">
        <v>350</v>
      </c>
      <c r="Q112" s="27">
        <v>380</v>
      </c>
      <c r="R112" s="27">
        <v>370</v>
      </c>
      <c r="S112" s="27">
        <v>300</v>
      </c>
      <c r="T112" s="27">
        <v>280</v>
      </c>
      <c r="U112" s="27">
        <v>280</v>
      </c>
      <c r="V112" s="27">
        <v>300</v>
      </c>
      <c r="W112" s="27">
        <v>310</v>
      </c>
      <c r="X112" s="27">
        <v>330</v>
      </c>
      <c r="Y112" s="27">
        <v>380</v>
      </c>
      <c r="Z112" s="27">
        <v>450</v>
      </c>
      <c r="AA112" s="27">
        <v>500</v>
      </c>
      <c r="AB112" s="27">
        <v>600</v>
      </c>
      <c r="AC112" s="27">
        <v>740</v>
      </c>
      <c r="AD112" s="27">
        <v>880</v>
      </c>
      <c r="AE112" s="27">
        <v>990</v>
      </c>
      <c r="AF112" s="27">
        <v>1130</v>
      </c>
      <c r="AG112" s="27">
        <v>1350</v>
      </c>
      <c r="AH112" s="27">
        <v>1590</v>
      </c>
      <c r="AI112" s="27">
        <v>1810</v>
      </c>
      <c r="AJ112" s="27">
        <v>1960</v>
      </c>
      <c r="AK112" s="27">
        <v>2110</v>
      </c>
      <c r="AL112" s="27">
        <v>2240</v>
      </c>
      <c r="AM112" s="27">
        <v>2460</v>
      </c>
      <c r="AN112" s="27">
        <v>2520</v>
      </c>
      <c r="AO112" s="27">
        <v>2470</v>
      </c>
      <c r="AP112" s="27">
        <v>2500</v>
      </c>
      <c r="AQ112" s="27">
        <v>2300</v>
      </c>
      <c r="AR112" s="27">
        <v>2110</v>
      </c>
      <c r="AS112" s="27">
        <v>2000</v>
      </c>
      <c r="AT112" s="27">
        <v>2150</v>
      </c>
      <c r="AU112" s="29">
        <f t="shared" si="100"/>
        <v>2189.2761923570652</v>
      </c>
      <c r="AV112" s="29">
        <f t="shared" ref="AV112:BS112" si="105">AU112*(1+$D112)</f>
        <v>2229.2698820564883</v>
      </c>
      <c r="AW112" s="29">
        <f t="shared" si="105"/>
        <v>2269.9941763371689</v>
      </c>
      <c r="AX112" s="29">
        <f t="shared" si="105"/>
        <v>2311.462421881</v>
      </c>
      <c r="AY112" s="29">
        <f t="shared" si="105"/>
        <v>2353.688209187012</v>
      </c>
      <c r="AZ112" s="29">
        <f t="shared" si="105"/>
        <v>2396.6853770254238</v>
      </c>
      <c r="BA112" s="29">
        <f t="shared" si="105"/>
        <v>2440.4680169730591</v>
      </c>
      <c r="BB112" s="29">
        <f t="shared" si="105"/>
        <v>2485.0504780316169</v>
      </c>
      <c r="BC112" s="29">
        <f t="shared" si="105"/>
        <v>2530.4473713303082</v>
      </c>
      <c r="BD112" s="29">
        <f t="shared" si="105"/>
        <v>2576.6735749144009</v>
      </c>
      <c r="BE112" s="29">
        <f t="shared" si="105"/>
        <v>2623.7442386212406</v>
      </c>
      <c r="BF112" s="29">
        <f t="shared" si="105"/>
        <v>2671.6747890453476</v>
      </c>
      <c r="BG112" s="29">
        <f t="shared" si="105"/>
        <v>2720.4809345942158</v>
      </c>
      <c r="BH112" s="29">
        <f t="shared" si="105"/>
        <v>2770.1786706364724</v>
      </c>
      <c r="BI112" s="29">
        <f t="shared" si="105"/>
        <v>2820.7842847440807</v>
      </c>
      <c r="BJ112" s="29">
        <f t="shared" si="105"/>
        <v>2872.3143620303113</v>
      </c>
      <c r="BK112" s="29">
        <f t="shared" si="105"/>
        <v>2924.7857905852247</v>
      </c>
      <c r="BL112" s="29">
        <f t="shared" si="105"/>
        <v>2978.2157670104511</v>
      </c>
      <c r="BM112" s="29">
        <f t="shared" si="105"/>
        <v>3032.6218020550778</v>
      </c>
      <c r="BN112" s="29">
        <f t="shared" si="105"/>
        <v>3088.0217263544941</v>
      </c>
      <c r="BO112" s="29">
        <f t="shared" si="105"/>
        <v>3144.4336962740736</v>
      </c>
      <c r="BP112" s="29">
        <f t="shared" si="105"/>
        <v>3201.8761998596078</v>
      </c>
      <c r="BQ112" s="29">
        <f t="shared" si="105"/>
        <v>3260.368062896443</v>
      </c>
      <c r="BR112" s="29">
        <f t="shared" si="105"/>
        <v>3319.928455079305</v>
      </c>
      <c r="BS112" s="29">
        <f t="shared" si="105"/>
        <v>3380.576896294835</v>
      </c>
    </row>
    <row r="113" spans="1:71" x14ac:dyDescent="0.2">
      <c r="A113" s="2" t="s">
        <v>438</v>
      </c>
      <c r="B113" s="2" t="s">
        <v>439</v>
      </c>
      <c r="C113" s="11" t="s">
        <v>79</v>
      </c>
      <c r="D113" s="26">
        <f>'Growth calculation'!G114</f>
        <v>4.3611433330358995E-2</v>
      </c>
      <c r="E113" s="27">
        <v>24980</v>
      </c>
      <c r="F113" s="12">
        <v>2025</v>
      </c>
      <c r="G113" s="2" t="s">
        <v>162</v>
      </c>
      <c r="H113" s="27"/>
      <c r="I113" s="27"/>
      <c r="J113" s="27"/>
      <c r="K113" s="27"/>
      <c r="L113" s="27"/>
      <c r="M113" s="27"/>
      <c r="N113" s="27"/>
      <c r="O113" s="27"/>
      <c r="P113" s="27"/>
      <c r="Q113" s="27"/>
      <c r="R113" s="27">
        <v>2640</v>
      </c>
      <c r="S113" s="27">
        <v>2790</v>
      </c>
      <c r="T113" s="27">
        <v>2910</v>
      </c>
      <c r="U113" s="27">
        <v>3240</v>
      </c>
      <c r="V113" s="27">
        <v>3520</v>
      </c>
      <c r="W113" s="27">
        <v>3850</v>
      </c>
      <c r="X113" s="27">
        <v>4530</v>
      </c>
      <c r="Y113" s="27">
        <v>5610</v>
      </c>
      <c r="Z113" s="27">
        <v>7120</v>
      </c>
      <c r="AA113" s="27">
        <v>8590</v>
      </c>
      <c r="AB113" s="27">
        <v>10730</v>
      </c>
      <c r="AC113" s="27">
        <v>12830</v>
      </c>
      <c r="AD113" s="27">
        <v>13360</v>
      </c>
      <c r="AE113" s="27">
        <v>12250</v>
      </c>
      <c r="AF113" s="27">
        <v>12470</v>
      </c>
      <c r="AG113" s="27">
        <v>13430</v>
      </c>
      <c r="AH113" s="27">
        <v>14340</v>
      </c>
      <c r="AI113" s="27">
        <v>14810</v>
      </c>
      <c r="AJ113" s="27">
        <v>14580</v>
      </c>
      <c r="AK113" s="27">
        <v>14300</v>
      </c>
      <c r="AL113" s="27">
        <v>14360</v>
      </c>
      <c r="AM113" s="27">
        <v>16010</v>
      </c>
      <c r="AN113" s="27">
        <v>17010</v>
      </c>
      <c r="AO113" s="27">
        <v>17350</v>
      </c>
      <c r="AP113" s="27">
        <v>19310</v>
      </c>
      <c r="AQ113" s="27">
        <v>20630</v>
      </c>
      <c r="AR113" s="27">
        <v>21000</v>
      </c>
      <c r="AS113" s="27">
        <v>21520</v>
      </c>
      <c r="AT113" s="27">
        <v>24980</v>
      </c>
      <c r="AU113" s="29">
        <f t="shared" si="100"/>
        <v>26069.413604592366</v>
      </c>
      <c r="AV113" s="29">
        <f t="shared" ref="AV113:BS113" si="106">AU113*(1+$D113)</f>
        <v>27206.338097970598</v>
      </c>
      <c r="AW113" s="29">
        <f t="shared" si="106"/>
        <v>28392.845498093448</v>
      </c>
      <c r="AX113" s="29">
        <f t="shared" si="106"/>
        <v>29631.098186592735</v>
      </c>
      <c r="AY113" s="29">
        <f t="shared" si="106"/>
        <v>30923.352849662646</v>
      </c>
      <c r="AZ113" s="29">
        <f t="shared" si="106"/>
        <v>32271.964590816875</v>
      </c>
      <c r="BA113" s="29">
        <f t="shared" si="106"/>
        <v>33679.391223008992</v>
      </c>
      <c r="BB113" s="29">
        <f t="shared" si="106"/>
        <v>35148.197747938328</v>
      </c>
      <c r="BC113" s="29">
        <f t="shared" si="106"/>
        <v>36681.061030704812</v>
      </c>
      <c r="BD113" s="29">
        <f t="shared" si="106"/>
        <v>38280.774678332222</v>
      </c>
      <c r="BE113" s="29">
        <f t="shared" si="106"/>
        <v>39950.254131050802</v>
      </c>
      <c r="BF113" s="29">
        <f t="shared" si="106"/>
        <v>41692.54197561802</v>
      </c>
      <c r="BG113" s="29">
        <f t="shared" si="106"/>
        <v>43510.813490360881</v>
      </c>
      <c r="BH113" s="29">
        <f t="shared" si="106"/>
        <v>45408.382432045437</v>
      </c>
      <c r="BI113" s="29">
        <f t="shared" si="106"/>
        <v>47388.70707512003</v>
      </c>
      <c r="BJ113" s="29">
        <f t="shared" si="106"/>
        <v>49455.396514338536</v>
      </c>
      <c r="BK113" s="29">
        <f t="shared" si="106"/>
        <v>51612.217242250081</v>
      </c>
      <c r="BL113" s="29">
        <f t="shared" si="106"/>
        <v>53863.100013542477</v>
      </c>
      <c r="BM113" s="29">
        <f t="shared" si="106"/>
        <v>56212.14700874954</v>
      </c>
      <c r="BN113" s="29">
        <f t="shared" si="106"/>
        <v>58663.639310377963</v>
      </c>
      <c r="BO113" s="29">
        <f t="shared" si="106"/>
        <v>61222.044705078741</v>
      </c>
      <c r="BP113" s="29">
        <f t="shared" si="106"/>
        <v>63892.025826082543</v>
      </c>
      <c r="BQ113" s="29">
        <f t="shared" si="106"/>
        <v>66678.448650738312</v>
      </c>
      <c r="BR113" s="29">
        <f t="shared" si="106"/>
        <v>69586.391368641751</v>
      </c>
      <c r="BS113" s="29">
        <f t="shared" si="106"/>
        <v>72621.153636515533</v>
      </c>
    </row>
    <row r="114" spans="1:71" x14ac:dyDescent="0.2">
      <c r="A114" s="2" t="s">
        <v>440</v>
      </c>
      <c r="B114" s="2" t="s">
        <v>441</v>
      </c>
      <c r="C114" s="11" t="s">
        <v>210</v>
      </c>
      <c r="D114" s="26">
        <f>'Growth calculation'!G115</f>
        <v>1.244E-2</v>
      </c>
      <c r="E114" s="27">
        <v>3560</v>
      </c>
      <c r="F114" s="12">
        <v>2024</v>
      </c>
      <c r="G114" s="28" t="s">
        <v>442</v>
      </c>
      <c r="H114" s="27"/>
      <c r="I114" s="27"/>
      <c r="J114" s="27"/>
      <c r="K114" s="27">
        <v>1020</v>
      </c>
      <c r="L114" s="27">
        <v>1350</v>
      </c>
      <c r="M114" s="27">
        <v>1580</v>
      </c>
      <c r="N114" s="27">
        <v>1880</v>
      </c>
      <c r="O114" s="27">
        <v>2280</v>
      </c>
      <c r="P114" s="27">
        <v>2820</v>
      </c>
      <c r="Q114" s="27">
        <v>3330</v>
      </c>
      <c r="R114" s="27">
        <v>3560</v>
      </c>
      <c r="S114" s="27">
        <v>3750</v>
      </c>
      <c r="T114" s="27">
        <v>3950</v>
      </c>
      <c r="U114" s="27">
        <v>4090</v>
      </c>
      <c r="V114" s="27">
        <v>4040</v>
      </c>
      <c r="W114" s="27">
        <v>3940</v>
      </c>
      <c r="X114" s="27">
        <v>3670</v>
      </c>
      <c r="Y114" s="27">
        <v>4700</v>
      </c>
      <c r="Z114" s="27">
        <v>4910</v>
      </c>
      <c r="AA114" s="27">
        <v>4870</v>
      </c>
      <c r="AB114" s="27">
        <v>5320</v>
      </c>
      <c r="AC114" s="27">
        <v>5860</v>
      </c>
      <c r="AD114" s="27">
        <v>6620</v>
      </c>
      <c r="AE114" s="27">
        <v>7340</v>
      </c>
      <c r="AF114" s="27">
        <v>7720</v>
      </c>
      <c r="AG114" s="27">
        <v>8000</v>
      </c>
      <c r="AH114" s="27">
        <v>7880</v>
      </c>
      <c r="AI114" s="27">
        <v>7440</v>
      </c>
      <c r="AJ114" s="27">
        <v>7360</v>
      </c>
      <c r="AK114" s="27">
        <v>7670</v>
      </c>
      <c r="AL114" s="27">
        <v>8260</v>
      </c>
      <c r="AM114" s="27">
        <v>8700</v>
      </c>
      <c r="AN114" s="27">
        <v>8630</v>
      </c>
      <c r="AO114" s="27">
        <v>6350</v>
      </c>
      <c r="AP114" s="27">
        <v>4770</v>
      </c>
      <c r="AQ114" s="27">
        <v>4130</v>
      </c>
      <c r="AR114" s="27">
        <v>3710</v>
      </c>
      <c r="AS114" s="27">
        <v>3560</v>
      </c>
      <c r="AT114" s="27"/>
      <c r="AU114" s="29">
        <f t="shared" si="100"/>
        <v>3604.2864</v>
      </c>
      <c r="AV114" s="29">
        <f t="shared" ref="AV114:BS114" si="107">AU114*(1+$D114)</f>
        <v>3649.1237228159998</v>
      </c>
      <c r="AW114" s="29">
        <f t="shared" si="107"/>
        <v>3694.5188219278307</v>
      </c>
      <c r="AX114" s="29">
        <f t="shared" si="107"/>
        <v>3740.478636072613</v>
      </c>
      <c r="AY114" s="29">
        <f t="shared" si="107"/>
        <v>3787.0101903053564</v>
      </c>
      <c r="AZ114" s="29">
        <f t="shared" si="107"/>
        <v>3834.1205970727551</v>
      </c>
      <c r="BA114" s="29">
        <f t="shared" si="107"/>
        <v>3881.8170573003404</v>
      </c>
      <c r="BB114" s="29">
        <f t="shared" si="107"/>
        <v>3930.1068614931564</v>
      </c>
      <c r="BC114" s="29">
        <f t="shared" si="107"/>
        <v>3978.9973908501315</v>
      </c>
      <c r="BD114" s="29">
        <f t="shared" si="107"/>
        <v>4028.4961183923074</v>
      </c>
      <c r="BE114" s="29">
        <f t="shared" si="107"/>
        <v>4078.6106101051078</v>
      </c>
      <c r="BF114" s="29">
        <f t="shared" si="107"/>
        <v>4129.3485260948155</v>
      </c>
      <c r="BG114" s="29">
        <f t="shared" si="107"/>
        <v>4180.7176217594351</v>
      </c>
      <c r="BH114" s="29">
        <f t="shared" si="107"/>
        <v>4232.7257489741223</v>
      </c>
      <c r="BI114" s="29">
        <f t="shared" si="107"/>
        <v>4285.3808572913604</v>
      </c>
      <c r="BJ114" s="29">
        <f t="shared" si="107"/>
        <v>4338.6909951560647</v>
      </c>
      <c r="BK114" s="29">
        <f t="shared" si="107"/>
        <v>4392.6643111358062</v>
      </c>
      <c r="BL114" s="29">
        <f t="shared" si="107"/>
        <v>4447.3090551663354</v>
      </c>
      <c r="BM114" s="29">
        <f t="shared" si="107"/>
        <v>4502.6335798126047</v>
      </c>
      <c r="BN114" s="29">
        <f t="shared" si="107"/>
        <v>4558.6463415454737</v>
      </c>
      <c r="BO114" s="29">
        <f t="shared" si="107"/>
        <v>4615.3559020342991</v>
      </c>
      <c r="BP114" s="29">
        <f t="shared" si="107"/>
        <v>4672.7709294556062</v>
      </c>
      <c r="BQ114" s="29">
        <f t="shared" si="107"/>
        <v>4730.9001998180338</v>
      </c>
      <c r="BR114" s="29">
        <f t="shared" si="107"/>
        <v>4789.7525983037704</v>
      </c>
      <c r="BS114" s="29">
        <f t="shared" si="107"/>
        <v>4849.3371206266693</v>
      </c>
    </row>
    <row r="115" spans="1:71" x14ac:dyDescent="0.2">
      <c r="A115" s="2" t="s">
        <v>443</v>
      </c>
      <c r="B115" s="2" t="s">
        <v>444</v>
      </c>
      <c r="C115" s="11" t="s">
        <v>210</v>
      </c>
      <c r="D115" s="26">
        <f>'Growth calculation'!G116</f>
        <v>1.244E-2</v>
      </c>
      <c r="E115" s="27">
        <v>1280</v>
      </c>
      <c r="F115" s="12">
        <v>2025</v>
      </c>
      <c r="G115" s="28" t="s">
        <v>445</v>
      </c>
      <c r="H115" s="27">
        <v>390</v>
      </c>
      <c r="I115" s="27">
        <v>460</v>
      </c>
      <c r="J115" s="27">
        <v>490</v>
      </c>
      <c r="K115" s="27">
        <v>510</v>
      </c>
      <c r="L115" s="27">
        <v>550</v>
      </c>
      <c r="M115" s="27">
        <v>620</v>
      </c>
      <c r="N115" s="27">
        <v>630</v>
      </c>
      <c r="O115" s="27">
        <v>660</v>
      </c>
      <c r="P115" s="27">
        <v>670</v>
      </c>
      <c r="Q115" s="27">
        <v>690</v>
      </c>
      <c r="R115" s="27">
        <v>690</v>
      </c>
      <c r="S115" s="27">
        <v>620</v>
      </c>
      <c r="T115" s="27">
        <v>610</v>
      </c>
      <c r="U115" s="27">
        <v>590</v>
      </c>
      <c r="V115" s="27">
        <v>650</v>
      </c>
      <c r="W115" s="27">
        <v>600</v>
      </c>
      <c r="X115" s="27">
        <v>680</v>
      </c>
      <c r="Y115" s="27">
        <v>820</v>
      </c>
      <c r="Z115" s="27">
        <v>1040</v>
      </c>
      <c r="AA115" s="27">
        <v>1160</v>
      </c>
      <c r="AB115" s="27">
        <v>1320</v>
      </c>
      <c r="AC115" s="27">
        <v>1310</v>
      </c>
      <c r="AD115" s="27">
        <v>1190</v>
      </c>
      <c r="AE115" s="27">
        <v>1270</v>
      </c>
      <c r="AF115" s="27">
        <v>1350</v>
      </c>
      <c r="AG115" s="27">
        <v>1490</v>
      </c>
      <c r="AH115" s="27">
        <v>1440</v>
      </c>
      <c r="AI115" s="27">
        <v>1330</v>
      </c>
      <c r="AJ115" s="27">
        <v>1280</v>
      </c>
      <c r="AK115" s="27">
        <v>1240</v>
      </c>
      <c r="AL115" s="27">
        <v>1160</v>
      </c>
      <c r="AM115" s="27">
        <v>1250</v>
      </c>
      <c r="AN115" s="27">
        <v>1290</v>
      </c>
      <c r="AO115" s="27">
        <v>1170</v>
      </c>
      <c r="AP115" s="27">
        <v>1190</v>
      </c>
      <c r="AQ115" s="27">
        <v>1270</v>
      </c>
      <c r="AR115" s="27">
        <v>1260</v>
      </c>
      <c r="AS115" s="27">
        <v>1240</v>
      </c>
      <c r="AT115" s="27">
        <v>1280</v>
      </c>
      <c r="AU115" s="29">
        <f t="shared" si="100"/>
        <v>1295.9232</v>
      </c>
      <c r="AV115" s="29">
        <f t="shared" ref="AV115:BS115" si="108">AU115*(1+$D115)</f>
        <v>1312.0444846079999</v>
      </c>
      <c r="AW115" s="29">
        <f t="shared" si="108"/>
        <v>1328.3663179965235</v>
      </c>
      <c r="AX115" s="29">
        <f t="shared" si="108"/>
        <v>1344.8911949924004</v>
      </c>
      <c r="AY115" s="29">
        <f t="shared" si="108"/>
        <v>1361.6216414581058</v>
      </c>
      <c r="AZ115" s="29">
        <f t="shared" si="108"/>
        <v>1378.5602146778447</v>
      </c>
      <c r="BA115" s="29">
        <f t="shared" si="108"/>
        <v>1395.7095037484371</v>
      </c>
      <c r="BB115" s="29">
        <f t="shared" si="108"/>
        <v>1413.0721299750676</v>
      </c>
      <c r="BC115" s="29">
        <f t="shared" si="108"/>
        <v>1430.6507472719575</v>
      </c>
      <c r="BD115" s="29">
        <f t="shared" si="108"/>
        <v>1448.4480425680206</v>
      </c>
      <c r="BE115" s="29">
        <f t="shared" si="108"/>
        <v>1466.4667362175667</v>
      </c>
      <c r="BF115" s="29">
        <f t="shared" si="108"/>
        <v>1484.7095824161131</v>
      </c>
      <c r="BG115" s="29">
        <f t="shared" si="108"/>
        <v>1503.1793696213695</v>
      </c>
      <c r="BH115" s="29">
        <f t="shared" si="108"/>
        <v>1521.8789209794593</v>
      </c>
      <c r="BI115" s="29">
        <f t="shared" si="108"/>
        <v>1540.8110947564437</v>
      </c>
      <c r="BJ115" s="29">
        <f t="shared" si="108"/>
        <v>1559.9787847752139</v>
      </c>
      <c r="BK115" s="29">
        <f t="shared" si="108"/>
        <v>1579.3849208578176</v>
      </c>
      <c r="BL115" s="29">
        <f t="shared" si="108"/>
        <v>1599.0324692732888</v>
      </c>
      <c r="BM115" s="29">
        <f t="shared" si="108"/>
        <v>1618.9244331910486</v>
      </c>
      <c r="BN115" s="29">
        <f t="shared" si="108"/>
        <v>1639.0638531399452</v>
      </c>
      <c r="BO115" s="29">
        <f t="shared" si="108"/>
        <v>1659.4538074730062</v>
      </c>
      <c r="BP115" s="29">
        <f t="shared" si="108"/>
        <v>1680.0974128379705</v>
      </c>
      <c r="BQ115" s="29">
        <f t="shared" si="108"/>
        <v>1700.9978246536748</v>
      </c>
      <c r="BR115" s="29">
        <f t="shared" si="108"/>
        <v>1722.1582375923665</v>
      </c>
      <c r="BS115" s="29">
        <f t="shared" si="108"/>
        <v>1743.5818860680156</v>
      </c>
    </row>
    <row r="116" spans="1:71" x14ac:dyDescent="0.2">
      <c r="A116" s="2" t="s">
        <v>446</v>
      </c>
      <c r="B116" s="2" t="s">
        <v>447</v>
      </c>
      <c r="C116" s="11" t="s">
        <v>75</v>
      </c>
      <c r="D116" s="26">
        <f>'Growth calculation'!G117</f>
        <v>3.2006245120999255E-2</v>
      </c>
      <c r="E116" s="27">
        <v>830</v>
      </c>
      <c r="F116" s="12">
        <v>2025</v>
      </c>
      <c r="G116" s="2" t="s">
        <v>162</v>
      </c>
      <c r="H116" s="27">
        <v>380</v>
      </c>
      <c r="I116" s="27">
        <v>410</v>
      </c>
      <c r="J116" s="27">
        <v>430</v>
      </c>
      <c r="K116" s="27">
        <v>250</v>
      </c>
      <c r="L116" s="27">
        <v>250</v>
      </c>
      <c r="M116" s="27">
        <v>150</v>
      </c>
      <c r="N116" s="27">
        <v>100</v>
      </c>
      <c r="O116" s="27">
        <v>80</v>
      </c>
      <c r="P116" s="27">
        <v>80</v>
      </c>
      <c r="Q116" s="27">
        <v>100</v>
      </c>
      <c r="R116" s="27">
        <v>160</v>
      </c>
      <c r="S116" s="27">
        <v>180</v>
      </c>
      <c r="T116" s="27">
        <v>170</v>
      </c>
      <c r="U116" s="27">
        <v>190</v>
      </c>
      <c r="V116" s="27">
        <v>210</v>
      </c>
      <c r="W116" s="27">
        <v>250</v>
      </c>
      <c r="X116" s="27">
        <v>180</v>
      </c>
      <c r="Y116" s="27">
        <v>210</v>
      </c>
      <c r="Z116" s="27">
        <v>240</v>
      </c>
      <c r="AA116" s="27">
        <v>270</v>
      </c>
      <c r="AB116" s="27">
        <v>310</v>
      </c>
      <c r="AC116" s="27">
        <v>370</v>
      </c>
      <c r="AD116" s="27">
        <v>410</v>
      </c>
      <c r="AE116" s="27">
        <v>440</v>
      </c>
      <c r="AF116" s="27">
        <v>500</v>
      </c>
      <c r="AG116" s="27">
        <v>540</v>
      </c>
      <c r="AH116" s="27">
        <v>610</v>
      </c>
      <c r="AI116" s="27">
        <v>620</v>
      </c>
      <c r="AJ116" s="27">
        <v>620</v>
      </c>
      <c r="AK116" s="27">
        <v>610</v>
      </c>
      <c r="AL116" s="27">
        <v>620</v>
      </c>
      <c r="AM116" s="27">
        <v>620</v>
      </c>
      <c r="AN116" s="27">
        <v>600</v>
      </c>
      <c r="AO116" s="27">
        <v>570</v>
      </c>
      <c r="AP116" s="27">
        <v>630</v>
      </c>
      <c r="AQ116" s="27">
        <v>660</v>
      </c>
      <c r="AR116" s="27">
        <v>710</v>
      </c>
      <c r="AS116" s="27">
        <v>750</v>
      </c>
      <c r="AT116" s="27">
        <v>830</v>
      </c>
      <c r="AU116" s="29">
        <f t="shared" si="100"/>
        <v>856.56518345042934</v>
      </c>
      <c r="AV116" s="29">
        <f t="shared" ref="AV116:BS116" si="109">AU116*(1+$D116)</f>
        <v>883.9806186740575</v>
      </c>
      <c r="AW116" s="29">
        <f t="shared" si="109"/>
        <v>912.27351903755198</v>
      </c>
      <c r="AX116" s="29">
        <f t="shared" si="109"/>
        <v>941.47196890526448</v>
      </c>
      <c r="AY116" s="29">
        <f t="shared" si="109"/>
        <v>971.6049515165962</v>
      </c>
      <c r="AZ116" s="29">
        <f t="shared" si="109"/>
        <v>1002.7023777556129</v>
      </c>
      <c r="BA116" s="29">
        <f t="shared" si="109"/>
        <v>1034.7951158414678</v>
      </c>
      <c r="BB116" s="29">
        <f t="shared" si="109"/>
        <v>1067.9150219691026</v>
      </c>
      <c r="BC116" s="29">
        <f t="shared" si="109"/>
        <v>1102.0949719306429</v>
      </c>
      <c r="BD116" s="29">
        <f t="shared" si="109"/>
        <v>1137.368893748876</v>
      </c>
      <c r="BE116" s="29">
        <f t="shared" si="109"/>
        <v>1173.7718013552023</v>
      </c>
      <c r="BF116" s="29">
        <f t="shared" si="109"/>
        <v>1211.3398293454939</v>
      </c>
      <c r="BG116" s="29">
        <f t="shared" si="109"/>
        <v>1250.1102688483552</v>
      </c>
      <c r="BH116" s="29">
        <f t="shared" si="109"/>
        <v>1290.1216045413939</v>
      </c>
      <c r="BI116" s="29">
        <f t="shared" si="109"/>
        <v>1331.4135528522427</v>
      </c>
      <c r="BJ116" s="29">
        <f t="shared" si="109"/>
        <v>1374.0271013822521</v>
      </c>
      <c r="BK116" s="29">
        <f t="shared" si="109"/>
        <v>1418.0045495919885</v>
      </c>
      <c r="BL116" s="29">
        <f t="shared" si="109"/>
        <v>1463.3895507889217</v>
      </c>
      <c r="BM116" s="29">
        <f t="shared" si="109"/>
        <v>1510.2271554589809</v>
      </c>
      <c r="BN116" s="29">
        <f t="shared" si="109"/>
        <v>1558.5638559849904</v>
      </c>
      <c r="BO116" s="29">
        <f t="shared" si="109"/>
        <v>1608.4476327963757</v>
      </c>
      <c r="BP116" s="29">
        <f t="shared" si="109"/>
        <v>1659.9280019959476</v>
      </c>
      <c r="BQ116" s="29">
        <f t="shared" si="109"/>
        <v>1713.0560645110404</v>
      </c>
      <c r="BR116" s="29">
        <f t="shared" si="109"/>
        <v>1767.8845568177951</v>
      </c>
      <c r="BS116" s="29">
        <f t="shared" si="109"/>
        <v>1824.4679032889346</v>
      </c>
    </row>
    <row r="117" spans="1:71" x14ac:dyDescent="0.2">
      <c r="A117" s="2" t="s">
        <v>448</v>
      </c>
      <c r="B117" s="2" t="s">
        <v>449</v>
      </c>
      <c r="C117" s="11" t="s">
        <v>82</v>
      </c>
      <c r="D117" s="26">
        <f>'Growth calculation'!G118</f>
        <v>1.244E-2</v>
      </c>
      <c r="E117" s="27">
        <v>7250</v>
      </c>
      <c r="F117" s="12">
        <v>2025</v>
      </c>
      <c r="G117" s="28" t="s">
        <v>344</v>
      </c>
      <c r="H117" s="27">
        <v>6230</v>
      </c>
      <c r="I117" s="27">
        <v>6570</v>
      </c>
      <c r="J117" s="27">
        <v>6700</v>
      </c>
      <c r="K117" s="27">
        <v>6460</v>
      </c>
      <c r="L117" s="27">
        <v>7260</v>
      </c>
      <c r="M117" s="27">
        <v>7320</v>
      </c>
      <c r="N117" s="27">
        <v>6800</v>
      </c>
      <c r="O117" s="27">
        <v>6610</v>
      </c>
      <c r="P117" s="27">
        <v>6050</v>
      </c>
      <c r="Q117" s="27">
        <v>5900</v>
      </c>
      <c r="R117" s="27">
        <v>5810</v>
      </c>
      <c r="S117" s="27">
        <v>5500</v>
      </c>
      <c r="T117" s="27">
        <v>4990</v>
      </c>
      <c r="U117" s="27">
        <v>5930</v>
      </c>
      <c r="V117" s="27">
        <v>6130</v>
      </c>
      <c r="W117" s="27">
        <v>5190</v>
      </c>
      <c r="X117" s="27">
        <v>5160</v>
      </c>
      <c r="Y117" s="27">
        <v>5150</v>
      </c>
      <c r="Z117" s="27">
        <v>6760</v>
      </c>
      <c r="AA117" s="27">
        <v>8540</v>
      </c>
      <c r="AB117" s="27">
        <v>10500</v>
      </c>
      <c r="AC117" s="27">
        <v>12020</v>
      </c>
      <c r="AD117" s="27">
        <v>11140</v>
      </c>
      <c r="AE117" s="27">
        <v>11550</v>
      </c>
      <c r="AF117" s="27">
        <v>6080</v>
      </c>
      <c r="AG117" s="27">
        <v>13310</v>
      </c>
      <c r="AH117" s="27">
        <v>11960</v>
      </c>
      <c r="AI117" s="27">
        <v>9130</v>
      </c>
      <c r="AJ117" s="27">
        <v>8370</v>
      </c>
      <c r="AK117" s="27">
        <v>7670</v>
      </c>
      <c r="AL117" s="27">
        <v>9760</v>
      </c>
      <c r="AM117" s="27">
        <v>11000</v>
      </c>
      <c r="AN117" s="27">
        <v>10100</v>
      </c>
      <c r="AO117" s="27">
        <v>7000</v>
      </c>
      <c r="AP117" s="27">
        <v>6950</v>
      </c>
      <c r="AQ117" s="27">
        <v>6010</v>
      </c>
      <c r="AR117" s="27">
        <v>6160</v>
      </c>
      <c r="AS117" s="27">
        <v>6790</v>
      </c>
      <c r="AT117" s="27">
        <v>7250</v>
      </c>
      <c r="AU117" s="29">
        <f t="shared" si="100"/>
        <v>7340.19</v>
      </c>
      <c r="AV117" s="29">
        <f t="shared" ref="AV117:BS117" si="110">AU117*(1+$D117)</f>
        <v>7431.5019635999997</v>
      </c>
      <c r="AW117" s="29">
        <f t="shared" si="110"/>
        <v>7523.9498480271841</v>
      </c>
      <c r="AX117" s="29">
        <f t="shared" si="110"/>
        <v>7617.5477841366419</v>
      </c>
      <c r="AY117" s="29">
        <f t="shared" si="110"/>
        <v>7712.3100785713013</v>
      </c>
      <c r="AZ117" s="29">
        <f t="shared" si="110"/>
        <v>7808.2512159487287</v>
      </c>
      <c r="BA117" s="29">
        <f t="shared" si="110"/>
        <v>7905.3858610751313</v>
      </c>
      <c r="BB117" s="29">
        <f t="shared" si="110"/>
        <v>8003.7288611869062</v>
      </c>
      <c r="BC117" s="29">
        <f t="shared" si="110"/>
        <v>8103.2952482200717</v>
      </c>
      <c r="BD117" s="29">
        <f t="shared" si="110"/>
        <v>8204.1002411079298</v>
      </c>
      <c r="BE117" s="29">
        <f t="shared" si="110"/>
        <v>8306.159248107313</v>
      </c>
      <c r="BF117" s="29">
        <f t="shared" si="110"/>
        <v>8409.4878691537688</v>
      </c>
      <c r="BG117" s="29">
        <f t="shared" si="110"/>
        <v>8514.1018982460409</v>
      </c>
      <c r="BH117" s="29">
        <f t="shared" si="110"/>
        <v>8620.0173258602226</v>
      </c>
      <c r="BI117" s="29">
        <f t="shared" si="110"/>
        <v>8727.250341393923</v>
      </c>
      <c r="BJ117" s="29">
        <f t="shared" si="110"/>
        <v>8835.8173356408643</v>
      </c>
      <c r="BK117" s="29">
        <f t="shared" si="110"/>
        <v>8945.7349032962375</v>
      </c>
      <c r="BL117" s="29">
        <f t="shared" si="110"/>
        <v>9057.0198454932433</v>
      </c>
      <c r="BM117" s="29">
        <f t="shared" si="110"/>
        <v>9169.6891723711797</v>
      </c>
      <c r="BN117" s="29">
        <f t="shared" si="110"/>
        <v>9283.7601056754775</v>
      </c>
      <c r="BO117" s="29">
        <f t="shared" si="110"/>
        <v>9399.2500813900806</v>
      </c>
      <c r="BP117" s="29">
        <f t="shared" si="110"/>
        <v>9516.1767524025727</v>
      </c>
      <c r="BQ117" s="29">
        <f t="shared" si="110"/>
        <v>9634.5579912024605</v>
      </c>
      <c r="BR117" s="29">
        <f t="shared" si="110"/>
        <v>9754.4118926130195</v>
      </c>
      <c r="BS117" s="29">
        <f t="shared" si="110"/>
        <v>9875.7567765571257</v>
      </c>
    </row>
    <row r="118" spans="1:71" x14ac:dyDescent="0.2">
      <c r="A118" s="2" t="s">
        <v>450</v>
      </c>
      <c r="B118" s="2" t="s">
        <v>451</v>
      </c>
      <c r="C118" s="11" t="s">
        <v>79</v>
      </c>
      <c r="G118" s="28" t="s">
        <v>204</v>
      </c>
      <c r="H118" s="27">
        <v>31480</v>
      </c>
      <c r="I118" s="27">
        <v>41760</v>
      </c>
      <c r="J118" s="27">
        <v>43830</v>
      </c>
      <c r="K118" s="27">
        <v>45550</v>
      </c>
      <c r="L118" s="27">
        <v>47500</v>
      </c>
      <c r="M118" s="27">
        <v>54210</v>
      </c>
      <c r="N118" s="27">
        <v>56490</v>
      </c>
      <c r="O118" s="27">
        <v>61900</v>
      </c>
      <c r="P118" s="27">
        <v>70290</v>
      </c>
      <c r="Q118" s="27">
        <v>79390</v>
      </c>
      <c r="R118" s="27">
        <v>81680</v>
      </c>
      <c r="S118" s="27">
        <v>79220</v>
      </c>
      <c r="T118" s="27">
        <v>79990</v>
      </c>
      <c r="U118" s="27">
        <v>80170</v>
      </c>
      <c r="V118" s="27">
        <v>68970</v>
      </c>
      <c r="W118" s="27">
        <v>65420</v>
      </c>
      <c r="X118" s="27">
        <v>68640</v>
      </c>
      <c r="Y118" s="27">
        <v>78690</v>
      </c>
      <c r="Z118" s="27">
        <v>92620</v>
      </c>
      <c r="AA118" s="27">
        <v>103870</v>
      </c>
      <c r="AB118" s="27">
        <v>112050</v>
      </c>
      <c r="AC118" s="27">
        <v>121890</v>
      </c>
      <c r="AD118" s="27">
        <v>116380</v>
      </c>
      <c r="AE118" s="27"/>
      <c r="AF118" s="27"/>
      <c r="AG118" s="27"/>
      <c r="AH118" s="27"/>
      <c r="AI118" s="27"/>
      <c r="AJ118" s="27"/>
      <c r="AK118" s="27"/>
      <c r="AL118" s="27"/>
      <c r="AM118" s="27"/>
      <c r="AN118" s="27"/>
      <c r="AO118" s="27"/>
      <c r="AP118" s="27"/>
      <c r="AQ118" s="27"/>
      <c r="AR118" s="27"/>
      <c r="AS118" s="27"/>
      <c r="AT118" s="27"/>
    </row>
    <row r="119" spans="1:71" x14ac:dyDescent="0.2">
      <c r="A119" s="2" t="s">
        <v>452</v>
      </c>
      <c r="B119" s="2" t="s">
        <v>453</v>
      </c>
      <c r="C119" s="11" t="s">
        <v>79</v>
      </c>
      <c r="D119" s="26">
        <f>'Growth calculation'!G120</f>
        <v>7.1689000000000003E-2</v>
      </c>
      <c r="E119" s="27">
        <v>30500</v>
      </c>
      <c r="F119" s="12">
        <v>2025</v>
      </c>
      <c r="G119" s="28" t="s">
        <v>454</v>
      </c>
      <c r="H119" s="27"/>
      <c r="I119" s="27"/>
      <c r="J119" s="27"/>
      <c r="K119" s="27"/>
      <c r="L119" s="27"/>
      <c r="M119" s="27"/>
      <c r="N119" s="27"/>
      <c r="O119" s="27"/>
      <c r="P119" s="27"/>
      <c r="Q119" s="27"/>
      <c r="R119" s="27">
        <v>2610</v>
      </c>
      <c r="S119" s="27">
        <v>2870</v>
      </c>
      <c r="T119" s="27">
        <v>2990</v>
      </c>
      <c r="U119" s="27">
        <v>3220</v>
      </c>
      <c r="V119" s="27">
        <v>3460</v>
      </c>
      <c r="W119" s="27">
        <v>3830</v>
      </c>
      <c r="X119" s="27">
        <v>4700</v>
      </c>
      <c r="Y119" s="27">
        <v>6020</v>
      </c>
      <c r="Z119" s="27">
        <v>7580</v>
      </c>
      <c r="AA119" s="27">
        <v>8810</v>
      </c>
      <c r="AB119" s="27">
        <v>10590</v>
      </c>
      <c r="AC119" s="27">
        <v>12670</v>
      </c>
      <c r="AD119" s="27">
        <v>12480</v>
      </c>
      <c r="AE119" s="27">
        <v>12430</v>
      </c>
      <c r="AF119" s="27">
        <v>13200</v>
      </c>
      <c r="AG119" s="27">
        <v>14040</v>
      </c>
      <c r="AH119" s="27">
        <v>15310</v>
      </c>
      <c r="AI119" s="27">
        <v>16020</v>
      </c>
      <c r="AJ119" s="27">
        <v>15220</v>
      </c>
      <c r="AK119" s="27">
        <v>14890</v>
      </c>
      <c r="AL119" s="27">
        <v>15260</v>
      </c>
      <c r="AM119" s="27">
        <v>17550</v>
      </c>
      <c r="AN119" s="27">
        <v>19200</v>
      </c>
      <c r="AO119" s="27">
        <v>19800</v>
      </c>
      <c r="AP119" s="27">
        <v>22040</v>
      </c>
      <c r="AQ119" s="27">
        <v>23840</v>
      </c>
      <c r="AR119" s="27">
        <v>25360</v>
      </c>
      <c r="AS119" s="27">
        <v>27110</v>
      </c>
      <c r="AT119" s="27">
        <v>30500</v>
      </c>
      <c r="AU119" s="29">
        <f t="shared" ref="AU119:AU133" si="111">$E119*(1+$D119)</f>
        <v>32686.514500000005</v>
      </c>
      <c r="AV119" s="29">
        <f t="shared" ref="AV119:BS119" si="112">AU119*(1+$D119)</f>
        <v>35029.778037990509</v>
      </c>
      <c r="AW119" s="29">
        <f t="shared" si="112"/>
        <v>37541.027795756017</v>
      </c>
      <c r="AX119" s="29">
        <f t="shared" si="112"/>
        <v>40232.306537405973</v>
      </c>
      <c r="AY119" s="29">
        <f t="shared" si="112"/>
        <v>43116.520360766073</v>
      </c>
      <c r="AZ119" s="29">
        <f t="shared" si="112"/>
        <v>46207.500588909039</v>
      </c>
      <c r="BA119" s="29">
        <f t="shared" si="112"/>
        <v>49520.070098627344</v>
      </c>
      <c r="BB119" s="29">
        <f t="shared" si="112"/>
        <v>53070.114403927844</v>
      </c>
      <c r="BC119" s="29">
        <f t="shared" si="112"/>
        <v>56874.657835431033</v>
      </c>
      <c r="BD119" s="29">
        <f t="shared" si="112"/>
        <v>60951.945180995252</v>
      </c>
      <c r="BE119" s="29">
        <f t="shared" si="112"/>
        <v>65321.529179075624</v>
      </c>
      <c r="BF119" s="29">
        <f t="shared" si="112"/>
        <v>70004.364284394382</v>
      </c>
      <c r="BG119" s="29">
        <f t="shared" si="112"/>
        <v>75022.907155578345</v>
      </c>
      <c r="BH119" s="29">
        <f t="shared" si="112"/>
        <v>80401.224346654606</v>
      </c>
      <c r="BI119" s="29">
        <f t="shared" si="112"/>
        <v>86165.107718841944</v>
      </c>
      <c r="BJ119" s="29">
        <f t="shared" si="112"/>
        <v>92342.19812609801</v>
      </c>
      <c r="BK119" s="29">
        <f t="shared" si="112"/>
        <v>98962.117967559854</v>
      </c>
      <c r="BL119" s="29">
        <f t="shared" si="112"/>
        <v>106056.61324253626</v>
      </c>
      <c r="BM119" s="29">
        <f t="shared" si="112"/>
        <v>113659.70578928046</v>
      </c>
      <c r="BN119" s="29">
        <f t="shared" si="112"/>
        <v>121807.85643760819</v>
      </c>
      <c r="BO119" s="29">
        <f t="shared" si="112"/>
        <v>130540.1398577639</v>
      </c>
      <c r="BP119" s="29">
        <f t="shared" si="112"/>
        <v>139898.43194402716</v>
      </c>
      <c r="BQ119" s="29">
        <f t="shared" si="112"/>
        <v>149927.61063166254</v>
      </c>
      <c r="BR119" s="29">
        <f t="shared" si="112"/>
        <v>160675.7711102358</v>
      </c>
      <c r="BS119" s="29">
        <f t="shared" si="112"/>
        <v>172194.45646535751</v>
      </c>
    </row>
    <row r="120" spans="1:71" x14ac:dyDescent="0.2">
      <c r="A120" s="2" t="s">
        <v>455</v>
      </c>
      <c r="B120" s="2" t="s">
        <v>456</v>
      </c>
      <c r="C120" s="11" t="s">
        <v>79</v>
      </c>
      <c r="D120" s="26">
        <f>'Growth calculation'!G121</f>
        <v>1.9146181426956232E-2</v>
      </c>
      <c r="E120" s="27">
        <v>95720</v>
      </c>
      <c r="F120" s="12">
        <v>2025</v>
      </c>
      <c r="G120" s="2" t="s">
        <v>162</v>
      </c>
      <c r="H120" s="27">
        <v>19980</v>
      </c>
      <c r="I120" s="27">
        <v>25870</v>
      </c>
      <c r="J120" s="27">
        <v>28540</v>
      </c>
      <c r="K120" s="27">
        <v>31330</v>
      </c>
      <c r="L120" s="27">
        <v>35170</v>
      </c>
      <c r="M120" s="27">
        <v>38990</v>
      </c>
      <c r="N120" s="27">
        <v>40050</v>
      </c>
      <c r="O120" s="27">
        <v>41330</v>
      </c>
      <c r="P120" s="27">
        <v>45760</v>
      </c>
      <c r="Q120" s="27">
        <v>48560</v>
      </c>
      <c r="R120" s="27">
        <v>49360</v>
      </c>
      <c r="S120" s="27">
        <v>46350</v>
      </c>
      <c r="T120" s="27">
        <v>46520</v>
      </c>
      <c r="U120" s="27">
        <v>45690</v>
      </c>
      <c r="V120" s="27">
        <v>45000</v>
      </c>
      <c r="W120" s="27">
        <v>42520</v>
      </c>
      <c r="X120" s="27">
        <v>46050</v>
      </c>
      <c r="Y120" s="27">
        <v>62680</v>
      </c>
      <c r="Z120" s="27">
        <v>73180</v>
      </c>
      <c r="AA120" s="27">
        <v>71370</v>
      </c>
      <c r="AB120" s="27">
        <v>85730</v>
      </c>
      <c r="AC120" s="27">
        <v>86000</v>
      </c>
      <c r="AD120" s="27">
        <v>70650</v>
      </c>
      <c r="AE120" s="27">
        <v>77640</v>
      </c>
      <c r="AF120" s="27">
        <v>79210</v>
      </c>
      <c r="AG120" s="27">
        <v>87950</v>
      </c>
      <c r="AH120" s="27">
        <v>85160</v>
      </c>
      <c r="AI120" s="27">
        <v>86760</v>
      </c>
      <c r="AJ120" s="27">
        <v>73530</v>
      </c>
      <c r="AK120" s="27">
        <v>73730</v>
      </c>
      <c r="AL120" s="27">
        <v>75800</v>
      </c>
      <c r="AM120" s="27">
        <v>80120</v>
      </c>
      <c r="AN120" s="27">
        <v>79280</v>
      </c>
      <c r="AO120" s="27">
        <v>80090</v>
      </c>
      <c r="AP120" s="27">
        <v>86850</v>
      </c>
      <c r="AQ120" s="27">
        <v>84190</v>
      </c>
      <c r="AR120" s="27">
        <v>88480</v>
      </c>
      <c r="AS120" s="27">
        <v>84650</v>
      </c>
      <c r="AT120" s="27">
        <v>95720</v>
      </c>
      <c r="AU120" s="29">
        <f t="shared" si="111"/>
        <v>97552.672486188254</v>
      </c>
      <c r="AV120" s="29">
        <f t="shared" ref="AV120:BS120" si="113">AU120*(1+$D120)</f>
        <v>99420.433652293257</v>
      </c>
      <c r="AW120" s="29">
        <f t="shared" si="113"/>
        <v>101323.95531254674</v>
      </c>
      <c r="AX120" s="29">
        <f t="shared" si="113"/>
        <v>103263.92214385756</v>
      </c>
      <c r="AY120" s="29">
        <f t="shared" si="113"/>
        <v>105241.03193208294</v>
      </c>
      <c r="AZ120" s="29">
        <f t="shared" si="113"/>
        <v>107255.9958230147</v>
      </c>
      <c r="BA120" s="29">
        <f t="shared" si="113"/>
        <v>109309.53857817101</v>
      </c>
      <c r="BB120" s="29">
        <f t="shared" si="113"/>
        <v>111402.39883548554</v>
      </c>
      <c r="BC120" s="29">
        <f t="shared" si="113"/>
        <v>113535.32937498788</v>
      </c>
      <c r="BD120" s="29">
        <f t="shared" si="113"/>
        <v>115709.09738957063</v>
      </c>
      <c r="BE120" s="29">
        <f t="shared" si="113"/>
        <v>117924.4847609407</v>
      </c>
      <c r="BF120" s="29">
        <f t="shared" si="113"/>
        <v>120182.28834085401</v>
      </c>
      <c r="BG120" s="29">
        <f t="shared" si="113"/>
        <v>122483.32023773476</v>
      </c>
      <c r="BH120" s="29">
        <f t="shared" si="113"/>
        <v>124828.40810878242</v>
      </c>
      <c r="BI120" s="29">
        <f t="shared" si="113"/>
        <v>127218.3954576713</v>
      </c>
      <c r="BJ120" s="29">
        <f t="shared" si="113"/>
        <v>129654.14193795015</v>
      </c>
      <c r="BK120" s="29">
        <f t="shared" si="113"/>
        <v>132136.52366225046</v>
      </c>
      <c r="BL120" s="29">
        <f t="shared" si="113"/>
        <v>134666.43351741519</v>
      </c>
      <c r="BM120" s="29">
        <f t="shared" si="113"/>
        <v>137244.78148566076</v>
      </c>
      <c r="BN120" s="29">
        <f t="shared" si="113"/>
        <v>139872.49497188817</v>
      </c>
      <c r="BO120" s="29">
        <f t="shared" si="113"/>
        <v>142550.51913726097</v>
      </c>
      <c r="BP120" s="29">
        <f t="shared" si="113"/>
        <v>145279.81723916976</v>
      </c>
      <c r="BQ120" s="29">
        <f t="shared" si="113"/>
        <v>148061.37097770596</v>
      </c>
      <c r="BR120" s="29">
        <f t="shared" si="113"/>
        <v>150896.180848769</v>
      </c>
      <c r="BS120" s="29">
        <f t="shared" si="113"/>
        <v>153785.26650393434</v>
      </c>
    </row>
    <row r="121" spans="1:71" x14ac:dyDescent="0.2">
      <c r="A121" s="2" t="s">
        <v>457</v>
      </c>
      <c r="B121" s="2" t="s">
        <v>458</v>
      </c>
      <c r="C121" s="11" t="s">
        <v>79</v>
      </c>
      <c r="D121" s="26">
        <f>'Growth calculation'!G122</f>
        <v>5.5010271627482288E-2</v>
      </c>
      <c r="E121" s="27">
        <v>69920</v>
      </c>
      <c r="F121" s="12">
        <v>2024</v>
      </c>
      <c r="G121" s="2" t="s">
        <v>162</v>
      </c>
      <c r="H121" s="27">
        <v>6540</v>
      </c>
      <c r="I121" s="27">
        <v>7600</v>
      </c>
      <c r="J121" s="27">
        <v>8270</v>
      </c>
      <c r="K121" s="27">
        <v>9210</v>
      </c>
      <c r="L121" s="27">
        <v>10050</v>
      </c>
      <c r="M121" s="27">
        <v>12280</v>
      </c>
      <c r="N121" s="27">
        <v>13800</v>
      </c>
      <c r="O121" s="27">
        <v>15260</v>
      </c>
      <c r="P121" s="27">
        <v>16420</v>
      </c>
      <c r="Q121" s="27">
        <v>16580</v>
      </c>
      <c r="R121" s="27">
        <v>16670</v>
      </c>
      <c r="S121" s="27">
        <v>15230</v>
      </c>
      <c r="T121" s="27">
        <v>14330</v>
      </c>
      <c r="U121" s="27">
        <v>14620</v>
      </c>
      <c r="V121" s="27">
        <v>15910</v>
      </c>
      <c r="W121" s="27">
        <v>16670</v>
      </c>
      <c r="X121" s="27">
        <v>18510</v>
      </c>
      <c r="Y121" s="27">
        <v>23050</v>
      </c>
      <c r="Z121" s="27">
        <v>24430</v>
      </c>
      <c r="AA121" s="27">
        <v>25920</v>
      </c>
      <c r="AB121" s="27">
        <v>33070</v>
      </c>
      <c r="AC121" s="27">
        <v>32190</v>
      </c>
      <c r="AD121" s="27">
        <v>35520</v>
      </c>
      <c r="AE121" s="27">
        <v>45370</v>
      </c>
      <c r="AF121" s="27">
        <v>54620</v>
      </c>
      <c r="AG121" s="27">
        <v>60370</v>
      </c>
      <c r="AH121" s="27">
        <v>67830</v>
      </c>
      <c r="AI121" s="27">
        <v>68530</v>
      </c>
      <c r="AJ121" s="27">
        <v>57990</v>
      </c>
      <c r="AK121" s="27">
        <v>59680</v>
      </c>
      <c r="AL121" s="27">
        <v>66890</v>
      </c>
      <c r="AM121" s="27">
        <v>72780</v>
      </c>
      <c r="AN121" s="27">
        <v>71600</v>
      </c>
      <c r="AO121" s="27">
        <v>43810</v>
      </c>
      <c r="AP121" s="27">
        <v>46220</v>
      </c>
      <c r="AQ121" s="27">
        <v>45210</v>
      </c>
      <c r="AR121" s="27">
        <v>64780</v>
      </c>
      <c r="AS121" s="27">
        <v>69920</v>
      </c>
      <c r="AT121" s="27"/>
      <c r="AU121" s="29">
        <f t="shared" si="111"/>
        <v>73766.318192193561</v>
      </c>
      <c r="AV121" s="29">
        <f t="shared" ref="AV121:BS121" si="114">AU121*(1+$D121)</f>
        <v>77824.22339290542</v>
      </c>
      <c r="AW121" s="29">
        <f t="shared" si="114"/>
        <v>82105.355060947011</v>
      </c>
      <c r="AX121" s="29">
        <f t="shared" si="114"/>
        <v>86621.992944920581</v>
      </c>
      <c r="AY121" s="29">
        <f t="shared" si="114"/>
        <v>91387.092305734521</v>
      </c>
      <c r="AZ121" s="29">
        <f t="shared" si="114"/>
        <v>96414.32107671877</v>
      </c>
      <c r="BA121" s="29">
        <f t="shared" si="114"/>
        <v>101718.09906792836</v>
      </c>
      <c r="BB121" s="29">
        <f t="shared" si="114"/>
        <v>107313.63932708625</v>
      </c>
      <c r="BC121" s="29">
        <f t="shared" si="114"/>
        <v>113216.99177580293</v>
      </c>
      <c r="BD121" s="29">
        <f t="shared" si="114"/>
        <v>119445.08924623628</v>
      </c>
      <c r="BE121" s="29">
        <f t="shared" si="114"/>
        <v>126015.79605024061</v>
      </c>
      <c r="BF121" s="29">
        <f t="shared" si="114"/>
        <v>132947.95922031775</v>
      </c>
      <c r="BG121" s="29">
        <f t="shared" si="114"/>
        <v>140261.46256934686</v>
      </c>
      <c r="BH121" s="29">
        <f t="shared" si="114"/>
        <v>147977.28372415458</v>
      </c>
      <c r="BI121" s="29">
        <f t="shared" si="114"/>
        <v>156117.55429651734</v>
      </c>
      <c r="BJ121" s="29">
        <f t="shared" si="114"/>
        <v>164705.62336418696</v>
      </c>
      <c r="BK121" s="29">
        <f t="shared" si="114"/>
        <v>173766.12444402467</v>
      </c>
      <c r="BL121" s="29">
        <f t="shared" si="114"/>
        <v>183325.04614934535</v>
      </c>
      <c r="BM121" s="29">
        <f t="shared" si="114"/>
        <v>193409.80673414157</v>
      </c>
      <c r="BN121" s="29">
        <f t="shared" si="114"/>
        <v>204049.33273800556</v>
      </c>
      <c r="BO121" s="29">
        <f t="shared" si="114"/>
        <v>215274.14195732976</v>
      </c>
      <c r="BP121" s="29">
        <f t="shared" si="114"/>
        <v>227116.43098077565</v>
      </c>
      <c r="BQ121" s="29">
        <f t="shared" si="114"/>
        <v>239610.16754009246</v>
      </c>
      <c r="BR121" s="29">
        <f t="shared" si="114"/>
        <v>252791.18794117949</v>
      </c>
      <c r="BS121" s="29">
        <f t="shared" si="114"/>
        <v>266697.29985485773</v>
      </c>
    </row>
    <row r="122" spans="1:71" x14ac:dyDescent="0.2">
      <c r="A122" s="2" t="s">
        <v>459</v>
      </c>
      <c r="B122" s="2" t="s">
        <v>460</v>
      </c>
      <c r="C122" s="11" t="s">
        <v>75</v>
      </c>
      <c r="D122" s="26">
        <f>'Growth calculation'!G123</f>
        <v>3.0833333333333379E-2</v>
      </c>
      <c r="E122" s="27">
        <v>560</v>
      </c>
      <c r="F122" s="12">
        <v>2025</v>
      </c>
      <c r="G122" s="2" t="s">
        <v>162</v>
      </c>
      <c r="H122" s="27">
        <v>350</v>
      </c>
      <c r="I122" s="27">
        <v>330</v>
      </c>
      <c r="J122" s="27">
        <v>290</v>
      </c>
      <c r="K122" s="27">
        <v>300</v>
      </c>
      <c r="L122" s="27">
        <v>260</v>
      </c>
      <c r="M122" s="27">
        <v>280</v>
      </c>
      <c r="N122" s="27">
        <v>280</v>
      </c>
      <c r="O122" s="27">
        <v>270</v>
      </c>
      <c r="P122" s="27">
        <v>270</v>
      </c>
      <c r="Q122" s="27">
        <v>280</v>
      </c>
      <c r="R122" s="27">
        <v>290</v>
      </c>
      <c r="S122" s="27">
        <v>290</v>
      </c>
      <c r="T122" s="27">
        <v>270</v>
      </c>
      <c r="U122" s="27">
        <v>280</v>
      </c>
      <c r="V122" s="27">
        <v>290</v>
      </c>
      <c r="W122" s="27">
        <v>260</v>
      </c>
      <c r="X122" s="27">
        <v>320</v>
      </c>
      <c r="Y122" s="27">
        <v>330</v>
      </c>
      <c r="Z122" s="27">
        <v>320</v>
      </c>
      <c r="AA122" s="27">
        <v>310</v>
      </c>
      <c r="AB122" s="27">
        <v>360</v>
      </c>
      <c r="AC122" s="27">
        <v>430</v>
      </c>
      <c r="AD122" s="27">
        <v>450</v>
      </c>
      <c r="AE122" s="27">
        <v>450</v>
      </c>
      <c r="AF122" s="27">
        <v>460</v>
      </c>
      <c r="AG122" s="27">
        <v>470</v>
      </c>
      <c r="AH122" s="27">
        <v>490</v>
      </c>
      <c r="AI122" s="27">
        <v>500</v>
      </c>
      <c r="AJ122" s="27">
        <v>470</v>
      </c>
      <c r="AK122" s="27">
        <v>450</v>
      </c>
      <c r="AL122" s="27">
        <v>450</v>
      </c>
      <c r="AM122" s="27">
        <v>480</v>
      </c>
      <c r="AN122" s="27">
        <v>500</v>
      </c>
      <c r="AO122" s="27">
        <v>450</v>
      </c>
      <c r="AP122" s="27">
        <v>470</v>
      </c>
      <c r="AQ122" s="27">
        <v>500</v>
      </c>
      <c r="AR122" s="27">
        <v>510</v>
      </c>
      <c r="AS122" s="27">
        <v>520</v>
      </c>
      <c r="AT122" s="27">
        <v>560</v>
      </c>
      <c r="AU122" s="29">
        <f t="shared" si="111"/>
        <v>577.26666666666665</v>
      </c>
      <c r="AV122" s="29">
        <f t="shared" ref="AV122:BS122" si="115">AU122*(1+$D122)</f>
        <v>595.06572222222212</v>
      </c>
      <c r="AW122" s="29">
        <f t="shared" si="115"/>
        <v>613.41358199074057</v>
      </c>
      <c r="AX122" s="29">
        <f t="shared" si="115"/>
        <v>632.32716743545507</v>
      </c>
      <c r="AY122" s="29">
        <f t="shared" si="115"/>
        <v>651.8239217647149</v>
      </c>
      <c r="AZ122" s="29">
        <f t="shared" si="115"/>
        <v>671.92182601912691</v>
      </c>
      <c r="BA122" s="29">
        <f t="shared" si="115"/>
        <v>692.63941565471657</v>
      </c>
      <c r="BB122" s="29">
        <f t="shared" si="115"/>
        <v>713.9957976374036</v>
      </c>
      <c r="BC122" s="29">
        <f t="shared" si="115"/>
        <v>736.01066806455685</v>
      </c>
      <c r="BD122" s="29">
        <f t="shared" si="115"/>
        <v>758.70433032988069</v>
      </c>
      <c r="BE122" s="29">
        <f t="shared" si="115"/>
        <v>782.0977138483853</v>
      </c>
      <c r="BF122" s="29">
        <f t="shared" si="115"/>
        <v>806.21239335871041</v>
      </c>
      <c r="BG122" s="29">
        <f t="shared" si="115"/>
        <v>831.07060882060398</v>
      </c>
      <c r="BH122" s="29">
        <f t="shared" si="115"/>
        <v>856.69528592590586</v>
      </c>
      <c r="BI122" s="29">
        <f t="shared" si="115"/>
        <v>883.11005724195456</v>
      </c>
      <c r="BJ122" s="29">
        <f t="shared" si="115"/>
        <v>910.3392840069148</v>
      </c>
      <c r="BK122" s="29">
        <f t="shared" si="115"/>
        <v>938.408078597128</v>
      </c>
      <c r="BL122" s="29">
        <f t="shared" si="115"/>
        <v>967.34232768720608</v>
      </c>
      <c r="BM122" s="29">
        <f t="shared" si="115"/>
        <v>997.16871612422824</v>
      </c>
      <c r="BN122" s="29">
        <f t="shared" si="115"/>
        <v>1027.9147515380585</v>
      </c>
      <c r="BO122" s="29">
        <f t="shared" si="115"/>
        <v>1059.6087897104819</v>
      </c>
      <c r="BP122" s="29">
        <f t="shared" si="115"/>
        <v>1092.2800607265551</v>
      </c>
      <c r="BQ122" s="29">
        <f t="shared" si="115"/>
        <v>1125.9586959322905</v>
      </c>
      <c r="BR122" s="29">
        <f t="shared" si="115"/>
        <v>1160.675755723536</v>
      </c>
      <c r="BS122" s="29">
        <f t="shared" si="115"/>
        <v>1196.4632581916783</v>
      </c>
    </row>
    <row r="123" spans="1:71" x14ac:dyDescent="0.2">
      <c r="A123" s="2" t="s">
        <v>461</v>
      </c>
      <c r="B123" s="2" t="s">
        <v>462</v>
      </c>
      <c r="C123" s="11" t="s">
        <v>75</v>
      </c>
      <c r="D123" s="26">
        <f>'Growth calculation'!G124</f>
        <v>1.8749999999999933E-2</v>
      </c>
      <c r="E123" s="27">
        <v>600</v>
      </c>
      <c r="F123" s="12">
        <v>2025</v>
      </c>
      <c r="G123" s="2" t="s">
        <v>162</v>
      </c>
      <c r="H123" s="27">
        <v>230</v>
      </c>
      <c r="I123" s="27">
        <v>240</v>
      </c>
      <c r="J123" s="27">
        <v>240</v>
      </c>
      <c r="K123" s="27">
        <v>270</v>
      </c>
      <c r="L123" s="27">
        <v>310</v>
      </c>
      <c r="M123" s="27">
        <v>290</v>
      </c>
      <c r="N123" s="27">
        <v>310</v>
      </c>
      <c r="O123" s="27">
        <v>230</v>
      </c>
      <c r="P123" s="27">
        <v>230</v>
      </c>
      <c r="Q123" s="27">
        <v>250</v>
      </c>
      <c r="R123" s="27">
        <v>290</v>
      </c>
      <c r="S123" s="27">
        <v>290</v>
      </c>
      <c r="T123" s="27">
        <v>260</v>
      </c>
      <c r="U123" s="27">
        <v>230</v>
      </c>
      <c r="V123" s="27">
        <v>210</v>
      </c>
      <c r="W123" s="27">
        <v>250</v>
      </c>
      <c r="X123" s="27">
        <v>320</v>
      </c>
      <c r="Y123" s="27">
        <v>440</v>
      </c>
      <c r="Z123" s="27">
        <v>430</v>
      </c>
      <c r="AA123" s="27">
        <v>440</v>
      </c>
      <c r="AB123" s="27">
        <v>480</v>
      </c>
      <c r="AC123" s="27">
        <v>530</v>
      </c>
      <c r="AD123" s="27">
        <v>590</v>
      </c>
      <c r="AE123" s="27">
        <v>650</v>
      </c>
      <c r="AF123" s="27">
        <v>710</v>
      </c>
      <c r="AG123" s="27">
        <v>650</v>
      </c>
      <c r="AH123" s="27">
        <v>590</v>
      </c>
      <c r="AI123" s="27">
        <v>530</v>
      </c>
      <c r="AJ123" s="27">
        <v>510</v>
      </c>
      <c r="AK123" s="27">
        <v>490</v>
      </c>
      <c r="AL123" s="27">
        <v>480</v>
      </c>
      <c r="AM123" s="27">
        <v>490</v>
      </c>
      <c r="AN123" s="27">
        <v>540</v>
      </c>
      <c r="AO123" s="27">
        <v>560</v>
      </c>
      <c r="AP123" s="27">
        <v>600</v>
      </c>
      <c r="AQ123" s="27">
        <v>610</v>
      </c>
      <c r="AR123" s="27">
        <v>620</v>
      </c>
      <c r="AS123" s="27">
        <v>570</v>
      </c>
      <c r="AT123" s="27">
        <v>600</v>
      </c>
      <c r="AU123" s="29">
        <f t="shared" si="111"/>
        <v>611.24999999999989</v>
      </c>
      <c r="AV123" s="29">
        <f t="shared" ref="AV123:BS123" si="116">AU123*(1+$D123)</f>
        <v>622.71093749999977</v>
      </c>
      <c r="AW123" s="29">
        <f t="shared" si="116"/>
        <v>634.3867675781247</v>
      </c>
      <c r="AX123" s="29">
        <f t="shared" si="116"/>
        <v>646.28151947021445</v>
      </c>
      <c r="AY123" s="29">
        <f t="shared" si="116"/>
        <v>658.39929796028082</v>
      </c>
      <c r="AZ123" s="29">
        <f t="shared" si="116"/>
        <v>670.74428479703602</v>
      </c>
      <c r="BA123" s="29">
        <f t="shared" si="116"/>
        <v>683.32074013698036</v>
      </c>
      <c r="BB123" s="29">
        <f t="shared" si="116"/>
        <v>696.13300401454865</v>
      </c>
      <c r="BC123" s="29">
        <f t="shared" si="116"/>
        <v>709.18549783982132</v>
      </c>
      <c r="BD123" s="29">
        <f t="shared" si="116"/>
        <v>722.48272592431783</v>
      </c>
      <c r="BE123" s="29">
        <f t="shared" si="116"/>
        <v>736.02927703539865</v>
      </c>
      <c r="BF123" s="29">
        <f t="shared" si="116"/>
        <v>749.8298259798122</v>
      </c>
      <c r="BG123" s="29">
        <f t="shared" si="116"/>
        <v>763.8891352169336</v>
      </c>
      <c r="BH123" s="29">
        <f t="shared" si="116"/>
        <v>778.21205650225102</v>
      </c>
      <c r="BI123" s="29">
        <f t="shared" si="116"/>
        <v>792.80353256166813</v>
      </c>
      <c r="BJ123" s="29">
        <f t="shared" si="116"/>
        <v>807.66859879719925</v>
      </c>
      <c r="BK123" s="29">
        <f t="shared" si="116"/>
        <v>822.81238502464657</v>
      </c>
      <c r="BL123" s="29">
        <f t="shared" si="116"/>
        <v>838.24011724385855</v>
      </c>
      <c r="BM123" s="29">
        <f t="shared" si="116"/>
        <v>853.95711944218078</v>
      </c>
      <c r="BN123" s="29">
        <f t="shared" si="116"/>
        <v>869.96881543172151</v>
      </c>
      <c r="BO123" s="29">
        <f t="shared" si="116"/>
        <v>886.28073072106611</v>
      </c>
      <c r="BP123" s="29">
        <f t="shared" si="116"/>
        <v>902.89849442208595</v>
      </c>
      <c r="BQ123" s="29">
        <f t="shared" si="116"/>
        <v>919.82784119249993</v>
      </c>
      <c r="BR123" s="29">
        <f t="shared" si="116"/>
        <v>937.07461321485914</v>
      </c>
      <c r="BS123" s="29">
        <f t="shared" si="116"/>
        <v>954.6447622126376</v>
      </c>
    </row>
    <row r="124" spans="1:71" x14ac:dyDescent="0.2">
      <c r="A124" s="2" t="s">
        <v>463</v>
      </c>
      <c r="B124" s="2" t="s">
        <v>464</v>
      </c>
      <c r="C124" s="11" t="s">
        <v>82</v>
      </c>
      <c r="D124" s="26">
        <f>'Growth calculation'!G125</f>
        <v>2.3719294303113259E-2</v>
      </c>
      <c r="E124" s="27">
        <v>12380</v>
      </c>
      <c r="F124" s="12">
        <v>2025</v>
      </c>
      <c r="G124" s="2" t="s">
        <v>162</v>
      </c>
      <c r="H124" s="27">
        <v>1990</v>
      </c>
      <c r="I124" s="27">
        <v>2170</v>
      </c>
      <c r="J124" s="27">
        <v>2290</v>
      </c>
      <c r="K124" s="27">
        <v>2420</v>
      </c>
      <c r="L124" s="27">
        <v>2590</v>
      </c>
      <c r="M124" s="27">
        <v>2900</v>
      </c>
      <c r="N124" s="27">
        <v>3260</v>
      </c>
      <c r="O124" s="27">
        <v>3630</v>
      </c>
      <c r="P124" s="27">
        <v>4080</v>
      </c>
      <c r="Q124" s="27">
        <v>4540</v>
      </c>
      <c r="R124" s="27">
        <v>4660</v>
      </c>
      <c r="S124" s="27">
        <v>3670</v>
      </c>
      <c r="T124" s="27">
        <v>3420</v>
      </c>
      <c r="U124" s="27">
        <v>3490</v>
      </c>
      <c r="V124" s="27">
        <v>3570</v>
      </c>
      <c r="W124" s="27">
        <v>3810</v>
      </c>
      <c r="X124" s="27">
        <v>4170</v>
      </c>
      <c r="Y124" s="27">
        <v>4720</v>
      </c>
      <c r="Z124" s="27">
        <v>5240</v>
      </c>
      <c r="AA124" s="27">
        <v>5790</v>
      </c>
      <c r="AB124" s="27">
        <v>6560</v>
      </c>
      <c r="AC124" s="27">
        <v>7420</v>
      </c>
      <c r="AD124" s="27">
        <v>7500</v>
      </c>
      <c r="AE124" s="27">
        <v>8130</v>
      </c>
      <c r="AF124" s="27">
        <v>8890</v>
      </c>
      <c r="AG124" s="27">
        <v>9980</v>
      </c>
      <c r="AH124" s="27">
        <v>10590</v>
      </c>
      <c r="AI124" s="27">
        <v>10840</v>
      </c>
      <c r="AJ124" s="27">
        <v>10350</v>
      </c>
      <c r="AK124" s="27">
        <v>9800</v>
      </c>
      <c r="AL124" s="27">
        <v>9560</v>
      </c>
      <c r="AM124" s="27">
        <v>10200</v>
      </c>
      <c r="AN124" s="27">
        <v>10750</v>
      </c>
      <c r="AO124" s="27">
        <v>10110</v>
      </c>
      <c r="AP124" s="27">
        <v>10520</v>
      </c>
      <c r="AQ124" s="27">
        <v>11620</v>
      </c>
      <c r="AR124" s="27">
        <v>11700</v>
      </c>
      <c r="AS124" s="27">
        <v>11650</v>
      </c>
      <c r="AT124" s="27">
        <v>12380</v>
      </c>
      <c r="AU124" s="29">
        <f t="shared" si="111"/>
        <v>12673.644863472542</v>
      </c>
      <c r="AV124" s="29">
        <f t="shared" ref="AV124:BS124" si="117">AU124*(1+$D124)</f>
        <v>12974.254775882388</v>
      </c>
      <c r="AW124" s="29">
        <f t="shared" si="117"/>
        <v>13281.994943275115</v>
      </c>
      <c r="AX124" s="29">
        <f t="shared" si="117"/>
        <v>13597.034490267119</v>
      </c>
      <c r="AY124" s="29">
        <f t="shared" si="117"/>
        <v>13919.546552991345</v>
      </c>
      <c r="AZ124" s="29">
        <f t="shared" si="117"/>
        <v>14249.708374247633</v>
      </c>
      <c r="BA124" s="29">
        <f t="shared" si="117"/>
        <v>14587.701400909951</v>
      </c>
      <c r="BB124" s="29">
        <f t="shared" si="117"/>
        <v>14933.711383644071</v>
      </c>
      <c r="BC124" s="29">
        <f t="shared" si="117"/>
        <v>15287.928478990478</v>
      </c>
      <c r="BD124" s="29">
        <f t="shared" si="117"/>
        <v>15650.5473538686</v>
      </c>
      <c r="BE124" s="29">
        <f t="shared" si="117"/>
        <v>16021.76729255982</v>
      </c>
      <c r="BF124" s="29">
        <f t="shared" si="117"/>
        <v>16401.792306228039</v>
      </c>
      <c r="BG124" s="29">
        <f t="shared" si="117"/>
        <v>16790.831245038</v>
      </c>
      <c r="BH124" s="29">
        <f t="shared" si="117"/>
        <v>17189.097912932964</v>
      </c>
      <c r="BI124" s="29">
        <f t="shared" si="117"/>
        <v>17596.811185134851</v>
      </c>
      <c r="BJ124" s="29">
        <f t="shared" si="117"/>
        <v>18014.19512843138</v>
      </c>
      <c r="BK124" s="29">
        <f t="shared" si="117"/>
        <v>18441.479124316353</v>
      </c>
      <c r="BL124" s="29">
        <f t="shared" si="117"/>
        <v>18878.897995050731</v>
      </c>
      <c r="BM124" s="29">
        <f t="shared" si="117"/>
        <v>19326.692132713793</v>
      </c>
      <c r="BN124" s="29">
        <f t="shared" si="117"/>
        <v>19785.107631315295</v>
      </c>
      <c r="BO124" s="29">
        <f t="shared" si="117"/>
        <v>20254.396422041234</v>
      </c>
      <c r="BP124" s="29">
        <f t="shared" si="117"/>
        <v>20734.816411707554</v>
      </c>
      <c r="BQ124" s="29">
        <f t="shared" si="117"/>
        <v>21226.63162449787</v>
      </c>
      <c r="BR124" s="29">
        <f t="shared" si="117"/>
        <v>21730.112347063106</v>
      </c>
      <c r="BS124" s="29">
        <f t="shared" si="117"/>
        <v>22245.535277062812</v>
      </c>
    </row>
    <row r="125" spans="1:71" x14ac:dyDescent="0.2">
      <c r="A125" s="2" t="s">
        <v>465</v>
      </c>
      <c r="B125" s="2" t="s">
        <v>466</v>
      </c>
      <c r="C125" s="11" t="s">
        <v>82</v>
      </c>
      <c r="D125" s="26">
        <f>'Growth calculation'!G126</f>
        <v>7.005050900110632E-2</v>
      </c>
      <c r="E125" s="27">
        <v>12950</v>
      </c>
      <c r="F125" s="12">
        <v>2025</v>
      </c>
      <c r="G125" s="2" t="s">
        <v>162</v>
      </c>
      <c r="H125" s="27">
        <v>670</v>
      </c>
      <c r="I125" s="27">
        <v>820</v>
      </c>
      <c r="J125" s="27">
        <v>820</v>
      </c>
      <c r="K125" s="27">
        <v>920</v>
      </c>
      <c r="L125" s="27">
        <v>900</v>
      </c>
      <c r="M125" s="27">
        <v>990</v>
      </c>
      <c r="N125" s="27">
        <v>1090</v>
      </c>
      <c r="O125" s="27">
        <v>1250</v>
      </c>
      <c r="P125" s="27">
        <v>1530</v>
      </c>
      <c r="Q125" s="27">
        <v>1640</v>
      </c>
      <c r="R125" s="27">
        <v>1740</v>
      </c>
      <c r="S125" s="27">
        <v>1830</v>
      </c>
      <c r="T125" s="27">
        <v>1950</v>
      </c>
      <c r="U125" s="27">
        <v>2050</v>
      </c>
      <c r="V125" s="27">
        <v>2240</v>
      </c>
      <c r="W125" s="27">
        <v>2650</v>
      </c>
      <c r="X125" s="27">
        <v>3470</v>
      </c>
      <c r="Y125" s="27">
        <v>3890</v>
      </c>
      <c r="Z125" s="27">
        <v>3660</v>
      </c>
      <c r="AA125" s="27">
        <v>4710</v>
      </c>
      <c r="AB125" s="27">
        <v>4570</v>
      </c>
      <c r="AC125" s="27">
        <v>5500</v>
      </c>
      <c r="AD125" s="27">
        <v>5490</v>
      </c>
      <c r="AE125" s="27">
        <v>6000</v>
      </c>
      <c r="AF125" s="27">
        <v>6720</v>
      </c>
      <c r="AG125" s="27">
        <v>6810</v>
      </c>
      <c r="AH125" s="27">
        <v>7050</v>
      </c>
      <c r="AI125" s="27">
        <v>7720</v>
      </c>
      <c r="AJ125" s="27">
        <v>8210</v>
      </c>
      <c r="AK125" s="27">
        <v>8720</v>
      </c>
      <c r="AL125" s="27">
        <v>9400</v>
      </c>
      <c r="AM125" s="27">
        <v>10220</v>
      </c>
      <c r="AN125" s="27">
        <v>10730</v>
      </c>
      <c r="AO125" s="27">
        <v>7050</v>
      </c>
      <c r="AP125" s="27">
        <v>9350</v>
      </c>
      <c r="AQ125" s="27">
        <v>10570</v>
      </c>
      <c r="AR125" s="27">
        <v>11130</v>
      </c>
      <c r="AS125" s="27">
        <v>11540</v>
      </c>
      <c r="AT125" s="27">
        <v>12950</v>
      </c>
      <c r="AU125" s="29">
        <f t="shared" si="111"/>
        <v>13857.154091564327</v>
      </c>
      <c r="AV125" s="29">
        <f t="shared" ref="AV125:BS125" si="118">AU125*(1+$D125)</f>
        <v>14827.854788985171</v>
      </c>
      <c r="AW125" s="29">
        <f t="shared" si="118"/>
        <v>15866.553564348074</v>
      </c>
      <c r="AX125" s="29">
        <f t="shared" si="118"/>
        <v>16978.013717623973</v>
      </c>
      <c r="AY125" s="29">
        <f t="shared" si="118"/>
        <v>18167.3322203713</v>
      </c>
      <c r="AZ125" s="29">
        <f t="shared" si="118"/>
        <v>19439.963089600507</v>
      </c>
      <c r="BA125" s="29">
        <f t="shared" si="118"/>
        <v>20801.742398989743</v>
      </c>
      <c r="BB125" s="29">
        <f t="shared" si="118"/>
        <v>22258.91504214887</v>
      </c>
      <c r="BC125" s="29">
        <f t="shared" si="118"/>
        <v>23818.16337066378</v>
      </c>
      <c r="BD125" s="29">
        <f t="shared" si="118"/>
        <v>25486.637838250284</v>
      </c>
      <c r="BE125" s="29">
        <f t="shared" si="118"/>
        <v>27271.989791546574</v>
      </c>
      <c r="BF125" s="29">
        <f t="shared" si="118"/>
        <v>29182.406557917388</v>
      </c>
      <c r="BG125" s="29">
        <f t="shared" si="118"/>
        <v>31226.648991176724</v>
      </c>
      <c r="BH125" s="29">
        <f t="shared" si="118"/>
        <v>33414.091647407535</v>
      </c>
      <c r="BI125" s="29">
        <f t="shared" si="118"/>
        <v>35754.765775118045</v>
      </c>
      <c r="BJ125" s="29">
        <f t="shared" si="118"/>
        <v>38259.405316880402</v>
      </c>
      <c r="BK125" s="29">
        <f t="shared" si="118"/>
        <v>40939.496133407505</v>
      </c>
      <c r="BL125" s="29">
        <f t="shared" si="118"/>
        <v>43807.328675801524</v>
      </c>
      <c r="BM125" s="29">
        <f t="shared" si="118"/>
        <v>46876.054347520185</v>
      </c>
      <c r="BN125" s="29">
        <f t="shared" si="118"/>
        <v>50159.745814527494</v>
      </c>
      <c r="BO125" s="29">
        <f t="shared" si="118"/>
        <v>53673.461540201257</v>
      </c>
      <c r="BP125" s="29">
        <f t="shared" si="118"/>
        <v>57433.314840943662</v>
      </c>
      <c r="BQ125" s="29">
        <f t="shared" si="118"/>
        <v>61456.547779172557</v>
      </c>
      <c r="BR125" s="29">
        <f t="shared" si="118"/>
        <v>65761.610232554405</v>
      </c>
      <c r="BS125" s="29">
        <f t="shared" si="118"/>
        <v>70368.244502077199</v>
      </c>
    </row>
    <row r="126" spans="1:71" x14ac:dyDescent="0.2">
      <c r="A126" s="2" t="s">
        <v>467</v>
      </c>
      <c r="B126" s="2" t="s">
        <v>468</v>
      </c>
      <c r="C126" s="11" t="s">
        <v>75</v>
      </c>
      <c r="D126" s="26">
        <f>'Growth calculation'!G127</f>
        <v>2.6030022357074412E-2</v>
      </c>
      <c r="E126" s="27">
        <v>1120</v>
      </c>
      <c r="F126" s="12">
        <v>2025</v>
      </c>
      <c r="G126" s="2" t="s">
        <v>162</v>
      </c>
      <c r="H126" s="27">
        <v>250</v>
      </c>
      <c r="I126" s="27">
        <v>330</v>
      </c>
      <c r="J126" s="27">
        <v>340</v>
      </c>
      <c r="K126" s="27">
        <v>330</v>
      </c>
      <c r="L126" s="27">
        <v>380</v>
      </c>
      <c r="M126" s="27">
        <v>390</v>
      </c>
      <c r="N126" s="27">
        <v>390</v>
      </c>
      <c r="O126" s="27">
        <v>350</v>
      </c>
      <c r="P126" s="27">
        <v>330</v>
      </c>
      <c r="Q126" s="27">
        <v>330</v>
      </c>
      <c r="R126" s="27">
        <v>340</v>
      </c>
      <c r="S126" s="27">
        <v>340</v>
      </c>
      <c r="T126" s="27">
        <v>350</v>
      </c>
      <c r="U126" s="27">
        <v>330</v>
      </c>
      <c r="V126" s="27">
        <v>340</v>
      </c>
      <c r="W126" s="27">
        <v>330</v>
      </c>
      <c r="X126" s="27">
        <v>400</v>
      </c>
      <c r="Y126" s="27">
        <v>450</v>
      </c>
      <c r="Z126" s="27">
        <v>510</v>
      </c>
      <c r="AA126" s="27">
        <v>550</v>
      </c>
      <c r="AB126" s="27">
        <v>590</v>
      </c>
      <c r="AC126" s="27">
        <v>670</v>
      </c>
      <c r="AD126" s="27">
        <v>740</v>
      </c>
      <c r="AE126" s="27">
        <v>780</v>
      </c>
      <c r="AF126" s="27">
        <v>830</v>
      </c>
      <c r="AG126" s="27">
        <v>830</v>
      </c>
      <c r="AH126" s="27">
        <v>880</v>
      </c>
      <c r="AI126" s="27">
        <v>910</v>
      </c>
      <c r="AJ126" s="27">
        <v>890</v>
      </c>
      <c r="AK126" s="27">
        <v>870</v>
      </c>
      <c r="AL126" s="27">
        <v>860</v>
      </c>
      <c r="AM126" s="27">
        <v>930</v>
      </c>
      <c r="AN126" s="27">
        <v>960</v>
      </c>
      <c r="AO126" s="27">
        <v>930</v>
      </c>
      <c r="AP126" s="27">
        <v>960</v>
      </c>
      <c r="AQ126" s="27">
        <v>1000</v>
      </c>
      <c r="AR126" s="27">
        <v>1010</v>
      </c>
      <c r="AS126" s="27">
        <v>1030</v>
      </c>
      <c r="AT126" s="27">
        <v>1120</v>
      </c>
      <c r="AU126" s="29">
        <f t="shared" si="111"/>
        <v>1149.1536250399233</v>
      </c>
      <c r="AV126" s="29">
        <f t="shared" ref="AV126:BS126" si="119">AU126*(1+$D126)</f>
        <v>1179.0661195914256</v>
      </c>
      <c r="AW126" s="29">
        <f t="shared" si="119"/>
        <v>1209.7572370448595</v>
      </c>
      <c r="AX126" s="29">
        <f t="shared" si="119"/>
        <v>1241.2472449717698</v>
      </c>
      <c r="AY126" s="29">
        <f t="shared" si="119"/>
        <v>1273.5569385090419</v>
      </c>
      <c r="AZ126" s="29">
        <f t="shared" si="119"/>
        <v>1306.7076540914395</v>
      </c>
      <c r="BA126" s="29">
        <f t="shared" si="119"/>
        <v>1340.7212835415999</v>
      </c>
      <c r="BB126" s="29">
        <f t="shared" si="119"/>
        <v>1375.6202885267933</v>
      </c>
      <c r="BC126" s="29">
        <f t="shared" si="119"/>
        <v>1411.4277153919909</v>
      </c>
      <c r="BD126" s="29">
        <f t="shared" si="119"/>
        <v>1448.1672103790388</v>
      </c>
      <c r="BE126" s="29">
        <f t="shared" si="119"/>
        <v>1485.8630352419873</v>
      </c>
      <c r="BF126" s="29">
        <f t="shared" si="119"/>
        <v>1524.5400832688867</v>
      </c>
      <c r="BG126" s="29">
        <f t="shared" si="119"/>
        <v>1564.2238957206318</v>
      </c>
      <c r="BH126" s="29">
        <f t="shared" si="119"/>
        <v>1604.9406786977099</v>
      </c>
      <c r="BI126" s="29">
        <f t="shared" si="119"/>
        <v>1646.7173204459896</v>
      </c>
      <c r="BJ126" s="29">
        <f t="shared" si="119"/>
        <v>1689.5814091129803</v>
      </c>
      <c r="BK126" s="29">
        <f t="shared" si="119"/>
        <v>1733.5612509662885</v>
      </c>
      <c r="BL126" s="29">
        <f t="shared" si="119"/>
        <v>1778.6858890862989</v>
      </c>
      <c r="BM126" s="29">
        <f t="shared" si="119"/>
        <v>1824.9851225454279</v>
      </c>
      <c r="BN126" s="29">
        <f t="shared" si="119"/>
        <v>1872.4895260866135</v>
      </c>
      <c r="BO126" s="29">
        <f t="shared" si="119"/>
        <v>1921.2304703140358</v>
      </c>
      <c r="BP126" s="29">
        <f t="shared" si="119"/>
        <v>1971.2401424094028</v>
      </c>
      <c r="BQ126" s="29">
        <f t="shared" si="119"/>
        <v>2022.551567387482</v>
      </c>
      <c r="BR126" s="29">
        <f t="shared" si="119"/>
        <v>2075.198629904914</v>
      </c>
      <c r="BS126" s="29">
        <f t="shared" si="119"/>
        <v>2129.2160966367092</v>
      </c>
    </row>
    <row r="127" spans="1:71" x14ac:dyDescent="0.2">
      <c r="A127" s="2" t="s">
        <v>469</v>
      </c>
      <c r="B127" s="2" t="s">
        <v>470</v>
      </c>
      <c r="C127" s="11" t="s">
        <v>79</v>
      </c>
      <c r="D127" s="26">
        <f>'Growth calculation'!G128</f>
        <v>5.0770218146710788E-2</v>
      </c>
      <c r="E127" s="27">
        <v>41440</v>
      </c>
      <c r="F127" s="12">
        <v>2025</v>
      </c>
      <c r="G127" s="2" t="s">
        <v>162</v>
      </c>
      <c r="H127" s="27">
        <v>4930</v>
      </c>
      <c r="I127" s="27">
        <v>6260</v>
      </c>
      <c r="J127" s="27">
        <v>6910</v>
      </c>
      <c r="K127" s="27">
        <v>7600</v>
      </c>
      <c r="L127" s="27">
        <v>7940</v>
      </c>
      <c r="M127" s="27">
        <v>8720</v>
      </c>
      <c r="N127" s="27">
        <v>8570</v>
      </c>
      <c r="O127" s="27">
        <v>8600</v>
      </c>
      <c r="P127" s="27">
        <v>9320</v>
      </c>
      <c r="Q127" s="27">
        <v>10080</v>
      </c>
      <c r="R127" s="27">
        <v>10610</v>
      </c>
      <c r="S127" s="27">
        <v>10350</v>
      </c>
      <c r="T127" s="27">
        <v>10800</v>
      </c>
      <c r="U127" s="27">
        <v>11480</v>
      </c>
      <c r="V127" s="27">
        <v>11030</v>
      </c>
      <c r="W127" s="27">
        <v>10770</v>
      </c>
      <c r="X127" s="27">
        <v>12210</v>
      </c>
      <c r="Y127" s="27">
        <v>14200</v>
      </c>
      <c r="Z127" s="27">
        <v>15380</v>
      </c>
      <c r="AA127" s="27">
        <v>16330</v>
      </c>
      <c r="AB127" s="27">
        <v>17990</v>
      </c>
      <c r="AC127" s="27">
        <v>20320</v>
      </c>
      <c r="AD127" s="27">
        <v>20110</v>
      </c>
      <c r="AE127" s="27">
        <v>21440</v>
      </c>
      <c r="AF127" s="27">
        <v>22060</v>
      </c>
      <c r="AG127" s="27">
        <v>22450</v>
      </c>
      <c r="AH127" s="27">
        <v>23330</v>
      </c>
      <c r="AI127" s="27">
        <v>24590</v>
      </c>
      <c r="AJ127" s="27">
        <v>25470</v>
      </c>
      <c r="AK127" s="27">
        <v>23820</v>
      </c>
      <c r="AL127" s="27">
        <v>26690</v>
      </c>
      <c r="AM127" s="27">
        <v>29030</v>
      </c>
      <c r="AN127" s="27">
        <v>29830</v>
      </c>
      <c r="AO127" s="27">
        <v>26910</v>
      </c>
      <c r="AP127" s="27">
        <v>32440</v>
      </c>
      <c r="AQ127" s="27">
        <v>34840</v>
      </c>
      <c r="AR127" s="27">
        <v>35720</v>
      </c>
      <c r="AS127" s="27">
        <v>36540</v>
      </c>
      <c r="AT127" s="27">
        <v>41440</v>
      </c>
      <c r="AU127" s="29">
        <f t="shared" si="111"/>
        <v>43543.917839999696</v>
      </c>
      <c r="AV127" s="29">
        <f t="shared" ref="AV127:BS127" si="120">AU127*(1+$D127)</f>
        <v>45754.652047698939</v>
      </c>
      <c r="AW127" s="29">
        <f t="shared" si="120"/>
        <v>48077.625713387468</v>
      </c>
      <c r="AX127" s="29">
        <f t="shared" si="120"/>
        <v>50518.537258832068</v>
      </c>
      <c r="AY127" s="29">
        <f t="shared" si="120"/>
        <v>53083.374415915714</v>
      </c>
      <c r="AZ127" s="29">
        <f t="shared" si="120"/>
        <v>55778.428914975288</v>
      </c>
      <c r="BA127" s="29">
        <f t="shared" si="120"/>
        <v>58610.311918869389</v>
      </c>
      <c r="BB127" s="29">
        <f t="shared" si="120"/>
        <v>61585.970240637158</v>
      </c>
      <c r="BC127" s="29">
        <f t="shared" si="120"/>
        <v>64712.703384531153</v>
      </c>
      <c r="BD127" s="29">
        <f t="shared" si="120"/>
        <v>67998.181452227189</v>
      </c>
      <c r="BE127" s="29">
        <f t="shared" si="120"/>
        <v>71450.463958136388</v>
      </c>
      <c r="BF127" s="29">
        <f t="shared" si="120"/>
        <v>75078.019599974679</v>
      </c>
      <c r="BG127" s="29">
        <f t="shared" si="120"/>
        <v>78889.747033088424</v>
      </c>
      <c r="BH127" s="29">
        <f t="shared" si="120"/>
        <v>82894.996699497162</v>
      </c>
      <c r="BI127" s="29">
        <f t="shared" si="120"/>
        <v>87103.593765201513</v>
      </c>
      <c r="BJ127" s="29">
        <f t="shared" si="120"/>
        <v>91525.862222023279</v>
      </c>
      <c r="BK127" s="29">
        <f t="shared" si="120"/>
        <v>96172.650213101209</v>
      </c>
      <c r="BL127" s="29">
        <f t="shared" si="120"/>
        <v>101055.35664416768</v>
      </c>
      <c r="BM127" s="29">
        <f t="shared" si="120"/>
        <v>106185.95914588575</v>
      </c>
      <c r="BN127" s="29">
        <f t="shared" si="120"/>
        <v>111577.0434558401</v>
      </c>
      <c r="BO127" s="29">
        <f t="shared" si="120"/>
        <v>117241.83429225815</v>
      </c>
      <c r="BP127" s="29">
        <f t="shared" si="120"/>
        <v>123194.22779519662</v>
      </c>
      <c r="BQ127" s="29">
        <f t="shared" si="120"/>
        <v>129448.82561477435</v>
      </c>
      <c r="BR127" s="29">
        <f t="shared" si="120"/>
        <v>136020.97073007197</v>
      </c>
      <c r="BS127" s="29">
        <f t="shared" si="120"/>
        <v>142926.7850865651</v>
      </c>
    </row>
    <row r="128" spans="1:71" x14ac:dyDescent="0.2">
      <c r="A128" s="2" t="s">
        <v>471</v>
      </c>
      <c r="B128" s="2" t="s">
        <v>472</v>
      </c>
      <c r="C128" s="11" t="s">
        <v>82</v>
      </c>
      <c r="D128" s="26">
        <f>'Growth calculation'!G129</f>
        <v>5.961370175415337E-2</v>
      </c>
      <c r="E128" s="27">
        <v>9710</v>
      </c>
      <c r="F128" s="12">
        <v>2025</v>
      </c>
      <c r="G128" s="2" t="s">
        <v>162</v>
      </c>
      <c r="H128" s="27">
        <v>2060</v>
      </c>
      <c r="I128" s="27">
        <v>2270</v>
      </c>
      <c r="J128" s="27">
        <v>2170</v>
      </c>
      <c r="K128" s="27">
        <v>2210</v>
      </c>
      <c r="L128" s="27">
        <v>2240</v>
      </c>
      <c r="M128" s="27">
        <v>2500</v>
      </c>
      <c r="N128" s="27">
        <v>2690</v>
      </c>
      <c r="O128" s="27">
        <v>2890</v>
      </c>
      <c r="P128" s="27">
        <v>3210</v>
      </c>
      <c r="Q128" s="27">
        <v>2790</v>
      </c>
      <c r="R128" s="27">
        <v>2630</v>
      </c>
      <c r="S128" s="27">
        <v>2690</v>
      </c>
      <c r="T128" s="27">
        <v>2810</v>
      </c>
      <c r="U128" s="27">
        <v>2940</v>
      </c>
      <c r="V128" s="27">
        <v>3100</v>
      </c>
      <c r="W128" s="27">
        <v>3100</v>
      </c>
      <c r="X128" s="27">
        <v>3200</v>
      </c>
      <c r="Y128" s="27">
        <v>3400</v>
      </c>
      <c r="Z128" s="27">
        <v>3610</v>
      </c>
      <c r="AA128" s="27">
        <v>3540</v>
      </c>
      <c r="AB128" s="27">
        <v>3730</v>
      </c>
      <c r="AC128" s="27">
        <v>3630</v>
      </c>
      <c r="AD128" s="27">
        <v>3730</v>
      </c>
      <c r="AE128" s="27">
        <v>3820</v>
      </c>
      <c r="AF128" s="27">
        <v>3860</v>
      </c>
      <c r="AG128" s="27">
        <v>3860</v>
      </c>
      <c r="AH128" s="27">
        <v>4350</v>
      </c>
      <c r="AI128" s="27">
        <v>4560</v>
      </c>
      <c r="AJ128" s="27">
        <v>4980</v>
      </c>
      <c r="AK128" s="27">
        <v>5060</v>
      </c>
      <c r="AL128" s="27">
        <v>5310</v>
      </c>
      <c r="AM128" s="27">
        <v>6040</v>
      </c>
      <c r="AN128" s="27">
        <v>6770</v>
      </c>
      <c r="AO128" s="27">
        <v>6610</v>
      </c>
      <c r="AP128" s="27">
        <v>6720</v>
      </c>
      <c r="AQ128" s="27">
        <v>7580</v>
      </c>
      <c r="AR128" s="27">
        <v>7960</v>
      </c>
      <c r="AS128" s="27">
        <v>8510</v>
      </c>
      <c r="AT128" s="27">
        <v>9710</v>
      </c>
      <c r="AU128" s="29">
        <f t="shared" si="111"/>
        <v>10288.84904403283</v>
      </c>
      <c r="AV128" s="29">
        <f t="shared" ref="AV128:BS128" si="121">AU128*(1+$D128)</f>
        <v>10902.205422337309</v>
      </c>
      <c r="AW128" s="29">
        <f t="shared" si="121"/>
        <v>11552.126244847039</v>
      </c>
      <c r="AX128" s="29">
        <f t="shared" si="121"/>
        <v>12240.791253433677</v>
      </c>
      <c r="AY128" s="29">
        <f t="shared" si="121"/>
        <v>12970.510132450721</v>
      </c>
      <c r="AZ128" s="29">
        <f t="shared" si="121"/>
        <v>13743.730255085862</v>
      </c>
      <c r="BA128" s="29">
        <f t="shared" si="121"/>
        <v>14563.044891502084</v>
      </c>
      <c r="BB128" s="29">
        <f t="shared" si="121"/>
        <v>15431.201906296435</v>
      </c>
      <c r="BC128" s="29">
        <f t="shared" si="121"/>
        <v>16351.112974446514</v>
      </c>
      <c r="BD128" s="29">
        <f t="shared" si="121"/>
        <v>17325.863346653638</v>
      </c>
      <c r="BE128" s="29">
        <f t="shared" si="121"/>
        <v>18358.722196834264</v>
      </c>
      <c r="BF128" s="29">
        <f t="shared" si="121"/>
        <v>19453.153586463697</v>
      </c>
      <c r="BG128" s="29">
        <f t="shared" si="121"/>
        <v>20612.828082544882</v>
      </c>
      <c r="BH128" s="29">
        <f t="shared" si="121"/>
        <v>21841.63506816735</v>
      </c>
      <c r="BI128" s="29">
        <f t="shared" si="121"/>
        <v>23143.695786944136</v>
      </c>
      <c r="BJ128" s="29">
        <f t="shared" si="121"/>
        <v>24523.377165075879</v>
      </c>
      <c r="BK128" s="29">
        <f t="shared" si="121"/>
        <v>25985.306457399329</v>
      </c>
      <c r="BL128" s="29">
        <f t="shared" si="121"/>
        <v>27534.386766541007</v>
      </c>
      <c r="BM128" s="29">
        <f t="shared" si="121"/>
        <v>29175.813487225088</v>
      </c>
      <c r="BN128" s="29">
        <f t="shared" si="121"/>
        <v>30915.091730887329</v>
      </c>
      <c r="BO128" s="29">
        <f t="shared" si="121"/>
        <v>32758.054789034741</v>
      </c>
      <c r="BP128" s="29">
        <f t="shared" si="121"/>
        <v>34710.883697274476</v>
      </c>
      <c r="BQ128" s="29">
        <f t="shared" si="121"/>
        <v>36780.127965626903</v>
      </c>
      <c r="BR128" s="29">
        <f t="shared" si="121"/>
        <v>38972.72754464938</v>
      </c>
      <c r="BS128" s="29">
        <f t="shared" si="121"/>
        <v>41296.036101041987</v>
      </c>
    </row>
    <row r="129" spans="1:71" x14ac:dyDescent="0.2">
      <c r="A129" s="2" t="s">
        <v>473</v>
      </c>
      <c r="B129" s="2" t="s">
        <v>474</v>
      </c>
      <c r="C129" s="11" t="s">
        <v>210</v>
      </c>
      <c r="D129" s="26">
        <f>'Growth calculation'!G130</f>
        <v>3.5601444369216861E-2</v>
      </c>
      <c r="E129" s="27">
        <v>2210</v>
      </c>
      <c r="F129" s="12">
        <v>2025</v>
      </c>
      <c r="G129" s="2" t="s">
        <v>162</v>
      </c>
      <c r="H129" s="27">
        <v>690</v>
      </c>
      <c r="I129" s="27">
        <v>770</v>
      </c>
      <c r="J129" s="27">
        <v>800</v>
      </c>
      <c r="K129" s="27">
        <v>760</v>
      </c>
      <c r="L129" s="27">
        <v>840</v>
      </c>
      <c r="M129" s="27">
        <v>940</v>
      </c>
      <c r="N129" s="27">
        <v>980</v>
      </c>
      <c r="O129" s="27">
        <v>870</v>
      </c>
      <c r="P129" s="27">
        <v>900</v>
      </c>
      <c r="Q129" s="27">
        <v>970</v>
      </c>
      <c r="R129" s="27">
        <v>880</v>
      </c>
      <c r="S129" s="27">
        <v>840</v>
      </c>
      <c r="T129" s="27">
        <v>820</v>
      </c>
      <c r="U129" s="27">
        <v>730</v>
      </c>
      <c r="V129" s="27">
        <v>660</v>
      </c>
      <c r="W129" s="27">
        <v>660</v>
      </c>
      <c r="X129" s="27">
        <v>730</v>
      </c>
      <c r="Y129" s="27">
        <v>820</v>
      </c>
      <c r="Z129" s="27">
        <v>960</v>
      </c>
      <c r="AA129" s="27">
        <v>1180</v>
      </c>
      <c r="AB129" s="27">
        <v>1260</v>
      </c>
      <c r="AC129" s="27">
        <v>1430</v>
      </c>
      <c r="AD129" s="27">
        <v>1500</v>
      </c>
      <c r="AE129" s="27">
        <v>1550</v>
      </c>
      <c r="AF129" s="27">
        <v>1640</v>
      </c>
      <c r="AG129" s="27">
        <v>1800</v>
      </c>
      <c r="AH129" s="27">
        <v>1890</v>
      </c>
      <c r="AI129" s="27">
        <v>1790</v>
      </c>
      <c r="AJ129" s="27">
        <v>1680</v>
      </c>
      <c r="AK129" s="27">
        <v>1550</v>
      </c>
      <c r="AL129" s="27">
        <v>1560</v>
      </c>
      <c r="AM129" s="27">
        <v>1680</v>
      </c>
      <c r="AN129" s="27">
        <v>1720</v>
      </c>
      <c r="AO129" s="27">
        <v>1720</v>
      </c>
      <c r="AP129" s="27">
        <v>1810</v>
      </c>
      <c r="AQ129" s="27">
        <v>2010</v>
      </c>
      <c r="AR129" s="27">
        <v>2140</v>
      </c>
      <c r="AS129" s="27">
        <v>2110</v>
      </c>
      <c r="AT129" s="27">
        <v>2210</v>
      </c>
      <c r="AU129" s="29">
        <f t="shared" si="111"/>
        <v>2288.679192055969</v>
      </c>
      <c r="AV129" s="29">
        <f t="shared" ref="AV129:BS129" si="122">AU129*(1+$D129)</f>
        <v>2370.1594769909334</v>
      </c>
      <c r="AW129" s="29">
        <f t="shared" si="122"/>
        <v>2454.5405777571982</v>
      </c>
      <c r="AX129" s="29">
        <f t="shared" si="122"/>
        <v>2541.9257675882063</v>
      </c>
      <c r="AY129" s="29">
        <f t="shared" si="122"/>
        <v>2632.4219963936766</v>
      </c>
      <c r="AZ129" s="29">
        <f t="shared" si="122"/>
        <v>2726.1400216545885</v>
      </c>
      <c r="BA129" s="29">
        <f t="shared" si="122"/>
        <v>2823.1945439782198</v>
      </c>
      <c r="BB129" s="29">
        <f t="shared" si="122"/>
        <v>2923.7043474791367</v>
      </c>
      <c r="BC129" s="29">
        <f t="shared" si="122"/>
        <v>3027.7924451579524</v>
      </c>
      <c r="BD129" s="29">
        <f t="shared" si="122"/>
        <v>3135.5862294557783</v>
      </c>
      <c r="BE129" s="29">
        <f t="shared" si="122"/>
        <v>3247.2176281686302</v>
      </c>
      <c r="BF129" s="29">
        <f t="shared" si="122"/>
        <v>3362.8232659126156</v>
      </c>
      <c r="BG129" s="29">
        <f t="shared" si="122"/>
        <v>3482.5446313375114</v>
      </c>
      <c r="BH129" s="29">
        <f t="shared" si="122"/>
        <v>3606.5282502933883</v>
      </c>
      <c r="BI129" s="29">
        <f t="shared" si="122"/>
        <v>3734.9258651622172</v>
      </c>
      <c r="BJ129" s="29">
        <f t="shared" si="122"/>
        <v>3867.8946205739385</v>
      </c>
      <c r="BK129" s="29">
        <f t="shared" si="122"/>
        <v>4005.5972557342943</v>
      </c>
      <c r="BL129" s="29">
        <f t="shared" si="122"/>
        <v>4148.2023035998063</v>
      </c>
      <c r="BM129" s="29">
        <f t="shared" si="122"/>
        <v>4295.8842971436716</v>
      </c>
      <c r="BN129" s="29">
        <f t="shared" si="122"/>
        <v>4448.8239829650238</v>
      </c>
      <c r="BO129" s="29">
        <f t="shared" si="122"/>
        <v>4607.20854250299</v>
      </c>
      <c r="BP129" s="29">
        <f t="shared" si="122"/>
        <v>4771.23182112629</v>
      </c>
      <c r="BQ129" s="29">
        <f t="shared" si="122"/>
        <v>4941.0945653787539</v>
      </c>
      <c r="BR129" s="29">
        <f t="shared" si="122"/>
        <v>5117.0046686711248</v>
      </c>
      <c r="BS129" s="29">
        <f t="shared" si="122"/>
        <v>5299.1774257198422</v>
      </c>
    </row>
    <row r="130" spans="1:71" x14ac:dyDescent="0.2">
      <c r="A130" s="2" t="s">
        <v>475</v>
      </c>
      <c r="B130" s="2" t="s">
        <v>476</v>
      </c>
      <c r="C130" s="11" t="s">
        <v>82</v>
      </c>
      <c r="D130" s="26">
        <f>'Growth calculation'!G131</f>
        <v>3.8699850181207585E-2</v>
      </c>
      <c r="E130" s="27">
        <v>14040</v>
      </c>
      <c r="F130" s="12">
        <v>2025</v>
      </c>
      <c r="G130" s="2" t="s">
        <v>162</v>
      </c>
      <c r="H130" s="27">
        <v>1640</v>
      </c>
      <c r="I130" s="27">
        <v>2090</v>
      </c>
      <c r="J130" s="27">
        <v>2250</v>
      </c>
      <c r="K130" s="27">
        <v>2460</v>
      </c>
      <c r="L130" s="27">
        <v>2650</v>
      </c>
      <c r="M130" s="27">
        <v>3030</v>
      </c>
      <c r="N130" s="27">
        <v>3160</v>
      </c>
      <c r="O130" s="27">
        <v>3280</v>
      </c>
      <c r="P130" s="27">
        <v>3520</v>
      </c>
      <c r="Q130" s="27">
        <v>3840</v>
      </c>
      <c r="R130" s="27">
        <v>3950</v>
      </c>
      <c r="S130" s="27">
        <v>3830</v>
      </c>
      <c r="T130" s="27">
        <v>3710</v>
      </c>
      <c r="U130" s="27">
        <v>3960</v>
      </c>
      <c r="V130" s="27">
        <v>4030</v>
      </c>
      <c r="W130" s="27">
        <v>4010</v>
      </c>
      <c r="X130" s="27">
        <v>4470</v>
      </c>
      <c r="Y130" s="27">
        <v>5240</v>
      </c>
      <c r="Z130" s="27">
        <v>5670</v>
      </c>
      <c r="AA130" s="27">
        <v>5910</v>
      </c>
      <c r="AB130" s="27">
        <v>6460</v>
      </c>
      <c r="AC130" s="27">
        <v>7390</v>
      </c>
      <c r="AD130" s="27">
        <v>7730</v>
      </c>
      <c r="AE130" s="27">
        <v>8210</v>
      </c>
      <c r="AF130" s="27">
        <v>8530</v>
      </c>
      <c r="AG130" s="27">
        <v>9700</v>
      </c>
      <c r="AH130" s="27">
        <v>10360</v>
      </c>
      <c r="AI130" s="27">
        <v>10720</v>
      </c>
      <c r="AJ130" s="27">
        <v>10660</v>
      </c>
      <c r="AK130" s="27">
        <v>10650</v>
      </c>
      <c r="AL130" s="27">
        <v>11020</v>
      </c>
      <c r="AM130" s="27">
        <v>12190</v>
      </c>
      <c r="AN130" s="27">
        <v>12710</v>
      </c>
      <c r="AO130" s="27">
        <v>10780</v>
      </c>
      <c r="AP130" s="27">
        <v>10900</v>
      </c>
      <c r="AQ130" s="27">
        <v>11810</v>
      </c>
      <c r="AR130" s="27">
        <v>12530</v>
      </c>
      <c r="AS130" s="27">
        <v>12960</v>
      </c>
      <c r="AT130" s="27">
        <v>14040</v>
      </c>
      <c r="AU130" s="29">
        <f t="shared" si="111"/>
        <v>14583.345896544153</v>
      </c>
      <c r="AV130" s="29">
        <f t="shared" ref="AV130:BS130" si="123">AU130*(1+$D130)</f>
        <v>15147.719197881139</v>
      </c>
      <c r="AW130" s="29">
        <f t="shared" si="123"/>
        <v>15733.933661426139</v>
      </c>
      <c r="AX130" s="29">
        <f t="shared" si="123"/>
        <v>16342.834536884387</v>
      </c>
      <c r="AY130" s="29">
        <f t="shared" si="123"/>
        <v>16975.299784998075</v>
      </c>
      <c r="AZ130" s="29">
        <f t="shared" si="123"/>
        <v>17632.241343458583</v>
      </c>
      <c r="BA130" s="29">
        <f t="shared" si="123"/>
        <v>18314.606441809323</v>
      </c>
      <c r="BB130" s="29">
        <f t="shared" si="123"/>
        <v>19023.378967235119</v>
      </c>
      <c r="BC130" s="29">
        <f t="shared" si="123"/>
        <v>19759.580883207451</v>
      </c>
      <c r="BD130" s="29">
        <f t="shared" si="123"/>
        <v>20524.273703031031</v>
      </c>
      <c r="BE130" s="29">
        <f t="shared" si="123"/>
        <v>21318.560020416429</v>
      </c>
      <c r="BF130" s="29">
        <f t="shared" si="123"/>
        <v>22143.585099285625</v>
      </c>
      <c r="BG130" s="29">
        <f t="shared" si="123"/>
        <v>23000.538525102798</v>
      </c>
      <c r="BH130" s="29">
        <f t="shared" si="123"/>
        <v>23890.655920111367</v>
      </c>
      <c r="BI130" s="29">
        <f t="shared" si="123"/>
        <v>24815.220724950454</v>
      </c>
      <c r="BJ130" s="29">
        <f t="shared" si="123"/>
        <v>25775.566049219629</v>
      </c>
      <c r="BK130" s="29">
        <f t="shared" si="123"/>
        <v>26773.076593660247</v>
      </c>
      <c r="BL130" s="29">
        <f t="shared" si="123"/>
        <v>27809.190646724892</v>
      </c>
      <c r="BM130" s="29">
        <f t="shared" si="123"/>
        <v>28885.402158413781</v>
      </c>
      <c r="BN130" s="29">
        <f t="shared" si="123"/>
        <v>30003.262894368319</v>
      </c>
      <c r="BO130" s="29">
        <f t="shared" si="123"/>
        <v>31164.384673327753</v>
      </c>
      <c r="BP130" s="29">
        <f t="shared" si="123"/>
        <v>32370.441691175056</v>
      </c>
      <c r="BQ130" s="29">
        <f t="shared" si="123"/>
        <v>33623.172934923045</v>
      </c>
      <c r="BR130" s="29">
        <f t="shared" si="123"/>
        <v>34924.384690121398</v>
      </c>
      <c r="BS130" s="29">
        <f t="shared" si="123"/>
        <v>36275.953145299951</v>
      </c>
    </row>
    <row r="131" spans="1:71" x14ac:dyDescent="0.2">
      <c r="A131" s="2" t="s">
        <v>477</v>
      </c>
      <c r="B131" s="2" t="s">
        <v>478</v>
      </c>
      <c r="C131" s="11" t="s">
        <v>82</v>
      </c>
      <c r="D131" s="26">
        <f>'Growth calculation'!G132</f>
        <v>4.7800468312157007E-2</v>
      </c>
      <c r="E131" s="27">
        <v>13730</v>
      </c>
      <c r="F131" s="12">
        <v>2025</v>
      </c>
      <c r="G131" s="2" t="s">
        <v>162</v>
      </c>
      <c r="H131" s="27">
        <v>2070</v>
      </c>
      <c r="I131" s="27">
        <v>2120</v>
      </c>
      <c r="J131" s="27">
        <v>2400</v>
      </c>
      <c r="K131" s="27">
        <v>2820</v>
      </c>
      <c r="L131" s="27">
        <v>3280</v>
      </c>
      <c r="M131" s="27">
        <v>3810</v>
      </c>
      <c r="N131" s="27">
        <v>4640</v>
      </c>
      <c r="O131" s="27">
        <v>5540</v>
      </c>
      <c r="P131" s="27">
        <v>5110</v>
      </c>
      <c r="Q131" s="27">
        <v>4900</v>
      </c>
      <c r="R131" s="27">
        <v>4930</v>
      </c>
      <c r="S131" s="27">
        <v>5340</v>
      </c>
      <c r="T131" s="27">
        <v>5850</v>
      </c>
      <c r="U131" s="27">
        <v>6570</v>
      </c>
      <c r="V131" s="27">
        <v>7100</v>
      </c>
      <c r="W131" s="27">
        <v>7490</v>
      </c>
      <c r="X131" s="27">
        <v>7780</v>
      </c>
      <c r="Y131" s="27">
        <v>8240</v>
      </c>
      <c r="Z131" s="27">
        <v>8490</v>
      </c>
      <c r="AA131" s="27">
        <v>9140</v>
      </c>
      <c r="AB131" s="27">
        <v>9720</v>
      </c>
      <c r="AC131" s="27">
        <v>10260</v>
      </c>
      <c r="AD131" s="27">
        <v>9230</v>
      </c>
      <c r="AE131" s="27">
        <v>9470</v>
      </c>
      <c r="AF131" s="27">
        <v>9760</v>
      </c>
      <c r="AG131" s="27">
        <v>10500</v>
      </c>
      <c r="AH131" s="27">
        <v>10710</v>
      </c>
      <c r="AI131" s="27">
        <v>10950</v>
      </c>
      <c r="AJ131" s="27">
        <v>10580</v>
      </c>
      <c r="AK131" s="27">
        <v>9740</v>
      </c>
      <c r="AL131" s="27">
        <v>9270</v>
      </c>
      <c r="AM131" s="27">
        <v>9560</v>
      </c>
      <c r="AN131" s="27">
        <v>9860</v>
      </c>
      <c r="AO131" s="27">
        <v>8920</v>
      </c>
      <c r="AP131" s="27">
        <v>9880</v>
      </c>
      <c r="AQ131" s="27">
        <v>10730</v>
      </c>
      <c r="AR131" s="27">
        <v>11990</v>
      </c>
      <c r="AS131" s="27">
        <v>12760</v>
      </c>
      <c r="AT131" s="27">
        <v>13730</v>
      </c>
      <c r="AU131" s="29">
        <f t="shared" si="111"/>
        <v>14386.300429925917</v>
      </c>
      <c r="AV131" s="29">
        <f t="shared" ref="AV131:BS131" si="124">AU131*(1+$D131)</f>
        <v>15073.972327755764</v>
      </c>
      <c r="AW131" s="29">
        <f t="shared" si="124"/>
        <v>15794.515264346986</v>
      </c>
      <c r="AX131" s="29">
        <f t="shared" si="124"/>
        <v>16549.500490746286</v>
      </c>
      <c r="AY131" s="29">
        <f t="shared" si="124"/>
        <v>17340.574364536234</v>
      </c>
      <c r="AZ131" s="29">
        <f t="shared" si="124"/>
        <v>18169.461939962854</v>
      </c>
      <c r="BA131" s="29">
        <f t="shared" si="124"/>
        <v>19037.970729672994</v>
      </c>
      <c r="BB131" s="29">
        <f t="shared" si="124"/>
        <v>19947.994646264502</v>
      </c>
      <c r="BC131" s="29">
        <f t="shared" si="124"/>
        <v>20901.51813224435</v>
      </c>
      <c r="BD131" s="29">
        <f t="shared" si="124"/>
        <v>21900.620487400673</v>
      </c>
      <c r="BE131" s="29">
        <f t="shared" si="124"/>
        <v>22947.480403025249</v>
      </c>
      <c r="BF131" s="29">
        <f t="shared" si="124"/>
        <v>24044.380712873903</v>
      </c>
      <c r="BG131" s="29">
        <f t="shared" si="124"/>
        <v>25193.713371225072</v>
      </c>
      <c r="BH131" s="29">
        <f t="shared" si="124"/>
        <v>26397.984668891884</v>
      </c>
      <c r="BI131" s="29">
        <f t="shared" si="124"/>
        <v>27659.82069856206</v>
      </c>
      <c r="BJ131" s="29">
        <f t="shared" si="124"/>
        <v>28981.973081383625</v>
      </c>
      <c r="BK131" s="29">
        <f t="shared" si="124"/>
        <v>30367.324967284094</v>
      </c>
      <c r="BL131" s="29">
        <f t="shared" si="124"/>
        <v>31818.897322107736</v>
      </c>
      <c r="BM131" s="29">
        <f t="shared" si="124"/>
        <v>33339.855515280928</v>
      </c>
      <c r="BN131" s="29">
        <f t="shared" si="124"/>
        <v>34933.516222371007</v>
      </c>
      <c r="BO131" s="29">
        <f t="shared" si="124"/>
        <v>36603.35465759068</v>
      </c>
      <c r="BP131" s="29">
        <f t="shared" si="124"/>
        <v>38353.012152019495</v>
      </c>
      <c r="BQ131" s="29">
        <f t="shared" si="124"/>
        <v>40186.304094067877</v>
      </c>
      <c r="BR131" s="29">
        <f t="shared" si="124"/>
        <v>42107.22824949908</v>
      </c>
      <c r="BS131" s="29">
        <f t="shared" si="124"/>
        <v>44119.973479152024</v>
      </c>
    </row>
    <row r="132" spans="1:71" x14ac:dyDescent="0.2">
      <c r="A132" s="2" t="s">
        <v>479</v>
      </c>
      <c r="B132" s="2" t="s">
        <v>480</v>
      </c>
      <c r="C132" s="11" t="s">
        <v>82</v>
      </c>
      <c r="D132" s="26">
        <f>'Growth calculation'!G133</f>
        <v>3.0172888827662225E-2</v>
      </c>
      <c r="E132" s="27">
        <v>4760</v>
      </c>
      <c r="F132" s="12">
        <v>2025</v>
      </c>
      <c r="G132" s="2" t="s">
        <v>162</v>
      </c>
      <c r="H132" s="27">
        <v>1470</v>
      </c>
      <c r="I132" s="27">
        <v>1610</v>
      </c>
      <c r="J132" s="27">
        <v>1590</v>
      </c>
      <c r="K132" s="27">
        <v>1700</v>
      </c>
      <c r="L132" s="27">
        <v>1830</v>
      </c>
      <c r="M132" s="27">
        <v>1900</v>
      </c>
      <c r="N132" s="27">
        <v>2060</v>
      </c>
      <c r="O132" s="27">
        <v>2070</v>
      </c>
      <c r="P132" s="27">
        <v>2140</v>
      </c>
      <c r="Q132" s="27">
        <v>2080</v>
      </c>
      <c r="R132" s="27">
        <v>1860</v>
      </c>
      <c r="S132" s="27">
        <v>1870</v>
      </c>
      <c r="T132" s="27">
        <v>1950</v>
      </c>
      <c r="U132" s="27">
        <v>2090</v>
      </c>
      <c r="V132" s="27">
        <v>2120</v>
      </c>
      <c r="W132" s="27">
        <v>2120</v>
      </c>
      <c r="X132" s="27">
        <v>2220</v>
      </c>
      <c r="Y132" s="27">
        <v>2280</v>
      </c>
      <c r="Z132" s="27">
        <v>2400</v>
      </c>
      <c r="AA132" s="27">
        <v>2400</v>
      </c>
      <c r="AB132" s="27">
        <v>2410</v>
      </c>
      <c r="AC132" s="27">
        <v>2430</v>
      </c>
      <c r="AD132" s="27">
        <v>2660</v>
      </c>
      <c r="AE132" s="27">
        <v>2740</v>
      </c>
      <c r="AF132" s="27">
        <v>2920</v>
      </c>
      <c r="AG132" s="27">
        <v>3030</v>
      </c>
      <c r="AH132" s="27">
        <v>3090</v>
      </c>
      <c r="AI132" s="27">
        <v>3090</v>
      </c>
      <c r="AJ132" s="27">
        <v>3460</v>
      </c>
      <c r="AK132" s="27">
        <v>3400</v>
      </c>
      <c r="AL132" s="27">
        <v>3430</v>
      </c>
      <c r="AM132" s="27">
        <v>3420</v>
      </c>
      <c r="AN132" s="27">
        <v>3850</v>
      </c>
      <c r="AO132" s="27">
        <v>4070</v>
      </c>
      <c r="AP132" s="27">
        <v>4090</v>
      </c>
      <c r="AQ132" s="27">
        <v>4020</v>
      </c>
      <c r="AR132" s="27">
        <v>4270</v>
      </c>
      <c r="AS132" s="27">
        <v>4490</v>
      </c>
      <c r="AT132" s="27">
        <v>4760</v>
      </c>
      <c r="AU132" s="29">
        <f t="shared" si="111"/>
        <v>4903.622950819672</v>
      </c>
      <c r="AV132" s="29">
        <f t="shared" ref="AV132:BS132" si="125">AU132*(1+$D132)</f>
        <v>5051.5794209675269</v>
      </c>
      <c r="AW132" s="29">
        <f t="shared" si="125"/>
        <v>5204.0001652404862</v>
      </c>
      <c r="AX132" s="29">
        <f t="shared" si="125"/>
        <v>5361.0198836854233</v>
      </c>
      <c r="AY132" s="29">
        <f t="shared" si="125"/>
        <v>5522.7773406387505</v>
      </c>
      <c r="AZ132" s="29">
        <f t="shared" si="125"/>
        <v>5689.4154873577754</v>
      </c>
      <c r="BA132" s="29">
        <f t="shared" si="125"/>
        <v>5861.0815883522009</v>
      </c>
      <c r="BB132" s="29">
        <f t="shared" si="125"/>
        <v>6037.9273515274099</v>
      </c>
      <c r="BC132" s="29">
        <f t="shared" si="125"/>
        <v>6220.1090622545471</v>
      </c>
      <c r="BD132" s="29">
        <f t="shared" si="125"/>
        <v>6407.7877214858881</v>
      </c>
      <c r="BE132" s="29">
        <f t="shared" si="125"/>
        <v>6601.1291880375411</v>
      </c>
      <c r="BF132" s="29">
        <f t="shared" si="125"/>
        <v>6800.3043251652343</v>
      </c>
      <c r="BG132" s="29">
        <f t="shared" si="125"/>
        <v>7005.489151562716</v>
      </c>
      <c r="BH132" s="29">
        <f t="shared" si="125"/>
        <v>7216.8649969162116</v>
      </c>
      <c r="BI132" s="29">
        <f t="shared" si="125"/>
        <v>7434.6186621524112</v>
      </c>
      <c r="BJ132" s="29">
        <f t="shared" si="125"/>
        <v>7658.9425845215983</v>
      </c>
      <c r="BK132" s="29">
        <f t="shared" si="125"/>
        <v>7890.0350076618161</v>
      </c>
      <c r="BL132" s="29">
        <f t="shared" si="125"/>
        <v>8128.1001567943595</v>
      </c>
      <c r="BM132" s="29">
        <f t="shared" si="125"/>
        <v>8373.3484192054202</v>
      </c>
      <c r="BN132" s="29">
        <f t="shared" si="125"/>
        <v>8625.9965301733864</v>
      </c>
      <c r="BO132" s="29">
        <f t="shared" si="125"/>
        <v>8886.2677645061085</v>
      </c>
      <c r="BP132" s="29">
        <f t="shared" si="125"/>
        <v>9154.3921338573891</v>
      </c>
      <c r="BQ132" s="29">
        <f t="shared" si="125"/>
        <v>9430.6065899970945</v>
      </c>
      <c r="BR132" s="29">
        <f t="shared" si="125"/>
        <v>9715.1552342144951</v>
      </c>
      <c r="BS132" s="29">
        <f t="shared" si="125"/>
        <v>10008.28953303993</v>
      </c>
    </row>
    <row r="133" spans="1:71" x14ac:dyDescent="0.2">
      <c r="A133" s="2" t="s">
        <v>481</v>
      </c>
      <c r="B133" s="2" t="s">
        <v>482</v>
      </c>
      <c r="C133" s="11" t="s">
        <v>82</v>
      </c>
      <c r="D133" s="26">
        <f>'Growth calculation'!G134</f>
        <v>9.0712000000000001E-2</v>
      </c>
      <c r="E133" s="27">
        <v>8050</v>
      </c>
      <c r="F133" s="12">
        <v>2025</v>
      </c>
      <c r="G133" s="28" t="s">
        <v>483</v>
      </c>
      <c r="H133" s="27"/>
      <c r="I133" s="27"/>
      <c r="J133" s="27"/>
      <c r="K133" s="27"/>
      <c r="L133" s="27"/>
      <c r="M133" s="27">
        <v>790</v>
      </c>
      <c r="N133" s="27">
        <v>800</v>
      </c>
      <c r="O133" s="27">
        <v>570</v>
      </c>
      <c r="P133" s="27">
        <v>590</v>
      </c>
      <c r="Q133" s="27">
        <v>600</v>
      </c>
      <c r="R133" s="27">
        <v>630</v>
      </c>
      <c r="S133" s="27">
        <v>580</v>
      </c>
      <c r="T133" s="27">
        <v>510</v>
      </c>
      <c r="U133" s="27">
        <v>490</v>
      </c>
      <c r="V133" s="27">
        <v>500</v>
      </c>
      <c r="W133" s="27">
        <v>590</v>
      </c>
      <c r="X133" s="27">
        <v>710</v>
      </c>
      <c r="Y133" s="27">
        <v>910</v>
      </c>
      <c r="Z133" s="27">
        <v>1120</v>
      </c>
      <c r="AA133" s="27">
        <v>1280</v>
      </c>
      <c r="AB133" s="27">
        <v>1440</v>
      </c>
      <c r="AC133" s="27">
        <v>1870</v>
      </c>
      <c r="AD133" s="27">
        <v>1950</v>
      </c>
      <c r="AE133" s="27">
        <v>2380</v>
      </c>
      <c r="AF133" s="27">
        <v>2730</v>
      </c>
      <c r="AG133" s="27">
        <v>3140</v>
      </c>
      <c r="AH133" s="27">
        <v>3620</v>
      </c>
      <c r="AI133" s="27">
        <v>3730</v>
      </c>
      <c r="AJ133" s="27">
        <v>3290</v>
      </c>
      <c r="AK133" s="27">
        <v>3170</v>
      </c>
      <c r="AL133" s="27">
        <v>3300</v>
      </c>
      <c r="AM133" s="27">
        <v>3850</v>
      </c>
      <c r="AN133" s="27">
        <v>4490</v>
      </c>
      <c r="AO133" s="27">
        <v>4360</v>
      </c>
      <c r="AP133" s="27">
        <v>5270</v>
      </c>
      <c r="AQ133" s="27">
        <v>5540</v>
      </c>
      <c r="AR133" s="27">
        <v>6250</v>
      </c>
      <c r="AS133" s="27">
        <v>6890</v>
      </c>
      <c r="AT133" s="27">
        <v>8050</v>
      </c>
      <c r="AU133" s="29">
        <f t="shared" si="111"/>
        <v>8780.2315999999992</v>
      </c>
      <c r="AV133" s="29">
        <f t="shared" ref="AV133:BS133" si="126">AU133*(1+$D133)</f>
        <v>9576.703968899199</v>
      </c>
      <c r="AW133" s="29">
        <f t="shared" si="126"/>
        <v>10445.425939325982</v>
      </c>
      <c r="AX133" s="29">
        <f t="shared" si="126"/>
        <v>11392.95141713412</v>
      </c>
      <c r="AY133" s="29">
        <f t="shared" si="126"/>
        <v>12426.428826085188</v>
      </c>
      <c r="AZ133" s="29">
        <f t="shared" si="126"/>
        <v>13553.655037757026</v>
      </c>
      <c r="BA133" s="29">
        <f t="shared" si="126"/>
        <v>14783.134193542041</v>
      </c>
      <c r="BB133" s="29">
        <f t="shared" si="126"/>
        <v>16124.141862506625</v>
      </c>
      <c r="BC133" s="29">
        <f t="shared" si="126"/>
        <v>17586.795019138324</v>
      </c>
      <c r="BD133" s="29">
        <f t="shared" si="126"/>
        <v>19182.128368914397</v>
      </c>
      <c r="BE133" s="29">
        <f t="shared" si="126"/>
        <v>20922.177597515358</v>
      </c>
      <c r="BF133" s="29">
        <f t="shared" si="126"/>
        <v>22820.070171741168</v>
      </c>
      <c r="BG133" s="29">
        <f t="shared" si="126"/>
        <v>24890.124377160151</v>
      </c>
      <c r="BH133" s="29">
        <f t="shared" si="126"/>
        <v>27147.957339661101</v>
      </c>
      <c r="BI133" s="29">
        <f t="shared" si="126"/>
        <v>29610.602845856436</v>
      </c>
      <c r="BJ133" s="29">
        <f t="shared" si="126"/>
        <v>32296.639851209762</v>
      </c>
      <c r="BK133" s="29">
        <f t="shared" si="126"/>
        <v>35226.3326453927</v>
      </c>
      <c r="BL133" s="29">
        <f t="shared" si="126"/>
        <v>38421.783732321557</v>
      </c>
      <c r="BM133" s="29">
        <f t="shared" si="126"/>
        <v>41907.100578247904</v>
      </c>
      <c r="BN133" s="29">
        <f t="shared" si="126"/>
        <v>45708.577485901922</v>
      </c>
      <c r="BO133" s="29">
        <f t="shared" si="126"/>
        <v>49854.893966803051</v>
      </c>
      <c r="BP133" s="29">
        <f t="shared" si="126"/>
        <v>54377.331108319682</v>
      </c>
      <c r="BQ133" s="29">
        <f t="shared" si="126"/>
        <v>59310.007567817571</v>
      </c>
      <c r="BR133" s="29">
        <f t="shared" si="126"/>
        <v>64690.136974309433</v>
      </c>
      <c r="BS133" s="29">
        <f t="shared" si="126"/>
        <v>70558.30867952299</v>
      </c>
    </row>
    <row r="134" spans="1:71" x14ac:dyDescent="0.2">
      <c r="A134" s="2" t="s">
        <v>484</v>
      </c>
      <c r="B134" s="2" t="s">
        <v>485</v>
      </c>
      <c r="C134" s="11" t="s">
        <v>79</v>
      </c>
      <c r="G134" s="28" t="s">
        <v>204</v>
      </c>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row>
    <row r="135" spans="1:71" x14ac:dyDescent="0.2">
      <c r="A135" s="2" t="s">
        <v>486</v>
      </c>
      <c r="B135" s="2" t="s">
        <v>487</v>
      </c>
      <c r="C135" s="11" t="s">
        <v>82</v>
      </c>
      <c r="D135" s="26">
        <f>'Growth calculation'!G136</f>
        <v>7.2909341509380887E-2</v>
      </c>
      <c r="E135" s="27">
        <v>6210</v>
      </c>
      <c r="F135" s="12">
        <v>2025</v>
      </c>
      <c r="G135" s="2" t="s">
        <v>162</v>
      </c>
      <c r="H135" s="27">
        <v>1520</v>
      </c>
      <c r="I135" s="27">
        <v>1700</v>
      </c>
      <c r="J135" s="27">
        <v>1600</v>
      </c>
      <c r="K135" s="27">
        <v>1490</v>
      </c>
      <c r="L135" s="27">
        <v>1230</v>
      </c>
      <c r="M135" s="27">
        <v>830</v>
      </c>
      <c r="N135" s="27">
        <v>540</v>
      </c>
      <c r="O135" s="27">
        <v>440</v>
      </c>
      <c r="P135" s="27">
        <v>480</v>
      </c>
      <c r="Q135" s="27">
        <v>570</v>
      </c>
      <c r="R135" s="27">
        <v>590</v>
      </c>
      <c r="S135" s="27">
        <v>530</v>
      </c>
      <c r="T135" s="27">
        <v>480</v>
      </c>
      <c r="U135" s="27">
        <v>470</v>
      </c>
      <c r="V135" s="27">
        <v>480</v>
      </c>
      <c r="W135" s="27">
        <v>530</v>
      </c>
      <c r="X135" s="27">
        <v>610</v>
      </c>
      <c r="Y135" s="27">
        <v>760</v>
      </c>
      <c r="Z135" s="27">
        <v>890</v>
      </c>
      <c r="AA135" s="27">
        <v>1110</v>
      </c>
      <c r="AB135" s="27">
        <v>1400</v>
      </c>
      <c r="AC135" s="27">
        <v>1790</v>
      </c>
      <c r="AD135" s="27">
        <v>1780</v>
      </c>
      <c r="AE135" s="27">
        <v>1990</v>
      </c>
      <c r="AF135" s="27">
        <v>2570</v>
      </c>
      <c r="AG135" s="27">
        <v>3630</v>
      </c>
      <c r="AH135" s="27">
        <v>4310</v>
      </c>
      <c r="AI135" s="27">
        <v>4180</v>
      </c>
      <c r="AJ135" s="27">
        <v>3770</v>
      </c>
      <c r="AK135" s="27">
        <v>3460</v>
      </c>
      <c r="AL135" s="27">
        <v>3200</v>
      </c>
      <c r="AM135" s="27">
        <v>3650</v>
      </c>
      <c r="AN135" s="27">
        <v>3800</v>
      </c>
      <c r="AO135" s="27">
        <v>3690</v>
      </c>
      <c r="AP135" s="27">
        <v>3690</v>
      </c>
      <c r="AQ135" s="27">
        <v>4340</v>
      </c>
      <c r="AR135" s="27">
        <v>4870</v>
      </c>
      <c r="AS135" s="27">
        <v>5380</v>
      </c>
      <c r="AT135" s="27">
        <v>6210</v>
      </c>
      <c r="AU135" s="29">
        <f t="shared" ref="AU135:AU143" si="127">$E135*(1+$D135)</f>
        <v>6662.7670107732556</v>
      </c>
      <c r="AV135" s="29">
        <f t="shared" ref="AV135:BS135" si="128">AU135*(1+$D135)</f>
        <v>7148.5449661591601</v>
      </c>
      <c r="AW135" s="29">
        <f t="shared" si="128"/>
        <v>7669.740672392024</v>
      </c>
      <c r="AX135" s="29">
        <f t="shared" si="128"/>
        <v>8228.9364143638431</v>
      </c>
      <c r="AY135" s="29">
        <f t="shared" si="128"/>
        <v>8828.9027496576764</v>
      </c>
      <c r="AZ135" s="29">
        <f t="shared" si="128"/>
        <v>9472.612235385579</v>
      </c>
      <c r="BA135" s="29">
        <f t="shared" si="128"/>
        <v>10163.254155841247</v>
      </c>
      <c r="BB135" s="29">
        <f t="shared" si="128"/>
        <v>10904.25032393611</v>
      </c>
      <c r="BC135" s="29">
        <f t="shared" si="128"/>
        <v>11699.272034707745</v>
      </c>
      <c r="BD135" s="29">
        <f t="shared" si="128"/>
        <v>12552.258254897401</v>
      </c>
      <c r="BE135" s="29">
        <f t="shared" si="128"/>
        <v>13467.435138717661</v>
      </c>
      <c r="BF135" s="29">
        <f t="shared" si="128"/>
        <v>14449.336966501864</v>
      </c>
      <c r="BG135" s="29">
        <f t="shared" si="128"/>
        <v>15502.82860997667</v>
      </c>
      <c r="BH135" s="29">
        <f t="shared" si="128"/>
        <v>16633.129635462861</v>
      </c>
      <c r="BI135" s="29">
        <f t="shared" si="128"/>
        <v>17845.840164424626</v>
      </c>
      <c r="BJ135" s="29">
        <f t="shared" si="128"/>
        <v>19146.968619494488</v>
      </c>
      <c r="BK135" s="29">
        <f t="shared" si="128"/>
        <v>20542.96149344261</v>
      </c>
      <c r="BL135" s="29">
        <f t="shared" si="128"/>
        <v>22040.73528858208</v>
      </c>
      <c r="BM135" s="29">
        <f t="shared" si="128"/>
        <v>23647.710784855175</v>
      </c>
      <c r="BN135" s="29">
        <f t="shared" si="128"/>
        <v>25371.849806383252</v>
      </c>
      <c r="BO135" s="29">
        <f t="shared" si="128"/>
        <v>27221.694668641569</v>
      </c>
      <c r="BP135" s="29">
        <f t="shared" si="128"/>
        <v>29206.410501701648</v>
      </c>
      <c r="BQ135" s="29">
        <f t="shared" si="128"/>
        <v>31335.830659233383</v>
      </c>
      <c r="BR135" s="29">
        <f t="shared" si="128"/>
        <v>33620.505438247557</v>
      </c>
      <c r="BS135" s="29">
        <f t="shared" si="128"/>
        <v>36071.754350962743</v>
      </c>
    </row>
    <row r="136" spans="1:71" x14ac:dyDescent="0.2">
      <c r="A136" s="2" t="s">
        <v>488</v>
      </c>
      <c r="B136" s="2" t="s">
        <v>489</v>
      </c>
      <c r="C136" s="11" t="s">
        <v>82</v>
      </c>
      <c r="D136" s="26">
        <f>'Growth calculation'!G137</f>
        <v>9.0712000000000001E-2</v>
      </c>
      <c r="E136" s="27">
        <v>14150</v>
      </c>
      <c r="F136" s="12">
        <v>2025</v>
      </c>
      <c r="G136" s="28" t="s">
        <v>490</v>
      </c>
      <c r="H136" s="27"/>
      <c r="I136" s="27"/>
      <c r="J136" s="27"/>
      <c r="K136" s="27"/>
      <c r="L136" s="27"/>
      <c r="M136" s="27"/>
      <c r="N136" s="27"/>
      <c r="O136" s="27"/>
      <c r="P136" s="27"/>
      <c r="Q136" s="27"/>
      <c r="R136" s="27"/>
      <c r="S136" s="27"/>
      <c r="T136" s="27">
        <v>1360</v>
      </c>
      <c r="U136" s="27">
        <v>1510</v>
      </c>
      <c r="V136" s="27">
        <v>1710</v>
      </c>
      <c r="W136" s="27">
        <v>1970</v>
      </c>
      <c r="X136" s="27">
        <v>2440</v>
      </c>
      <c r="Y136" s="27">
        <v>3100</v>
      </c>
      <c r="Z136" s="27">
        <v>3660</v>
      </c>
      <c r="AA136" s="27">
        <v>4330</v>
      </c>
      <c r="AB136" s="27">
        <v>5130</v>
      </c>
      <c r="AC136" s="27">
        <v>6460</v>
      </c>
      <c r="AD136" s="27">
        <v>6730</v>
      </c>
      <c r="AE136" s="27">
        <v>6920</v>
      </c>
      <c r="AF136" s="27">
        <v>7240</v>
      </c>
      <c r="AG136" s="27">
        <v>6980</v>
      </c>
      <c r="AH136" s="27">
        <v>7260</v>
      </c>
      <c r="AI136" s="27">
        <v>7280</v>
      </c>
      <c r="AJ136" s="27">
        <v>7150</v>
      </c>
      <c r="AK136" s="27">
        <v>7020</v>
      </c>
      <c r="AL136" s="27">
        <v>7240</v>
      </c>
      <c r="AM136" s="27">
        <v>8250</v>
      </c>
      <c r="AN136" s="27">
        <v>8970</v>
      </c>
      <c r="AO136" s="27">
        <v>7780</v>
      </c>
      <c r="AP136" s="27">
        <v>9220</v>
      </c>
      <c r="AQ136" s="27">
        <v>10420</v>
      </c>
      <c r="AR136" s="27">
        <v>11560</v>
      </c>
      <c r="AS136" s="27">
        <v>12210</v>
      </c>
      <c r="AT136" s="27">
        <v>14150</v>
      </c>
      <c r="AU136" s="29">
        <f t="shared" si="127"/>
        <v>15433.574799999999</v>
      </c>
      <c r="AV136" s="29">
        <f t="shared" ref="AV136:BS136" si="129">AU136*(1+$D136)</f>
        <v>16833.585237257597</v>
      </c>
      <c r="AW136" s="29">
        <f t="shared" si="129"/>
        <v>18360.593421299705</v>
      </c>
      <c r="AX136" s="29">
        <f t="shared" si="129"/>
        <v>20026.119571732641</v>
      </c>
      <c r="AY136" s="29">
        <f t="shared" si="129"/>
        <v>21842.72893032365</v>
      </c>
      <c r="AZ136" s="29">
        <f t="shared" si="129"/>
        <v>23824.126557051168</v>
      </c>
      <c r="BA136" s="29">
        <f t="shared" si="129"/>
        <v>25985.260725294393</v>
      </c>
      <c r="BB136" s="29">
        <f t="shared" si="129"/>
        <v>28342.435696207296</v>
      </c>
      <c r="BC136" s="29">
        <f t="shared" si="129"/>
        <v>30913.434723081649</v>
      </c>
      <c r="BD136" s="29">
        <f t="shared" si="129"/>
        <v>33717.654213681832</v>
      </c>
      <c r="BE136" s="29">
        <f t="shared" si="129"/>
        <v>36776.250062713334</v>
      </c>
      <c r="BF136" s="29">
        <f t="shared" si="129"/>
        <v>40112.297258402185</v>
      </c>
      <c r="BG136" s="29">
        <f t="shared" si="129"/>
        <v>43750.963967306358</v>
      </c>
      <c r="BH136" s="29">
        <f t="shared" si="129"/>
        <v>47719.701410708651</v>
      </c>
      <c r="BI136" s="29">
        <f t="shared" si="129"/>
        <v>52048.450965076852</v>
      </c>
      <c r="BJ136" s="29">
        <f t="shared" si="129"/>
        <v>56769.870049020901</v>
      </c>
      <c r="BK136" s="29">
        <f t="shared" si="129"/>
        <v>61919.578500907679</v>
      </c>
      <c r="BL136" s="29">
        <f t="shared" si="129"/>
        <v>67536.427305882011</v>
      </c>
      <c r="BM136" s="29">
        <f t="shared" si="129"/>
        <v>73662.791699653171</v>
      </c>
      <c r="BN136" s="29">
        <f t="shared" si="129"/>
        <v>80344.890860312109</v>
      </c>
      <c r="BO136" s="29">
        <f t="shared" si="129"/>
        <v>87633.13660003274</v>
      </c>
      <c r="BP136" s="29">
        <f t="shared" si="129"/>
        <v>95582.513687294908</v>
      </c>
      <c r="BQ136" s="29">
        <f t="shared" si="129"/>
        <v>104252.99466889679</v>
      </c>
      <c r="BR136" s="29">
        <f t="shared" si="129"/>
        <v>113709.99232130175</v>
      </c>
      <c r="BS136" s="29">
        <f t="shared" si="129"/>
        <v>124024.85314475166</v>
      </c>
    </row>
    <row r="137" spans="1:71" x14ac:dyDescent="0.2">
      <c r="A137" s="2" t="s">
        <v>491</v>
      </c>
      <c r="B137" s="2" t="s">
        <v>492</v>
      </c>
      <c r="C137" s="11" t="s">
        <v>210</v>
      </c>
      <c r="D137" s="26">
        <f>'Growth calculation'!G138</f>
        <v>2.0452684089047768E-2</v>
      </c>
      <c r="E137" s="27">
        <v>4360</v>
      </c>
      <c r="F137" s="12">
        <v>2025</v>
      </c>
      <c r="G137" s="2" t="s">
        <v>162</v>
      </c>
      <c r="H137" s="27">
        <v>880</v>
      </c>
      <c r="I137" s="27">
        <v>1100</v>
      </c>
      <c r="J137" s="27">
        <v>1130</v>
      </c>
      <c r="K137" s="27">
        <v>1180</v>
      </c>
      <c r="L137" s="27">
        <v>1260</v>
      </c>
      <c r="M137" s="27">
        <v>1300</v>
      </c>
      <c r="N137" s="27">
        <v>1250</v>
      </c>
      <c r="O137" s="27">
        <v>1380</v>
      </c>
      <c r="P137" s="27">
        <v>1330</v>
      </c>
      <c r="Q137" s="27">
        <v>1550</v>
      </c>
      <c r="R137" s="27">
        <v>1490</v>
      </c>
      <c r="S137" s="27">
        <v>1540</v>
      </c>
      <c r="T137" s="27">
        <v>1550</v>
      </c>
      <c r="U137" s="27">
        <v>1580</v>
      </c>
      <c r="V137" s="27">
        <v>1580</v>
      </c>
      <c r="W137" s="27">
        <v>1550</v>
      </c>
      <c r="X137" s="27">
        <v>1740</v>
      </c>
      <c r="Y137" s="27">
        <v>2060</v>
      </c>
      <c r="Z137" s="27">
        <v>2300</v>
      </c>
      <c r="AA137" s="27">
        <v>2490</v>
      </c>
      <c r="AB137" s="27">
        <v>2630</v>
      </c>
      <c r="AC137" s="27">
        <v>2970</v>
      </c>
      <c r="AD137" s="27">
        <v>3150</v>
      </c>
      <c r="AE137" s="27">
        <v>3190</v>
      </c>
      <c r="AF137" s="27">
        <v>3260</v>
      </c>
      <c r="AG137" s="27">
        <v>3230</v>
      </c>
      <c r="AH137" s="27">
        <v>3350</v>
      </c>
      <c r="AI137" s="27">
        <v>3330</v>
      </c>
      <c r="AJ137" s="27">
        <v>3300</v>
      </c>
      <c r="AK137" s="27">
        <v>3150</v>
      </c>
      <c r="AL137" s="27">
        <v>3160</v>
      </c>
      <c r="AM137" s="27">
        <v>3380</v>
      </c>
      <c r="AN137" s="27">
        <v>3510</v>
      </c>
      <c r="AO137" s="27">
        <v>3260</v>
      </c>
      <c r="AP137" s="27">
        <v>3630</v>
      </c>
      <c r="AQ137" s="27">
        <v>3700</v>
      </c>
      <c r="AR137" s="27">
        <v>3780</v>
      </c>
      <c r="AS137" s="27">
        <v>3840</v>
      </c>
      <c r="AT137" s="27">
        <v>4360</v>
      </c>
      <c r="AU137" s="29">
        <f t="shared" si="127"/>
        <v>4449.1737026282481</v>
      </c>
      <c r="AV137" s="29">
        <f t="shared" ref="AV137:BS137" si="130">AU137*(1+$D137)</f>
        <v>4540.1712468254027</v>
      </c>
      <c r="AW137" s="29">
        <f t="shared" si="130"/>
        <v>4633.0299350469004</v>
      </c>
      <c r="AX137" s="29">
        <f t="shared" si="130"/>
        <v>4727.7878326835162</v>
      </c>
      <c r="AY137" s="29">
        <f t="shared" si="130"/>
        <v>4824.483783665436</v>
      </c>
      <c r="AZ137" s="29">
        <f t="shared" si="130"/>
        <v>4923.1574263854791</v>
      </c>
      <c r="BA137" s="29">
        <f t="shared" si="130"/>
        <v>5023.8492099479909</v>
      </c>
      <c r="BB137" s="29">
        <f t="shared" si="130"/>
        <v>5126.6004107500694</v>
      </c>
      <c r="BC137" s="29">
        <f t="shared" si="130"/>
        <v>5231.4531494019229</v>
      </c>
      <c r="BD137" s="29">
        <f t="shared" si="130"/>
        <v>5338.4504079932949</v>
      </c>
      <c r="BE137" s="29">
        <f t="shared" si="130"/>
        <v>5447.6360477130302</v>
      </c>
      <c r="BF137" s="29">
        <f t="shared" si="130"/>
        <v>5559.0548268290131</v>
      </c>
      <c r="BG137" s="29">
        <f t="shared" si="130"/>
        <v>5672.7524190358426</v>
      </c>
      <c r="BH137" s="29">
        <f t="shared" si="130"/>
        <v>5788.7754321777638</v>
      </c>
      <c r="BI137" s="29">
        <f t="shared" si="130"/>
        <v>5907.1714273545367</v>
      </c>
      <c r="BJ137" s="29">
        <f t="shared" si="130"/>
        <v>6027.9889384180688</v>
      </c>
      <c r="BK137" s="29">
        <f t="shared" si="130"/>
        <v>6151.2774918678078</v>
      </c>
      <c r="BL137" s="29">
        <f t="shared" si="130"/>
        <v>6277.0876271530506</v>
      </c>
      <c r="BM137" s="29">
        <f t="shared" si="130"/>
        <v>6405.4709173904821</v>
      </c>
      <c r="BN137" s="29">
        <f t="shared" si="130"/>
        <v>6536.4799905054524</v>
      </c>
      <c r="BO137" s="29">
        <f t="shared" si="130"/>
        <v>6670.1685508056426</v>
      </c>
      <c r="BP137" s="29">
        <f t="shared" si="130"/>
        <v>6806.5914009959715</v>
      </c>
      <c r="BQ137" s="29">
        <f t="shared" si="130"/>
        <v>6945.8044646437711</v>
      </c>
      <c r="BR137" s="29">
        <f t="shared" si="130"/>
        <v>7087.8648091034274</v>
      </c>
      <c r="BS137" s="29">
        <f t="shared" si="130"/>
        <v>7232.830668909899</v>
      </c>
    </row>
    <row r="138" spans="1:71" x14ac:dyDescent="0.2">
      <c r="A138" s="2" t="s">
        <v>493</v>
      </c>
      <c r="B138" s="2" t="s">
        <v>494</v>
      </c>
      <c r="C138" s="11" t="s">
        <v>75</v>
      </c>
      <c r="D138" s="26">
        <f>'Growth calculation'!G139</f>
        <v>1.9463340891912373E-2</v>
      </c>
      <c r="E138" s="27">
        <v>570</v>
      </c>
      <c r="F138" s="12">
        <v>2025</v>
      </c>
      <c r="G138" s="2" t="s">
        <v>162</v>
      </c>
      <c r="H138" s="27"/>
      <c r="I138" s="27"/>
      <c r="J138" s="27"/>
      <c r="K138" s="27"/>
      <c r="L138" s="27"/>
      <c r="M138" s="27"/>
      <c r="N138" s="27">
        <v>230</v>
      </c>
      <c r="O138" s="27">
        <v>200</v>
      </c>
      <c r="P138" s="27">
        <v>190</v>
      </c>
      <c r="Q138" s="27">
        <v>220</v>
      </c>
      <c r="R138" s="27">
        <v>250</v>
      </c>
      <c r="S138" s="27">
        <v>290</v>
      </c>
      <c r="T138" s="27">
        <v>330</v>
      </c>
      <c r="U138" s="27">
        <v>330</v>
      </c>
      <c r="V138" s="27">
        <v>330</v>
      </c>
      <c r="W138" s="27">
        <v>300</v>
      </c>
      <c r="X138" s="27">
        <v>330</v>
      </c>
      <c r="Y138" s="27">
        <v>380</v>
      </c>
      <c r="Z138" s="27">
        <v>420</v>
      </c>
      <c r="AA138" s="27">
        <v>450</v>
      </c>
      <c r="AB138" s="27">
        <v>480</v>
      </c>
      <c r="AC138" s="27">
        <v>530</v>
      </c>
      <c r="AD138" s="27">
        <v>570</v>
      </c>
      <c r="AE138" s="27">
        <v>550</v>
      </c>
      <c r="AF138" s="27">
        <v>570</v>
      </c>
      <c r="AG138" s="27">
        <v>630</v>
      </c>
      <c r="AH138" s="27">
        <v>690</v>
      </c>
      <c r="AI138" s="27">
        <v>710</v>
      </c>
      <c r="AJ138" s="27">
        <v>670</v>
      </c>
      <c r="AK138" s="27">
        <v>550</v>
      </c>
      <c r="AL138" s="27">
        <v>480</v>
      </c>
      <c r="AM138" s="27">
        <v>470</v>
      </c>
      <c r="AN138" s="27">
        <v>500</v>
      </c>
      <c r="AO138" s="27">
        <v>480</v>
      </c>
      <c r="AP138" s="27">
        <v>490</v>
      </c>
      <c r="AQ138" s="27">
        <v>500</v>
      </c>
      <c r="AR138" s="27">
        <v>540</v>
      </c>
      <c r="AS138" s="27">
        <v>550</v>
      </c>
      <c r="AT138" s="27">
        <v>570</v>
      </c>
      <c r="AU138" s="29">
        <f t="shared" si="127"/>
        <v>581.09410430839011</v>
      </c>
      <c r="AV138" s="29">
        <f t="shared" ref="AV138:BS138" si="131">AU138*(1+$D138)</f>
        <v>592.40413695082486</v>
      </c>
      <c r="AW138" s="29">
        <f t="shared" si="131"/>
        <v>603.93430061407798</v>
      </c>
      <c r="AX138" s="29">
        <f t="shared" si="131"/>
        <v>615.68887978324858</v>
      </c>
      <c r="AY138" s="29">
        <f t="shared" si="131"/>
        <v>627.67224233382967</v>
      </c>
      <c r="AZ138" s="29">
        <f t="shared" si="131"/>
        <v>639.88884115476412</v>
      </c>
      <c r="BA138" s="29">
        <f t="shared" si="131"/>
        <v>652.34321580309017</v>
      </c>
      <c r="BB138" s="29">
        <f t="shared" si="131"/>
        <v>665.03999419079219</v>
      </c>
      <c r="BC138" s="29">
        <f t="shared" si="131"/>
        <v>677.9838943044831</v>
      </c>
      <c r="BD138" s="29">
        <f t="shared" si="131"/>
        <v>691.17972595855758</v>
      </c>
      <c r="BE138" s="29">
        <f t="shared" si="131"/>
        <v>704.63239258246767</v>
      </c>
      <c r="BF138" s="29">
        <f t="shared" si="131"/>
        <v>718.34689304278413</v>
      </c>
      <c r="BG138" s="29">
        <f t="shared" si="131"/>
        <v>732.32832350072204</v>
      </c>
      <c r="BH138" s="29">
        <f t="shared" si="131"/>
        <v>746.58187930581937</v>
      </c>
      <c r="BI138" s="29">
        <f t="shared" si="131"/>
        <v>761.11285692647323</v>
      </c>
      <c r="BJ138" s="29">
        <f t="shared" si="131"/>
        <v>775.92665591805064</v>
      </c>
      <c r="BK138" s="29">
        <f t="shared" si="131"/>
        <v>791.0287809293053</v>
      </c>
      <c r="BL138" s="29">
        <f t="shared" si="131"/>
        <v>806.42484374784635</v>
      </c>
      <c r="BM138" s="29">
        <f t="shared" si="131"/>
        <v>822.12056538541799</v>
      </c>
      <c r="BN138" s="29">
        <f t="shared" si="131"/>
        <v>838.12177820376621</v>
      </c>
      <c r="BO138" s="29">
        <f t="shared" si="131"/>
        <v>854.43442808188195</v>
      </c>
      <c r="BP138" s="29">
        <f t="shared" si="131"/>
        <v>871.06457662542584</v>
      </c>
      <c r="BQ138" s="29">
        <f t="shared" si="131"/>
        <v>888.0184034191559</v>
      </c>
      <c r="BR138" s="29">
        <f t="shared" si="131"/>
        <v>905.3022083231948</v>
      </c>
      <c r="BS138" s="29">
        <f t="shared" si="131"/>
        <v>922.92241381399026</v>
      </c>
    </row>
    <row r="139" spans="1:71" x14ac:dyDescent="0.2">
      <c r="A139" s="2" t="s">
        <v>495</v>
      </c>
      <c r="B139" s="2" t="s">
        <v>496</v>
      </c>
      <c r="C139" s="11" t="s">
        <v>210</v>
      </c>
      <c r="D139" s="26">
        <f>'Growth calculation'!G140</f>
        <v>1.244E-2</v>
      </c>
      <c r="E139" s="27">
        <v>1320</v>
      </c>
      <c r="F139" s="12">
        <v>2025</v>
      </c>
      <c r="G139" s="28" t="s">
        <v>268</v>
      </c>
      <c r="H139" s="27">
        <v>40</v>
      </c>
      <c r="I139" s="27">
        <v>40</v>
      </c>
      <c r="J139" s="27">
        <v>50</v>
      </c>
      <c r="K139" s="27">
        <v>50</v>
      </c>
      <c r="L139" s="27">
        <v>50</v>
      </c>
      <c r="M139" s="27">
        <v>60</v>
      </c>
      <c r="N139" s="27">
        <v>70</v>
      </c>
      <c r="O139" s="27">
        <v>80</v>
      </c>
      <c r="P139" s="27">
        <v>110</v>
      </c>
      <c r="Q139" s="27">
        <v>130</v>
      </c>
      <c r="R139" s="27">
        <v>130</v>
      </c>
      <c r="S139" s="27">
        <v>130</v>
      </c>
      <c r="T139" s="27">
        <v>150</v>
      </c>
      <c r="U139" s="27">
        <v>190</v>
      </c>
      <c r="V139" s="27">
        <v>190</v>
      </c>
      <c r="W139" s="27">
        <v>170</v>
      </c>
      <c r="X139" s="27">
        <v>190</v>
      </c>
      <c r="Y139" s="27">
        <v>230</v>
      </c>
      <c r="Z139" s="27">
        <v>280</v>
      </c>
      <c r="AA139" s="27">
        <v>300</v>
      </c>
      <c r="AB139" s="27">
        <v>360</v>
      </c>
      <c r="AC139" s="27">
        <v>490</v>
      </c>
      <c r="AD139" s="27">
        <v>660</v>
      </c>
      <c r="AE139" s="27">
        <v>880</v>
      </c>
      <c r="AF139" s="27">
        <v>1040</v>
      </c>
      <c r="AG139" s="27">
        <v>1170</v>
      </c>
      <c r="AH139" s="27">
        <v>1260</v>
      </c>
      <c r="AI139" s="27">
        <v>1260</v>
      </c>
      <c r="AJ139" s="27">
        <v>1230</v>
      </c>
      <c r="AK139" s="27">
        <v>1230</v>
      </c>
      <c r="AL139" s="27">
        <v>1230</v>
      </c>
      <c r="AM139" s="27">
        <v>1310</v>
      </c>
      <c r="AN139" s="27">
        <v>1380</v>
      </c>
      <c r="AO139" s="27">
        <v>1320</v>
      </c>
      <c r="AP139" s="27">
        <v>1240</v>
      </c>
      <c r="AQ139" s="27">
        <v>1280</v>
      </c>
      <c r="AR139" s="27">
        <v>1220</v>
      </c>
      <c r="AS139" s="27">
        <v>1210</v>
      </c>
      <c r="AT139" s="27">
        <v>1320</v>
      </c>
      <c r="AU139" s="29">
        <f t="shared" si="127"/>
        <v>1336.4208000000001</v>
      </c>
      <c r="AV139" s="29">
        <f t="shared" ref="AV139:BS139" si="132">AU139*(1+$D139)</f>
        <v>1353.0458747520001</v>
      </c>
      <c r="AW139" s="29">
        <f t="shared" si="132"/>
        <v>1369.8777654339151</v>
      </c>
      <c r="AX139" s="29">
        <f t="shared" si="132"/>
        <v>1386.9190448359129</v>
      </c>
      <c r="AY139" s="29">
        <f t="shared" si="132"/>
        <v>1404.1723177536717</v>
      </c>
      <c r="AZ139" s="29">
        <f t="shared" si="132"/>
        <v>1421.6402213865274</v>
      </c>
      <c r="BA139" s="29">
        <f t="shared" si="132"/>
        <v>1439.3254257405758</v>
      </c>
      <c r="BB139" s="29">
        <f t="shared" si="132"/>
        <v>1457.2306340367886</v>
      </c>
      <c r="BC139" s="29">
        <f t="shared" si="132"/>
        <v>1475.3585831242062</v>
      </c>
      <c r="BD139" s="29">
        <f t="shared" si="132"/>
        <v>1493.7120438982713</v>
      </c>
      <c r="BE139" s="29">
        <f t="shared" si="132"/>
        <v>1512.2938217243659</v>
      </c>
      <c r="BF139" s="29">
        <f t="shared" si="132"/>
        <v>1531.1067568666169</v>
      </c>
      <c r="BG139" s="29">
        <f t="shared" si="132"/>
        <v>1550.1537249220376</v>
      </c>
      <c r="BH139" s="29">
        <f t="shared" si="132"/>
        <v>1569.4376372600677</v>
      </c>
      <c r="BI139" s="29">
        <f t="shared" si="132"/>
        <v>1588.961441467583</v>
      </c>
      <c r="BJ139" s="29">
        <f t="shared" si="132"/>
        <v>1608.7281217994398</v>
      </c>
      <c r="BK139" s="29">
        <f t="shared" si="132"/>
        <v>1628.7406996346249</v>
      </c>
      <c r="BL139" s="29">
        <f t="shared" si="132"/>
        <v>1649.0022339380796</v>
      </c>
      <c r="BM139" s="29">
        <f t="shared" si="132"/>
        <v>1669.5158217282694</v>
      </c>
      <c r="BN139" s="29">
        <f t="shared" si="132"/>
        <v>1690.2845985505692</v>
      </c>
      <c r="BO139" s="29">
        <f t="shared" si="132"/>
        <v>1711.3117389565382</v>
      </c>
      <c r="BP139" s="29">
        <f t="shared" si="132"/>
        <v>1732.6004569891575</v>
      </c>
      <c r="BQ139" s="29">
        <f t="shared" si="132"/>
        <v>1754.1540066741027</v>
      </c>
      <c r="BR139" s="29">
        <f t="shared" si="132"/>
        <v>1775.9756825171285</v>
      </c>
      <c r="BS139" s="29">
        <f t="shared" si="132"/>
        <v>1798.0688200076415</v>
      </c>
    </row>
    <row r="140" spans="1:71" x14ac:dyDescent="0.2">
      <c r="A140" s="2" t="s">
        <v>497</v>
      </c>
      <c r="B140" s="2" t="s">
        <v>498</v>
      </c>
      <c r="C140" s="11" t="s">
        <v>210</v>
      </c>
      <c r="D140" s="26">
        <f>'Growth calculation'!G141</f>
        <v>1.244E-2</v>
      </c>
      <c r="E140" s="27">
        <v>4340</v>
      </c>
      <c r="F140" s="12">
        <v>2025</v>
      </c>
      <c r="G140" s="28" t="s">
        <v>407</v>
      </c>
      <c r="H140" s="27">
        <v>1770</v>
      </c>
      <c r="I140" s="27">
        <v>1860</v>
      </c>
      <c r="J140" s="27">
        <v>1990</v>
      </c>
      <c r="K140" s="27">
        <v>2090</v>
      </c>
      <c r="L140" s="27">
        <v>2240</v>
      </c>
      <c r="M140" s="27">
        <v>2390</v>
      </c>
      <c r="N140" s="27">
        <v>2270</v>
      </c>
      <c r="O140" s="27">
        <v>2320</v>
      </c>
      <c r="P140" s="27">
        <v>2500</v>
      </c>
      <c r="Q140" s="27">
        <v>2530</v>
      </c>
      <c r="R140" s="27">
        <v>2520</v>
      </c>
      <c r="S140" s="27">
        <v>2370</v>
      </c>
      <c r="T140" s="27">
        <v>2230</v>
      </c>
      <c r="U140" s="27">
        <v>2210</v>
      </c>
      <c r="V140" s="27">
        <v>2060</v>
      </c>
      <c r="W140" s="27">
        <v>1970</v>
      </c>
      <c r="X140" s="27">
        <v>2240</v>
      </c>
      <c r="Y140" s="27">
        <v>2840</v>
      </c>
      <c r="Z140" s="27">
        <v>3480</v>
      </c>
      <c r="AA140" s="27">
        <v>3990</v>
      </c>
      <c r="AB140" s="27">
        <v>4200</v>
      </c>
      <c r="AC140" s="27">
        <v>4310</v>
      </c>
      <c r="AD140" s="27">
        <v>4260</v>
      </c>
      <c r="AE140" s="27">
        <v>4520</v>
      </c>
      <c r="AF140" s="27">
        <v>5160</v>
      </c>
      <c r="AG140" s="27">
        <v>5730</v>
      </c>
      <c r="AH140" s="27">
        <v>5900</v>
      </c>
      <c r="AI140" s="27">
        <v>5690</v>
      </c>
      <c r="AJ140" s="27">
        <v>5180</v>
      </c>
      <c r="AK140" s="27">
        <v>4580</v>
      </c>
      <c r="AL140" s="27">
        <v>4430</v>
      </c>
      <c r="AM140" s="27">
        <v>4670</v>
      </c>
      <c r="AN140" s="27">
        <v>4870</v>
      </c>
      <c r="AO140" s="27">
        <v>4240</v>
      </c>
      <c r="AP140" s="27">
        <v>4140</v>
      </c>
      <c r="AQ140" s="27">
        <v>4280</v>
      </c>
      <c r="AR140" s="27">
        <v>4310</v>
      </c>
      <c r="AS140" s="27">
        <v>4290</v>
      </c>
      <c r="AT140" s="27">
        <v>4340</v>
      </c>
      <c r="AU140" s="29">
        <f t="shared" si="127"/>
        <v>4393.9895999999999</v>
      </c>
      <c r="AV140" s="29">
        <f t="shared" ref="AV140:BS140" si="133">AU140*(1+$D140)</f>
        <v>4448.6508306240003</v>
      </c>
      <c r="AW140" s="29">
        <f t="shared" si="133"/>
        <v>4503.9920469569624</v>
      </c>
      <c r="AX140" s="29">
        <f t="shared" si="133"/>
        <v>4560.0217080211069</v>
      </c>
      <c r="AY140" s="29">
        <f t="shared" si="133"/>
        <v>4616.7483780688899</v>
      </c>
      <c r="AZ140" s="29">
        <f t="shared" si="133"/>
        <v>4674.1807278920669</v>
      </c>
      <c r="BA140" s="29">
        <f t="shared" si="133"/>
        <v>4732.3275361470442</v>
      </c>
      <c r="BB140" s="29">
        <f t="shared" si="133"/>
        <v>4791.1976906967138</v>
      </c>
      <c r="BC140" s="29">
        <f t="shared" si="133"/>
        <v>4850.8001899689807</v>
      </c>
      <c r="BD140" s="29">
        <f t="shared" si="133"/>
        <v>4911.1441443321946</v>
      </c>
      <c r="BE140" s="29">
        <f t="shared" si="133"/>
        <v>4972.238777487687</v>
      </c>
      <c r="BF140" s="29">
        <f t="shared" si="133"/>
        <v>5034.093427879634</v>
      </c>
      <c r="BG140" s="29">
        <f t="shared" si="133"/>
        <v>5096.7175501224565</v>
      </c>
      <c r="BH140" s="29">
        <f t="shared" si="133"/>
        <v>5160.1207164459802</v>
      </c>
      <c r="BI140" s="29">
        <f t="shared" si="133"/>
        <v>5224.3126181585685</v>
      </c>
      <c r="BJ140" s="29">
        <f t="shared" si="133"/>
        <v>5289.3030671284614</v>
      </c>
      <c r="BK140" s="29">
        <f t="shared" si="133"/>
        <v>5355.1019972835393</v>
      </c>
      <c r="BL140" s="29">
        <f t="shared" si="133"/>
        <v>5421.7194661297463</v>
      </c>
      <c r="BM140" s="29">
        <f t="shared" si="133"/>
        <v>5489.1656562884</v>
      </c>
      <c r="BN140" s="29">
        <f t="shared" si="133"/>
        <v>5557.4508770526281</v>
      </c>
      <c r="BO140" s="29">
        <f t="shared" si="133"/>
        <v>5626.5855659631625</v>
      </c>
      <c r="BP140" s="29">
        <f t="shared" si="133"/>
        <v>5696.5802904037446</v>
      </c>
      <c r="BQ140" s="29">
        <f t="shared" si="133"/>
        <v>5767.4457492163674</v>
      </c>
      <c r="BR140" s="29">
        <f t="shared" si="133"/>
        <v>5839.1927743366186</v>
      </c>
      <c r="BS140" s="29">
        <f t="shared" si="133"/>
        <v>5911.8323324493658</v>
      </c>
    </row>
    <row r="141" spans="1:71" x14ac:dyDescent="0.2">
      <c r="A141" s="2" t="s">
        <v>499</v>
      </c>
      <c r="B141" s="2" t="s">
        <v>500</v>
      </c>
      <c r="C141" s="11" t="s">
        <v>79</v>
      </c>
      <c r="D141" s="26">
        <f>'Growth calculation'!G142</f>
        <v>6.7788581419395477E-2</v>
      </c>
      <c r="E141" s="27">
        <v>20690</v>
      </c>
      <c r="F141" s="12">
        <v>2025</v>
      </c>
      <c r="G141" s="2" t="s">
        <v>162</v>
      </c>
      <c r="H141" s="27">
        <v>5780</v>
      </c>
      <c r="I141" s="27">
        <v>6010</v>
      </c>
      <c r="J141" s="27">
        <v>6230</v>
      </c>
      <c r="K141" s="27">
        <v>6570</v>
      </c>
      <c r="L141" s="27">
        <v>5870</v>
      </c>
      <c r="M141" s="27">
        <v>5490</v>
      </c>
      <c r="N141" s="27">
        <v>5060</v>
      </c>
      <c r="O141" s="27">
        <v>5010</v>
      </c>
      <c r="P141" s="27">
        <v>4700</v>
      </c>
      <c r="Q141" s="27">
        <v>4240</v>
      </c>
      <c r="R141" s="27">
        <v>4080</v>
      </c>
      <c r="S141" s="27">
        <v>3550</v>
      </c>
      <c r="T141" s="27">
        <v>3300</v>
      </c>
      <c r="U141" s="27">
        <v>3050</v>
      </c>
      <c r="V141" s="27">
        <v>2800</v>
      </c>
      <c r="W141" s="27">
        <v>2500</v>
      </c>
      <c r="X141" s="27">
        <v>2650</v>
      </c>
      <c r="Y141" s="27">
        <v>3090</v>
      </c>
      <c r="Z141" s="27">
        <v>3510</v>
      </c>
      <c r="AA141" s="27">
        <v>3890</v>
      </c>
      <c r="AB141" s="27">
        <v>3030</v>
      </c>
      <c r="AC141" s="27">
        <v>3510</v>
      </c>
      <c r="AD141" s="27">
        <v>4090</v>
      </c>
      <c r="AE141" s="27">
        <v>5080</v>
      </c>
      <c r="AF141" s="27">
        <v>7000</v>
      </c>
      <c r="AG141" s="27">
        <v>9650</v>
      </c>
      <c r="AH141" s="27">
        <v>11330</v>
      </c>
      <c r="AI141" s="27">
        <v>12530</v>
      </c>
      <c r="AJ141" s="27">
        <v>12220</v>
      </c>
      <c r="AK141" s="27">
        <v>11680</v>
      </c>
      <c r="AL141" s="27">
        <v>11300</v>
      </c>
      <c r="AM141" s="27">
        <v>12740</v>
      </c>
      <c r="AN141" s="27">
        <v>15840</v>
      </c>
      <c r="AO141" s="27">
        <v>17180</v>
      </c>
      <c r="AP141" s="27">
        <v>19620</v>
      </c>
      <c r="AQ141" s="27">
        <v>20890</v>
      </c>
      <c r="AR141" s="27">
        <v>22370</v>
      </c>
      <c r="AS141" s="27">
        <v>21940</v>
      </c>
      <c r="AT141" s="27">
        <v>20690</v>
      </c>
      <c r="AU141" s="29">
        <f t="shared" si="127"/>
        <v>22092.545749567293</v>
      </c>
      <c r="AV141" s="29">
        <f t="shared" ref="AV141:BS141" si="134">AU141*(1+$D141)</f>
        <v>23590.168085873556</v>
      </c>
      <c r="AW141" s="29">
        <f t="shared" si="134"/>
        <v>25189.312115860019</v>
      </c>
      <c r="AX141" s="29">
        <f t="shared" si="134"/>
        <v>26896.859851124562</v>
      </c>
      <c r="AY141" s="29">
        <f t="shared" si="134"/>
        <v>28720.159825068589</v>
      </c>
      <c r="AZ141" s="29">
        <f t="shared" si="134"/>
        <v>30667.058717748303</v>
      </c>
      <c r="BA141" s="29">
        <f t="shared" si="134"/>
        <v>32745.935124529766</v>
      </c>
      <c r="BB141" s="29">
        <f t="shared" si="134"/>
        <v>34965.735613873192</v>
      </c>
      <c r="BC141" s="29">
        <f t="shared" si="134"/>
        <v>37336.01322942329</v>
      </c>
      <c r="BD141" s="29">
        <f t="shared" si="134"/>
        <v>39866.968602101675</v>
      </c>
      <c r="BE141" s="29">
        <f t="shared" si="134"/>
        <v>42569.493849129729</v>
      </c>
      <c r="BF141" s="29">
        <f t="shared" si="134"/>
        <v>45455.219448903918</v>
      </c>
      <c r="BG141" s="29">
        <f t="shared" si="134"/>
        <v>48536.564293452429</v>
      </c>
      <c r="BH141" s="29">
        <f t="shared" si="134"/>
        <v>51826.789133876853</v>
      </c>
      <c r="BI141" s="29">
        <f t="shared" si="134"/>
        <v>55340.053648784502</v>
      </c>
      <c r="BJ141" s="29">
        <f t="shared" si="134"/>
        <v>59091.477381308847</v>
      </c>
      <c r="BK141" s="29">
        <f t="shared" si="134"/>
        <v>63097.204806964066</v>
      </c>
      <c r="BL141" s="29">
        <f t="shared" si="134"/>
        <v>67374.474812357221</v>
      </c>
      <c r="BM141" s="29">
        <f t="shared" si="134"/>
        <v>71941.694883763703</v>
      </c>
      <c r="BN141" s="29">
        <f t="shared" si="134"/>
        <v>76818.520324841025</v>
      </c>
      <c r="BO141" s="29">
        <f t="shared" si="134"/>
        <v>82025.938844399003</v>
      </c>
      <c r="BP141" s="29">
        <f t="shared" si="134"/>
        <v>87586.360878254898</v>
      </c>
      <c r="BQ141" s="29">
        <f t="shared" si="134"/>
        <v>93523.716033879042</v>
      </c>
      <c r="BR141" s="29">
        <f t="shared" si="134"/>
        <v>99863.556072886073</v>
      </c>
      <c r="BS141" s="29">
        <f t="shared" si="134"/>
        <v>106633.16487456327</v>
      </c>
    </row>
    <row r="142" spans="1:71" x14ac:dyDescent="0.2">
      <c r="A142" s="2" t="s">
        <v>501</v>
      </c>
      <c r="B142" s="2" t="s">
        <v>502</v>
      </c>
      <c r="C142" s="11" t="s">
        <v>210</v>
      </c>
      <c r="D142" s="26">
        <f>'Growth calculation'!G143</f>
        <v>5.5615489439018839E-2</v>
      </c>
      <c r="E142" s="27">
        <v>1570</v>
      </c>
      <c r="F142" s="12">
        <v>2025</v>
      </c>
      <c r="G142" s="2" t="s">
        <v>162</v>
      </c>
      <c r="H142" s="27">
        <v>170</v>
      </c>
      <c r="I142" s="27">
        <v>200</v>
      </c>
      <c r="J142" s="27">
        <v>200</v>
      </c>
      <c r="K142" s="27">
        <v>200</v>
      </c>
      <c r="L142" s="27">
        <v>200</v>
      </c>
      <c r="M142" s="27">
        <v>190</v>
      </c>
      <c r="N142" s="27">
        <v>190</v>
      </c>
      <c r="O142" s="27">
        <v>190</v>
      </c>
      <c r="P142" s="27">
        <v>200</v>
      </c>
      <c r="Q142" s="27">
        <v>210</v>
      </c>
      <c r="R142" s="27">
        <v>210</v>
      </c>
      <c r="S142" s="27">
        <v>200</v>
      </c>
      <c r="T142" s="27">
        <v>210</v>
      </c>
      <c r="U142" s="27">
        <v>220</v>
      </c>
      <c r="V142" s="27">
        <v>230</v>
      </c>
      <c r="W142" s="27">
        <v>230</v>
      </c>
      <c r="X142" s="27">
        <v>250</v>
      </c>
      <c r="Y142" s="27">
        <v>280</v>
      </c>
      <c r="Z142" s="27">
        <v>300</v>
      </c>
      <c r="AA142" s="27">
        <v>330</v>
      </c>
      <c r="AB142" s="27">
        <v>370</v>
      </c>
      <c r="AC142" s="27">
        <v>430</v>
      </c>
      <c r="AD142" s="27">
        <v>480</v>
      </c>
      <c r="AE142" s="27">
        <v>530</v>
      </c>
      <c r="AF142" s="27">
        <v>620</v>
      </c>
      <c r="AG142" s="27">
        <v>750</v>
      </c>
      <c r="AH142" s="27">
        <v>840</v>
      </c>
      <c r="AI142" s="27">
        <v>860</v>
      </c>
      <c r="AJ142" s="27">
        <v>870</v>
      </c>
      <c r="AK142" s="27">
        <v>860</v>
      </c>
      <c r="AL142" s="27">
        <v>970</v>
      </c>
      <c r="AM142" s="27">
        <v>1120</v>
      </c>
      <c r="AN142" s="27">
        <v>1240</v>
      </c>
      <c r="AO142" s="27">
        <v>1190</v>
      </c>
      <c r="AP142" s="27">
        <v>1250</v>
      </c>
      <c r="AQ142" s="27">
        <v>1380</v>
      </c>
      <c r="AR142" s="27">
        <v>1430</v>
      </c>
      <c r="AS142" s="27">
        <v>1480</v>
      </c>
      <c r="AT142" s="27">
        <v>1570</v>
      </c>
      <c r="AU142" s="29">
        <f t="shared" si="127"/>
        <v>1657.3163184192597</v>
      </c>
      <c r="AV142" s="29">
        <f t="shared" ref="AV142:BS142" si="135">AU142*(1+$D142)</f>
        <v>1749.4887766234197</v>
      </c>
      <c r="AW142" s="29">
        <f t="shared" si="135"/>
        <v>1846.7874512034014</v>
      </c>
      <c r="AX142" s="29">
        <f t="shared" si="135"/>
        <v>1949.4974391919166</v>
      </c>
      <c r="AY142" s="29">
        <f t="shared" si="135"/>
        <v>2057.9196934326887</v>
      </c>
      <c r="AZ142" s="29">
        <f t="shared" si="135"/>
        <v>2172.3719044091436</v>
      </c>
      <c r="BA142" s="29">
        <f t="shared" si="135"/>
        <v>2293.1894311164315</v>
      </c>
      <c r="BB142" s="29">
        <f t="shared" si="135"/>
        <v>2420.7262837043568</v>
      </c>
      <c r="BC142" s="29">
        <f t="shared" si="135"/>
        <v>2555.3561607704719</v>
      </c>
      <c r="BD142" s="29">
        <f t="shared" si="135"/>
        <v>2697.4735443427339</v>
      </c>
      <c r="BE142" s="29">
        <f t="shared" si="135"/>
        <v>2847.4948557601601</v>
      </c>
      <c r="BF142" s="29">
        <f t="shared" si="135"/>
        <v>3005.8596758383496</v>
      </c>
      <c r="BG142" s="29">
        <f t="shared" si="135"/>
        <v>3173.0320328951098</v>
      </c>
      <c r="BH142" s="29">
        <f t="shared" si="135"/>
        <v>3349.5017624102561</v>
      </c>
      <c r="BI142" s="29">
        <f t="shared" si="135"/>
        <v>3535.7859423035588</v>
      </c>
      <c r="BJ142" s="29">
        <f t="shared" si="135"/>
        <v>3732.4304080363736</v>
      </c>
      <c r="BK142" s="29">
        <f t="shared" si="135"/>
        <v>3940.0113519763931</v>
      </c>
      <c r="BL142" s="29">
        <f t="shared" si="135"/>
        <v>4159.1370117118504</v>
      </c>
      <c r="BM142" s="29">
        <f t="shared" si="135"/>
        <v>4390.4494522621435</v>
      </c>
      <c r="BN142" s="29">
        <f t="shared" si="135"/>
        <v>4634.6264474069749</v>
      </c>
      <c r="BO142" s="29">
        <f t="shared" si="135"/>
        <v>4892.3834656465351</v>
      </c>
      <c r="BP142" s="29">
        <f t="shared" si="135"/>
        <v>5164.4757666118303</v>
      </c>
      <c r="BQ142" s="29">
        <f t="shared" si="135"/>
        <v>5451.7006140678996</v>
      </c>
      <c r="BR142" s="29">
        <f t="shared" si="135"/>
        <v>5754.8996119942849</v>
      </c>
      <c r="BS142" s="29">
        <f t="shared" si="135"/>
        <v>6074.9611705877669</v>
      </c>
    </row>
    <row r="143" spans="1:71" x14ac:dyDescent="0.2">
      <c r="A143" s="2" t="s">
        <v>503</v>
      </c>
      <c r="B143" s="2" t="s">
        <v>504</v>
      </c>
      <c r="C143" s="11" t="s">
        <v>79</v>
      </c>
      <c r="D143" s="26">
        <f>'Growth calculation'!G144</f>
        <v>1.9627109544921195E-2</v>
      </c>
      <c r="E143" s="27">
        <v>68530</v>
      </c>
      <c r="F143" s="12">
        <v>2025</v>
      </c>
      <c r="G143" s="2" t="s">
        <v>162</v>
      </c>
      <c r="H143" s="27">
        <v>14420</v>
      </c>
      <c r="I143" s="27">
        <v>18190</v>
      </c>
      <c r="J143" s="27">
        <v>19140</v>
      </c>
      <c r="K143" s="27">
        <v>19910</v>
      </c>
      <c r="L143" s="27">
        <v>20840</v>
      </c>
      <c r="M143" s="27">
        <v>23050</v>
      </c>
      <c r="N143" s="27">
        <v>23550</v>
      </c>
      <c r="O143" s="27">
        <v>24860</v>
      </c>
      <c r="P143" s="27">
        <v>27120</v>
      </c>
      <c r="Q143" s="27">
        <v>29260</v>
      </c>
      <c r="R143" s="27">
        <v>29410</v>
      </c>
      <c r="S143" s="27">
        <v>27840</v>
      </c>
      <c r="T143" s="27">
        <v>28150</v>
      </c>
      <c r="U143" s="27">
        <v>28140</v>
      </c>
      <c r="V143" s="27">
        <v>26900</v>
      </c>
      <c r="W143" s="27">
        <v>26440</v>
      </c>
      <c r="X143" s="27">
        <v>30410</v>
      </c>
      <c r="Y143" s="27">
        <v>36800</v>
      </c>
      <c r="Z143" s="27">
        <v>42280</v>
      </c>
      <c r="AA143" s="27">
        <v>45500</v>
      </c>
      <c r="AB143" s="27">
        <v>48840</v>
      </c>
      <c r="AC143" s="27">
        <v>51930</v>
      </c>
      <c r="AD143" s="27">
        <v>52780</v>
      </c>
      <c r="AE143" s="27">
        <v>54000</v>
      </c>
      <c r="AF143" s="27">
        <v>54270</v>
      </c>
      <c r="AG143" s="27">
        <v>52070</v>
      </c>
      <c r="AH143" s="27">
        <v>52460</v>
      </c>
      <c r="AI143" s="27">
        <v>52220</v>
      </c>
      <c r="AJ143" s="27">
        <v>49670</v>
      </c>
      <c r="AK143" s="27">
        <v>46960</v>
      </c>
      <c r="AL143" s="27">
        <v>46710</v>
      </c>
      <c r="AM143" s="27">
        <v>51290</v>
      </c>
      <c r="AN143" s="27">
        <v>52940</v>
      </c>
      <c r="AO143" s="27">
        <v>51490</v>
      </c>
      <c r="AP143" s="27">
        <v>59560</v>
      </c>
      <c r="AQ143" s="27">
        <v>62110</v>
      </c>
      <c r="AR143" s="27">
        <v>62550</v>
      </c>
      <c r="AS143" s="27">
        <v>62500</v>
      </c>
      <c r="AT143" s="27">
        <v>68530</v>
      </c>
      <c r="AU143" s="29">
        <f t="shared" si="127"/>
        <v>69875.045817113452</v>
      </c>
      <c r="AV143" s="29">
        <f t="shared" ref="AV143:BS143" si="136">AU143*(1+$D143)</f>
        <v>71246.490995822329</v>
      </c>
      <c r="AW143" s="29">
        <f t="shared" si="136"/>
        <v>72644.853679288572</v>
      </c>
      <c r="AX143" s="29">
        <f t="shared" si="136"/>
        <v>74070.662180326734</v>
      </c>
      <c r="AY143" s="29">
        <f t="shared" si="136"/>
        <v>75524.455181004858</v>
      </c>
      <c r="AZ143" s="29">
        <f t="shared" si="136"/>
        <v>77006.781936162937</v>
      </c>
      <c r="BA143" s="29">
        <f t="shared" si="136"/>
        <v>78518.202480925873</v>
      </c>
      <c r="BB143" s="29">
        <f t="shared" si="136"/>
        <v>80059.287842289312</v>
      </c>
      <c r="BC143" s="29">
        <f t="shared" si="136"/>
        <v>81630.620254858295</v>
      </c>
      <c r="BD143" s="29">
        <f t="shared" si="136"/>
        <v>83232.793380820265</v>
      </c>
      <c r="BE143" s="29">
        <f t="shared" si="136"/>
        <v>84866.412534235409</v>
      </c>
      <c r="BF143" s="29">
        <f t="shared" si="136"/>
        <v>86532.09490972932</v>
      </c>
      <c r="BG143" s="29">
        <f t="shared" si="136"/>
        <v>88230.469815674092</v>
      </c>
      <c r="BH143" s="29">
        <f t="shared" si="136"/>
        <v>89962.17891194619</v>
      </c>
      <c r="BI143" s="29">
        <f t="shared" si="136"/>
        <v>91727.876452350756</v>
      </c>
      <c r="BJ143" s="29">
        <f t="shared" si="136"/>
        <v>93528.229531804041</v>
      </c>
      <c r="BK143" s="29">
        <f t="shared" si="136"/>
        <v>95363.918338367293</v>
      </c>
      <c r="BL143" s="29">
        <f t="shared" si="136"/>
        <v>97235.636410227351</v>
      </c>
      <c r="BM143" s="29">
        <f t="shared" si="136"/>
        <v>99144.090897721006</v>
      </c>
      <c r="BN143" s="29">
        <f t="shared" si="136"/>
        <v>101090.0028305022</v>
      </c>
      <c r="BO143" s="29">
        <f t="shared" si="136"/>
        <v>103074.10738995286</v>
      </c>
      <c r="BP143" s="29">
        <f t="shared" si="136"/>
        <v>105097.15418694043</v>
      </c>
      <c r="BQ143" s="29">
        <f t="shared" si="136"/>
        <v>107159.90754502699</v>
      </c>
      <c r="BR143" s="29">
        <f t="shared" si="136"/>
        <v>109263.14678923687</v>
      </c>
      <c r="BS143" s="29">
        <f t="shared" si="136"/>
        <v>111407.66654049202</v>
      </c>
    </row>
    <row r="144" spans="1:71" x14ac:dyDescent="0.2">
      <c r="A144" s="2" t="s">
        <v>505</v>
      </c>
      <c r="B144" s="2" t="s">
        <v>506</v>
      </c>
      <c r="C144" s="11" t="s">
        <v>79</v>
      </c>
      <c r="G144" s="28" t="s">
        <v>507</v>
      </c>
      <c r="H144" s="27">
        <v>7820</v>
      </c>
      <c r="I144" s="27">
        <v>12880</v>
      </c>
      <c r="J144" s="27">
        <v>14100</v>
      </c>
      <c r="K144" s="27">
        <v>14290</v>
      </c>
      <c r="L144" s="27">
        <v>14700</v>
      </c>
      <c r="M144" s="27">
        <v>15530</v>
      </c>
      <c r="N144" s="27">
        <v>15360</v>
      </c>
      <c r="O144" s="27">
        <v>15810</v>
      </c>
      <c r="P144" s="27">
        <v>17140</v>
      </c>
      <c r="Q144" s="27">
        <v>17580</v>
      </c>
      <c r="R144" s="27">
        <v>17110</v>
      </c>
      <c r="S144" s="27">
        <v>13920</v>
      </c>
      <c r="T144" s="27">
        <v>13070</v>
      </c>
      <c r="U144" s="27">
        <v>12630</v>
      </c>
      <c r="V144" s="27"/>
      <c r="W144" s="27"/>
      <c r="X144" s="27"/>
      <c r="Y144" s="27"/>
      <c r="Z144" s="27"/>
      <c r="AA144" s="27"/>
      <c r="AB144" s="27"/>
      <c r="AC144" s="27"/>
      <c r="AD144" s="27"/>
      <c r="AE144" s="27"/>
      <c r="AF144" s="27"/>
      <c r="AG144" s="27"/>
      <c r="AH144" s="27"/>
      <c r="AI144" s="27"/>
      <c r="AJ144" s="27"/>
      <c r="AK144" s="27"/>
      <c r="AL144" s="27"/>
      <c r="AM144" s="27"/>
      <c r="AN144" s="27">
        <v>35130</v>
      </c>
      <c r="AO144" s="27">
        <v>34890</v>
      </c>
      <c r="AP144" s="27">
        <v>35420</v>
      </c>
      <c r="AQ144" s="27">
        <v>36980</v>
      </c>
      <c r="AR144" s="27">
        <v>36710</v>
      </c>
      <c r="AS144" s="27">
        <v>30070</v>
      </c>
      <c r="AT144" s="27"/>
    </row>
    <row r="145" spans="1:71" x14ac:dyDescent="0.2">
      <c r="A145" s="2" t="s">
        <v>508</v>
      </c>
      <c r="B145" s="2" t="s">
        <v>509</v>
      </c>
      <c r="C145" s="11" t="s">
        <v>79</v>
      </c>
      <c r="D145" s="26">
        <f>'Growth calculation'!G146</f>
        <v>1.244E-2</v>
      </c>
      <c r="E145" s="27">
        <v>46630</v>
      </c>
      <c r="F145" s="12">
        <v>2025</v>
      </c>
      <c r="G145" s="28" t="s">
        <v>510</v>
      </c>
      <c r="H145" s="27">
        <v>10010</v>
      </c>
      <c r="I145" s="27">
        <v>12550</v>
      </c>
      <c r="J145" s="27">
        <v>13570</v>
      </c>
      <c r="K145" s="27">
        <v>13640</v>
      </c>
      <c r="L145" s="27">
        <v>12160</v>
      </c>
      <c r="M145" s="27">
        <v>12050</v>
      </c>
      <c r="N145" s="27">
        <v>12360</v>
      </c>
      <c r="O145" s="27">
        <v>13400</v>
      </c>
      <c r="P145" s="27">
        <v>15280</v>
      </c>
      <c r="Q145" s="27">
        <v>16720</v>
      </c>
      <c r="R145" s="27">
        <v>17160</v>
      </c>
      <c r="S145" s="27">
        <v>15790</v>
      </c>
      <c r="T145" s="27">
        <v>15040</v>
      </c>
      <c r="U145" s="27">
        <v>14070</v>
      </c>
      <c r="V145" s="27">
        <v>13810</v>
      </c>
      <c r="W145" s="27">
        <v>14180</v>
      </c>
      <c r="X145" s="27">
        <v>16990</v>
      </c>
      <c r="Y145" s="27">
        <v>21530</v>
      </c>
      <c r="Z145" s="27">
        <v>25450</v>
      </c>
      <c r="AA145" s="27">
        <v>26380</v>
      </c>
      <c r="AB145" s="27">
        <v>28150</v>
      </c>
      <c r="AC145" s="27">
        <v>28680</v>
      </c>
      <c r="AD145" s="27">
        <v>29760</v>
      </c>
      <c r="AE145" s="27">
        <v>29750</v>
      </c>
      <c r="AF145" s="27">
        <v>32270</v>
      </c>
      <c r="AG145" s="27">
        <v>36770</v>
      </c>
      <c r="AH145" s="27">
        <v>39940</v>
      </c>
      <c r="AI145" s="27">
        <v>41700</v>
      </c>
      <c r="AJ145" s="27">
        <v>40660</v>
      </c>
      <c r="AK145" s="27">
        <v>39440</v>
      </c>
      <c r="AL145" s="27">
        <v>38790</v>
      </c>
      <c r="AM145" s="27">
        <v>41570</v>
      </c>
      <c r="AN145" s="27">
        <v>43090</v>
      </c>
      <c r="AO145" s="27">
        <v>41880</v>
      </c>
      <c r="AP145" s="27">
        <v>45750</v>
      </c>
      <c r="AQ145" s="27">
        <v>49090</v>
      </c>
      <c r="AR145" s="27">
        <v>49470</v>
      </c>
      <c r="AS145" s="27">
        <v>47070</v>
      </c>
      <c r="AT145" s="27">
        <v>46630</v>
      </c>
      <c r="AU145" s="29">
        <f>$E145*(1+$D145)</f>
        <v>47210.0772</v>
      </c>
      <c r="AV145" s="29">
        <f t="shared" ref="AV145:BS145" si="137">AU145*(1+$D145)</f>
        <v>47797.370560367999</v>
      </c>
      <c r="AW145" s="29">
        <f t="shared" si="137"/>
        <v>48391.969850138979</v>
      </c>
      <c r="AX145" s="29">
        <f t="shared" si="137"/>
        <v>48993.965955074709</v>
      </c>
      <c r="AY145" s="29">
        <f t="shared" si="137"/>
        <v>49603.45089155584</v>
      </c>
      <c r="AZ145" s="29">
        <f t="shared" si="137"/>
        <v>50220.517820646797</v>
      </c>
      <c r="BA145" s="29">
        <f t="shared" si="137"/>
        <v>50845.261062335645</v>
      </c>
      <c r="BB145" s="29">
        <f t="shared" si="137"/>
        <v>51477.776109951097</v>
      </c>
      <c r="BC145" s="29">
        <f t="shared" si="137"/>
        <v>52118.159644758889</v>
      </c>
      <c r="BD145" s="29">
        <f t="shared" si="137"/>
        <v>52766.509550739691</v>
      </c>
      <c r="BE145" s="29">
        <f t="shared" si="137"/>
        <v>53422.924929550893</v>
      </c>
      <c r="BF145" s="29">
        <f t="shared" si="137"/>
        <v>54087.506115674507</v>
      </c>
      <c r="BG145" s="29">
        <f t="shared" si="137"/>
        <v>54760.354691753499</v>
      </c>
      <c r="BH145" s="29">
        <f t="shared" si="137"/>
        <v>55441.573504118911</v>
      </c>
      <c r="BI145" s="29">
        <f t="shared" si="137"/>
        <v>56131.266678510154</v>
      </c>
      <c r="BJ145" s="29">
        <f t="shared" si="137"/>
        <v>56829.539635990819</v>
      </c>
      <c r="BK145" s="29">
        <f t="shared" si="137"/>
        <v>57536.499109062548</v>
      </c>
      <c r="BL145" s="29">
        <f t="shared" si="137"/>
        <v>58252.253157979285</v>
      </c>
      <c r="BM145" s="29">
        <f t="shared" si="137"/>
        <v>58976.911187264544</v>
      </c>
      <c r="BN145" s="29">
        <f t="shared" si="137"/>
        <v>59710.583962434117</v>
      </c>
      <c r="BO145" s="29">
        <f t="shared" si="137"/>
        <v>60453.383626926799</v>
      </c>
      <c r="BP145" s="29">
        <f t="shared" si="137"/>
        <v>61205.423719245766</v>
      </c>
      <c r="BQ145" s="29">
        <f t="shared" si="137"/>
        <v>61966.819190313181</v>
      </c>
      <c r="BR145" s="29">
        <f t="shared" si="137"/>
        <v>62737.686421040678</v>
      </c>
      <c r="BS145" s="29">
        <f t="shared" si="137"/>
        <v>63518.143240118428</v>
      </c>
    </row>
    <row r="146" spans="1:71" x14ac:dyDescent="0.2">
      <c r="A146" s="2" t="s">
        <v>511</v>
      </c>
      <c r="B146" s="2" t="s">
        <v>512</v>
      </c>
      <c r="C146" s="11" t="s">
        <v>210</v>
      </c>
      <c r="D146" s="26">
        <f>'Growth calculation'!G147</f>
        <v>4.0169267524017727E-2</v>
      </c>
      <c r="E146" s="27">
        <v>2850</v>
      </c>
      <c r="F146" s="12">
        <v>2025</v>
      </c>
      <c r="G146" s="2" t="s">
        <v>162</v>
      </c>
      <c r="H146" s="27">
        <v>860</v>
      </c>
      <c r="I146" s="27">
        <v>680</v>
      </c>
      <c r="J146" s="27">
        <v>360</v>
      </c>
      <c r="K146" s="27">
        <v>310</v>
      </c>
      <c r="L146" s="27">
        <v>220</v>
      </c>
      <c r="M146" s="27">
        <v>240</v>
      </c>
      <c r="N146" s="27">
        <v>290</v>
      </c>
      <c r="O146" s="27">
        <v>450</v>
      </c>
      <c r="P146" s="27">
        <v>620</v>
      </c>
      <c r="Q146" s="27">
        <v>880</v>
      </c>
      <c r="R146" s="27">
        <v>880</v>
      </c>
      <c r="S146" s="27">
        <v>890</v>
      </c>
      <c r="T146" s="27">
        <v>930</v>
      </c>
      <c r="U146" s="27">
        <v>970</v>
      </c>
      <c r="V146" s="27">
        <v>980</v>
      </c>
      <c r="W146" s="27">
        <v>980</v>
      </c>
      <c r="X146" s="27">
        <v>1020</v>
      </c>
      <c r="Y146" s="27">
        <v>1100</v>
      </c>
      <c r="Z146" s="27">
        <v>1180</v>
      </c>
      <c r="AA146" s="27">
        <v>1220</v>
      </c>
      <c r="AB146" s="27">
        <v>1310</v>
      </c>
      <c r="AC146" s="27">
        <v>1420</v>
      </c>
      <c r="AD146" s="27">
        <v>1410</v>
      </c>
      <c r="AE146" s="27">
        <v>1490</v>
      </c>
      <c r="AF146" s="27">
        <v>1600</v>
      </c>
      <c r="AG146" s="27">
        <v>1700</v>
      </c>
      <c r="AH146" s="27">
        <v>1760</v>
      </c>
      <c r="AI146" s="27">
        <v>1850</v>
      </c>
      <c r="AJ146" s="27">
        <v>1910</v>
      </c>
      <c r="AK146" s="27">
        <v>1980</v>
      </c>
      <c r="AL146" s="27">
        <v>2050</v>
      </c>
      <c r="AM146" s="27">
        <v>1990</v>
      </c>
      <c r="AN146" s="27">
        <v>1930</v>
      </c>
      <c r="AO146" s="27">
        <v>1810</v>
      </c>
      <c r="AP146" s="27">
        <v>2060</v>
      </c>
      <c r="AQ146" s="27">
        <v>2150</v>
      </c>
      <c r="AR146" s="27">
        <v>2360</v>
      </c>
      <c r="AS146" s="27">
        <v>2510</v>
      </c>
      <c r="AT146" s="27">
        <v>2850</v>
      </c>
      <c r="AU146" s="29">
        <f>$E146*(1+$D146)</f>
        <v>2964.4824124434504</v>
      </c>
      <c r="AV146" s="29">
        <f t="shared" ref="AV146:BS146" si="138">AU146*(1+$D146)</f>
        <v>3083.563499539137</v>
      </c>
      <c r="AW146" s="29">
        <f t="shared" si="138"/>
        <v>3207.4279866794209</v>
      </c>
      <c r="AX146" s="29">
        <f t="shared" si="138"/>
        <v>3336.2680195403682</v>
      </c>
      <c r="AY146" s="29">
        <f t="shared" si="138"/>
        <v>3470.2834621491102</v>
      </c>
      <c r="AZ146" s="29">
        <f t="shared" si="138"/>
        <v>3609.6822069243522</v>
      </c>
      <c r="BA146" s="29">
        <f t="shared" si="138"/>
        <v>3754.680497170983</v>
      </c>
      <c r="BB146" s="29">
        <f t="shared" si="138"/>
        <v>3905.503262529056</v>
      </c>
      <c r="BC146" s="29">
        <f t="shared" si="138"/>
        <v>4062.3844678975097</v>
      </c>
      <c r="BD146" s="29">
        <f t="shared" si="138"/>
        <v>4225.5674763738989</v>
      </c>
      <c r="BE146" s="29">
        <f t="shared" si="138"/>
        <v>4395.3054267731504</v>
      </c>
      <c r="BF146" s="29">
        <f t="shared" si="138"/>
        <v>4571.8616263109679</v>
      </c>
      <c r="BG146" s="29">
        <f t="shared" si="138"/>
        <v>4755.5099590610444</v>
      </c>
      <c r="BH146" s="29">
        <f t="shared" si="138"/>
        <v>4946.5353108196978</v>
      </c>
      <c r="BI146" s="29">
        <f t="shared" si="138"/>
        <v>5145.2340110370142</v>
      </c>
      <c r="BJ146" s="29">
        <f t="shared" si="138"/>
        <v>5351.9142925000351</v>
      </c>
      <c r="BK146" s="29">
        <f t="shared" si="138"/>
        <v>5566.8967694810835</v>
      </c>
      <c r="BL146" s="29">
        <f t="shared" si="138"/>
        <v>5790.5149350929596</v>
      </c>
      <c r="BM146" s="29">
        <f t="shared" si="138"/>
        <v>6023.1156786225292</v>
      </c>
      <c r="BN146" s="29">
        <f t="shared" si="138"/>
        <v>6265.0598236452233</v>
      </c>
      <c r="BO146" s="29">
        <f t="shared" si="138"/>
        <v>6516.7226877552039</v>
      </c>
      <c r="BP146" s="29">
        <f t="shared" si="138"/>
        <v>6778.4946647794786</v>
      </c>
      <c r="BQ146" s="29">
        <f t="shared" si="138"/>
        <v>7050.7818303791328</v>
      </c>
      <c r="BR146" s="29">
        <f t="shared" si="138"/>
        <v>7334.0065719771155</v>
      </c>
      <c r="BS146" s="29">
        <f t="shared" si="138"/>
        <v>7628.6082439897682</v>
      </c>
    </row>
    <row r="147" spans="1:71" x14ac:dyDescent="0.2">
      <c r="A147" s="2" t="s">
        <v>513</v>
      </c>
      <c r="B147" s="2" t="s">
        <v>514</v>
      </c>
      <c r="C147" s="11" t="s">
        <v>75</v>
      </c>
      <c r="D147" s="26">
        <f>'Growth calculation'!G148</f>
        <v>2.6013309134906293E-2</v>
      </c>
      <c r="E147" s="27">
        <v>750</v>
      </c>
      <c r="F147" s="12">
        <v>2025</v>
      </c>
      <c r="G147" s="2" t="s">
        <v>162</v>
      </c>
      <c r="H147" s="27">
        <v>260</v>
      </c>
      <c r="I147" s="27">
        <v>320</v>
      </c>
      <c r="J147" s="27">
        <v>310</v>
      </c>
      <c r="K147" s="27">
        <v>330</v>
      </c>
      <c r="L147" s="27">
        <v>350</v>
      </c>
      <c r="M147" s="27">
        <v>410</v>
      </c>
      <c r="N147" s="27">
        <v>380</v>
      </c>
      <c r="O147" s="27">
        <v>290</v>
      </c>
      <c r="P147" s="27">
        <v>260</v>
      </c>
      <c r="Q147" s="27">
        <v>230</v>
      </c>
      <c r="R147" s="27">
        <v>230</v>
      </c>
      <c r="S147" s="27">
        <v>250</v>
      </c>
      <c r="T147" s="27">
        <v>240</v>
      </c>
      <c r="U147" s="27">
        <v>220</v>
      </c>
      <c r="V147" s="27">
        <v>220</v>
      </c>
      <c r="W147" s="27">
        <v>220</v>
      </c>
      <c r="X147" s="27">
        <v>240</v>
      </c>
      <c r="Y147" s="27">
        <v>280</v>
      </c>
      <c r="Z147" s="27">
        <v>330</v>
      </c>
      <c r="AA147" s="27">
        <v>350</v>
      </c>
      <c r="AB147" s="27">
        <v>380</v>
      </c>
      <c r="AC147" s="27">
        <v>440</v>
      </c>
      <c r="AD147" s="27">
        <v>480</v>
      </c>
      <c r="AE147" s="27">
        <v>510</v>
      </c>
      <c r="AF147" s="27">
        <v>520</v>
      </c>
      <c r="AG147" s="27">
        <v>550</v>
      </c>
      <c r="AH147" s="27">
        <v>570</v>
      </c>
      <c r="AI147" s="27">
        <v>590</v>
      </c>
      <c r="AJ147" s="27">
        <v>560</v>
      </c>
      <c r="AK147" s="27">
        <v>520</v>
      </c>
      <c r="AL147" s="27">
        <v>520</v>
      </c>
      <c r="AM147" s="27">
        <v>580</v>
      </c>
      <c r="AN147" s="27">
        <v>600</v>
      </c>
      <c r="AO147" s="27">
        <v>570</v>
      </c>
      <c r="AP147" s="27">
        <v>580</v>
      </c>
      <c r="AQ147" s="27">
        <v>650</v>
      </c>
      <c r="AR147" s="27">
        <v>640</v>
      </c>
      <c r="AS147" s="27">
        <v>670</v>
      </c>
      <c r="AT147" s="27">
        <v>750</v>
      </c>
      <c r="AU147" s="29">
        <f>$E147*(1+$D147)</f>
        <v>769.50998185117976</v>
      </c>
      <c r="AV147" s="29">
        <f t="shared" ref="AV147:BS147" si="139">AU147*(1+$D147)</f>
        <v>789.52748289147075</v>
      </c>
      <c r="AW147" s="29">
        <f t="shared" si="139"/>
        <v>810.0657053744311</v>
      </c>
      <c r="AX147" s="29">
        <f t="shared" si="139"/>
        <v>831.13819498792225</v>
      </c>
      <c r="AY147" s="29">
        <f t="shared" si="139"/>
        <v>852.75884978797114</v>
      </c>
      <c r="AZ147" s="29">
        <f t="shared" si="139"/>
        <v>874.94192936503282</v>
      </c>
      <c r="BA147" s="29">
        <f t="shared" si="139"/>
        <v>897.70206424869684</v>
      </c>
      <c r="BB147" s="29">
        <f t="shared" si="139"/>
        <v>921.05426555704184</v>
      </c>
      <c r="BC147" s="29">
        <f t="shared" si="139"/>
        <v>945.01393489700138</v>
      </c>
      <c r="BD147" s="29">
        <f t="shared" si="139"/>
        <v>969.59687452227138</v>
      </c>
      <c r="BE147" s="29">
        <f t="shared" si="139"/>
        <v>994.81929775545825</v>
      </c>
      <c r="BF147" s="29">
        <f t="shared" si="139"/>
        <v>1020.6978396813415</v>
      </c>
      <c r="BG147" s="29">
        <f t="shared" si="139"/>
        <v>1047.2495681183034</v>
      </c>
      <c r="BH147" s="29">
        <f t="shared" si="139"/>
        <v>1074.4919948751619</v>
      </c>
      <c r="BI147" s="29">
        <f t="shared" si="139"/>
        <v>1102.4430873008318</v>
      </c>
      <c r="BJ147" s="29">
        <f t="shared" si="139"/>
        <v>1131.1212801344291</v>
      </c>
      <c r="BK147" s="29">
        <f t="shared" si="139"/>
        <v>1160.545487663637</v>
      </c>
      <c r="BL147" s="29">
        <f t="shared" si="139"/>
        <v>1190.735116199352</v>
      </c>
      <c r="BM147" s="29">
        <f t="shared" si="139"/>
        <v>1221.7100768748344</v>
      </c>
      <c r="BN147" s="29">
        <f t="shared" si="139"/>
        <v>1253.4907987778097</v>
      </c>
      <c r="BO147" s="29">
        <f t="shared" si="139"/>
        <v>1286.0982424241777</v>
      </c>
      <c r="BP147" s="29">
        <f t="shared" si="139"/>
        <v>1319.5539135822175</v>
      </c>
      <c r="BQ147" s="29">
        <f t="shared" si="139"/>
        <v>1353.8798774564073</v>
      </c>
      <c r="BR147" s="29">
        <f t="shared" si="139"/>
        <v>1389.09877324021</v>
      </c>
      <c r="BS147" s="29">
        <f t="shared" si="139"/>
        <v>1425.2338290474268</v>
      </c>
    </row>
    <row r="148" spans="1:71" x14ac:dyDescent="0.2">
      <c r="A148" s="2" t="s">
        <v>515</v>
      </c>
      <c r="B148" s="2" t="s">
        <v>516</v>
      </c>
      <c r="C148" s="11" t="s">
        <v>210</v>
      </c>
      <c r="D148" s="26">
        <f>'Growth calculation'!G149</f>
        <v>1.244E-2</v>
      </c>
      <c r="E148" s="27">
        <v>1360</v>
      </c>
      <c r="F148" s="12">
        <v>2025</v>
      </c>
      <c r="G148" s="28" t="s">
        <v>517</v>
      </c>
      <c r="H148" s="27"/>
      <c r="I148" s="27"/>
      <c r="J148" s="27"/>
      <c r="K148" s="27"/>
      <c r="L148" s="27"/>
      <c r="M148" s="27"/>
      <c r="N148" s="27"/>
      <c r="O148" s="27"/>
      <c r="P148" s="27"/>
      <c r="Q148" s="27"/>
      <c r="R148" s="27"/>
      <c r="S148" s="27"/>
      <c r="T148" s="27"/>
      <c r="U148" s="27"/>
      <c r="V148" s="27"/>
      <c r="W148" s="27"/>
      <c r="X148" s="27"/>
      <c r="Y148" s="27"/>
      <c r="Z148" s="27"/>
      <c r="AA148" s="27"/>
      <c r="AB148" s="27"/>
      <c r="AC148" s="27">
        <v>1890</v>
      </c>
      <c r="AD148" s="27">
        <v>1960</v>
      </c>
      <c r="AE148" s="27">
        <v>2050</v>
      </c>
      <c r="AF148" s="27">
        <v>2100</v>
      </c>
      <c r="AG148" s="27">
        <v>2360</v>
      </c>
      <c r="AH148" s="27">
        <v>2600</v>
      </c>
      <c r="AI148" s="27">
        <v>2870</v>
      </c>
      <c r="AJ148" s="27">
        <v>2760</v>
      </c>
      <c r="AK148" s="27">
        <v>2370</v>
      </c>
      <c r="AL148" s="27">
        <v>2020</v>
      </c>
      <c r="AM148" s="27">
        <v>1950</v>
      </c>
      <c r="AN148" s="27">
        <v>2260</v>
      </c>
      <c r="AO148" s="27">
        <v>2460</v>
      </c>
      <c r="AP148" s="27">
        <v>2860</v>
      </c>
      <c r="AQ148" s="27">
        <v>2940</v>
      </c>
      <c r="AR148" s="27">
        <v>2590</v>
      </c>
      <c r="AS148" s="27">
        <v>1710</v>
      </c>
      <c r="AT148" s="27">
        <v>1360</v>
      </c>
      <c r="AU148" s="29">
        <f>$E148*(1+$D148)</f>
        <v>1376.9184</v>
      </c>
      <c r="AV148" s="29">
        <f t="shared" ref="AV148:BS148" si="140">AU148*(1+$D148)</f>
        <v>1394.0472648960001</v>
      </c>
      <c r="AW148" s="29">
        <f t="shared" si="140"/>
        <v>1411.3892128713064</v>
      </c>
      <c r="AX148" s="29">
        <f t="shared" si="140"/>
        <v>1428.9468946794254</v>
      </c>
      <c r="AY148" s="29">
        <f t="shared" si="140"/>
        <v>1446.7229940492375</v>
      </c>
      <c r="AZ148" s="29">
        <f t="shared" si="140"/>
        <v>1464.7202280952101</v>
      </c>
      <c r="BA148" s="29">
        <f t="shared" si="140"/>
        <v>1482.9413477327146</v>
      </c>
      <c r="BB148" s="29">
        <f t="shared" si="140"/>
        <v>1501.3891380985096</v>
      </c>
      <c r="BC148" s="29">
        <f t="shared" si="140"/>
        <v>1520.0664189764552</v>
      </c>
      <c r="BD148" s="29">
        <f t="shared" si="140"/>
        <v>1538.9760452285223</v>
      </c>
      <c r="BE148" s="29">
        <f t="shared" si="140"/>
        <v>1558.1209072311651</v>
      </c>
      <c r="BF148" s="29">
        <f t="shared" si="140"/>
        <v>1577.5039313171208</v>
      </c>
      <c r="BG148" s="29">
        <f t="shared" si="140"/>
        <v>1597.1280802227056</v>
      </c>
      <c r="BH148" s="29">
        <f t="shared" si="140"/>
        <v>1616.9963535406762</v>
      </c>
      <c r="BI148" s="29">
        <f t="shared" si="140"/>
        <v>1637.1117881787222</v>
      </c>
      <c r="BJ148" s="29">
        <f t="shared" si="140"/>
        <v>1657.4774588236655</v>
      </c>
      <c r="BK148" s="29">
        <f t="shared" si="140"/>
        <v>1678.0964784114319</v>
      </c>
      <c r="BL148" s="29">
        <f t="shared" si="140"/>
        <v>1698.9719986028701</v>
      </c>
      <c r="BM148" s="29">
        <f t="shared" si="140"/>
        <v>1720.1072102654898</v>
      </c>
      <c r="BN148" s="29">
        <f t="shared" si="140"/>
        <v>1741.5053439611925</v>
      </c>
      <c r="BO148" s="29">
        <f t="shared" si="140"/>
        <v>1763.1696704400697</v>
      </c>
      <c r="BP148" s="29">
        <f t="shared" si="140"/>
        <v>1785.1035011403442</v>
      </c>
      <c r="BQ148" s="29">
        <f t="shared" si="140"/>
        <v>1807.3101886945301</v>
      </c>
      <c r="BR148" s="29">
        <f t="shared" si="140"/>
        <v>1829.79312744189</v>
      </c>
      <c r="BS148" s="29">
        <f t="shared" si="140"/>
        <v>1852.555753947267</v>
      </c>
    </row>
    <row r="149" spans="1:71" x14ac:dyDescent="0.2">
      <c r="A149" s="2" t="s">
        <v>518</v>
      </c>
      <c r="B149" s="2" t="s">
        <v>519</v>
      </c>
      <c r="C149" s="11" t="s">
        <v>82</v>
      </c>
      <c r="D149" s="26">
        <f>'Growth calculation'!G150</f>
        <v>6.1318005939833498E-2</v>
      </c>
      <c r="E149" s="27">
        <v>9490</v>
      </c>
      <c r="F149" s="12">
        <v>2025</v>
      </c>
      <c r="G149" s="2" t="s">
        <v>162</v>
      </c>
      <c r="H149" s="27"/>
      <c r="I149" s="27"/>
      <c r="J149" s="27"/>
      <c r="K149" s="27"/>
      <c r="L149" s="27"/>
      <c r="M149" s="27">
        <v>1710</v>
      </c>
      <c r="N149" s="27">
        <v>1440</v>
      </c>
      <c r="O149" s="27">
        <v>1390</v>
      </c>
      <c r="P149" s="27">
        <v>1780</v>
      </c>
      <c r="Q149" s="27">
        <v>2160</v>
      </c>
      <c r="R149" s="27">
        <v>2220</v>
      </c>
      <c r="S149" s="27">
        <v>2010</v>
      </c>
      <c r="T149" s="27">
        <v>1910</v>
      </c>
      <c r="U149" s="27">
        <v>1920</v>
      </c>
      <c r="V149" s="27">
        <v>1820</v>
      </c>
      <c r="W149" s="27">
        <v>1850</v>
      </c>
      <c r="X149" s="27">
        <v>2120</v>
      </c>
      <c r="Y149" s="27">
        <v>2610</v>
      </c>
      <c r="Z149" s="27">
        <v>3070</v>
      </c>
      <c r="AA149" s="27">
        <v>3430</v>
      </c>
      <c r="AB149" s="27">
        <v>3730</v>
      </c>
      <c r="AC149" s="27">
        <v>4540</v>
      </c>
      <c r="AD149" s="27">
        <v>4860</v>
      </c>
      <c r="AE149" s="27">
        <v>5010</v>
      </c>
      <c r="AF149" s="27">
        <v>5140</v>
      </c>
      <c r="AG149" s="27">
        <v>5090</v>
      </c>
      <c r="AH149" s="27">
        <v>5400</v>
      </c>
      <c r="AI149" s="27">
        <v>5630</v>
      </c>
      <c r="AJ149" s="27">
        <v>5550</v>
      </c>
      <c r="AK149" s="27">
        <v>5440</v>
      </c>
      <c r="AL149" s="27">
        <v>5390</v>
      </c>
      <c r="AM149" s="27">
        <v>6050</v>
      </c>
      <c r="AN149" s="27">
        <v>6520</v>
      </c>
      <c r="AO149" s="27">
        <v>6460</v>
      </c>
      <c r="AP149" s="27">
        <v>7050</v>
      </c>
      <c r="AQ149" s="27">
        <v>7570</v>
      </c>
      <c r="AR149" s="27">
        <v>7940</v>
      </c>
      <c r="AS149" s="27">
        <v>8300</v>
      </c>
      <c r="AT149" s="27">
        <v>9490</v>
      </c>
      <c r="AU149" s="29">
        <f>$E149*(1+$D149)</f>
        <v>10071.90787636902</v>
      </c>
      <c r="AV149" s="29">
        <f t="shared" ref="AV149:BS149" si="141">AU149*(1+$D149)</f>
        <v>10689.497183357671</v>
      </c>
      <c r="AW149" s="29">
        <f t="shared" si="141"/>
        <v>11344.95583514063</v>
      </c>
      <c r="AX149" s="29">
        <f t="shared" si="141"/>
        <v>12040.605904426931</v>
      </c>
      <c r="AY149" s="29">
        <f t="shared" si="141"/>
        <v>12778.911848793776</v>
      </c>
      <c r="AZ149" s="29">
        <f t="shared" si="141"/>
        <v>13562.489241442721</v>
      </c>
      <c r="BA149" s="29">
        <f t="shared" si="141"/>
        <v>14394.114037308434</v>
      </c>
      <c r="BB149" s="29">
        <f t="shared" si="141"/>
        <v>15276.732407346753</v>
      </c>
      <c r="BC149" s="29">
        <f t="shared" si="141"/>
        <v>16213.471175841689</v>
      </c>
      <c r="BD149" s="29">
        <f t="shared" si="141"/>
        <v>17207.648897707269</v>
      </c>
      <c r="BE149" s="29">
        <f t="shared" si="141"/>
        <v>18262.787615027453</v>
      </c>
      <c r="BF149" s="29">
        <f t="shared" si="141"/>
        <v>19382.625334483626</v>
      </c>
      <c r="BG149" s="29">
        <f t="shared" si="141"/>
        <v>20571.129269873061</v>
      </c>
      <c r="BH149" s="29">
        <f t="shared" si="141"/>
        <v>21832.509896632222</v>
      </c>
      <c r="BI149" s="29">
        <f t="shared" si="141"/>
        <v>23171.235868155389</v>
      </c>
      <c r="BJ149" s="29">
        <f t="shared" si="141"/>
        <v>24592.049846752223</v>
      </c>
      <c r="BK149" s="29">
        <f t="shared" si="141"/>
        <v>26099.985305328057</v>
      </c>
      <c r="BL149" s="29">
        <f t="shared" si="141"/>
        <v>27700.38435930973</v>
      </c>
      <c r="BM149" s="29">
        <f t="shared" si="141"/>
        <v>29398.916691989554</v>
      </c>
      <c r="BN149" s="29">
        <f t="shared" si="141"/>
        <v>31201.599640333639</v>
      </c>
      <c r="BO149" s="29">
        <f t="shared" si="141"/>
        <v>33114.819512411923</v>
      </c>
      <c r="BP149" s="29">
        <f t="shared" si="141"/>
        <v>35145.354211970509</v>
      </c>
      <c r="BQ149" s="29">
        <f t="shared" si="141"/>
        <v>37300.397250297669</v>
      </c>
      <c r="BR149" s="29">
        <f t="shared" si="141"/>
        <v>39587.583230449571</v>
      </c>
      <c r="BS149" s="29">
        <f t="shared" si="141"/>
        <v>42015.014894117929</v>
      </c>
    </row>
    <row r="150" spans="1:71" x14ac:dyDescent="0.2">
      <c r="A150" s="2" t="s">
        <v>520</v>
      </c>
      <c r="B150" s="2" t="s">
        <v>521</v>
      </c>
      <c r="C150" s="11" t="s">
        <v>79</v>
      </c>
      <c r="G150" s="28" t="s">
        <v>204</v>
      </c>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row>
    <row r="151" spans="1:71" x14ac:dyDescent="0.2">
      <c r="A151" s="2" t="s">
        <v>522</v>
      </c>
      <c r="B151" s="2" t="s">
        <v>523</v>
      </c>
      <c r="C151" s="11" t="s">
        <v>79</v>
      </c>
      <c r="D151" s="26">
        <f>'Growth calculation'!G152</f>
        <v>1.244E-2</v>
      </c>
      <c r="E151" s="27">
        <v>97310</v>
      </c>
      <c r="F151" s="12">
        <v>2025</v>
      </c>
      <c r="G151" s="28" t="s">
        <v>510</v>
      </c>
      <c r="H151" s="27">
        <v>20830</v>
      </c>
      <c r="I151" s="27">
        <v>23970</v>
      </c>
      <c r="J151" s="27">
        <v>25080</v>
      </c>
      <c r="K151" s="27">
        <v>26500</v>
      </c>
      <c r="L151" s="27">
        <v>27820</v>
      </c>
      <c r="M151" s="27">
        <v>30790</v>
      </c>
      <c r="N151" s="27">
        <v>30210</v>
      </c>
      <c r="O151" s="27">
        <v>30850</v>
      </c>
      <c r="P151" s="27">
        <v>32690</v>
      </c>
      <c r="Q151" s="27">
        <v>35790</v>
      </c>
      <c r="R151" s="27">
        <v>37900</v>
      </c>
      <c r="S151" s="27">
        <v>36120</v>
      </c>
      <c r="T151" s="27">
        <v>35560</v>
      </c>
      <c r="U151" s="27">
        <v>36580</v>
      </c>
      <c r="V151" s="27">
        <v>38260</v>
      </c>
      <c r="W151" s="27">
        <v>39930</v>
      </c>
      <c r="X151" s="27">
        <v>44810</v>
      </c>
      <c r="Y151" s="27">
        <v>54310</v>
      </c>
      <c r="Z151" s="27">
        <v>64050</v>
      </c>
      <c r="AA151" s="27">
        <v>70300</v>
      </c>
      <c r="AB151" s="27">
        <v>78780</v>
      </c>
      <c r="AC151" s="27">
        <v>87920</v>
      </c>
      <c r="AD151" s="27">
        <v>88100</v>
      </c>
      <c r="AE151" s="27">
        <v>88970</v>
      </c>
      <c r="AF151" s="27">
        <v>91010</v>
      </c>
      <c r="AG151" s="27">
        <v>99780</v>
      </c>
      <c r="AH151" s="27">
        <v>104810</v>
      </c>
      <c r="AI151" s="27">
        <v>105010</v>
      </c>
      <c r="AJ151" s="27">
        <v>93290</v>
      </c>
      <c r="AK151" s="27">
        <v>81840</v>
      </c>
      <c r="AL151" s="27">
        <v>76270</v>
      </c>
      <c r="AM151" s="27">
        <v>81200</v>
      </c>
      <c r="AN151" s="27">
        <v>82500</v>
      </c>
      <c r="AO151" s="27">
        <v>78460</v>
      </c>
      <c r="AP151" s="27">
        <v>83640</v>
      </c>
      <c r="AQ151" s="27">
        <v>97270</v>
      </c>
      <c r="AR151" s="27">
        <v>101840</v>
      </c>
      <c r="AS151" s="27">
        <v>100030</v>
      </c>
      <c r="AT151" s="27">
        <v>97310</v>
      </c>
      <c r="AU151" s="29">
        <f t="shared" ref="AU151:AU167" si="142">$E151*(1+$D151)</f>
        <v>98520.536399999997</v>
      </c>
      <c r="AV151" s="29">
        <f t="shared" ref="AV151:BS151" si="143">AU151*(1+$D151)</f>
        <v>99746.131872815997</v>
      </c>
      <c r="AW151" s="29">
        <f t="shared" si="143"/>
        <v>100986.97375331383</v>
      </c>
      <c r="AX151" s="29">
        <f t="shared" si="143"/>
        <v>102243.25170680505</v>
      </c>
      <c r="AY151" s="29">
        <f t="shared" si="143"/>
        <v>103515.15775803771</v>
      </c>
      <c r="AZ151" s="29">
        <f t="shared" si="143"/>
        <v>104802.8863205477</v>
      </c>
      <c r="BA151" s="29">
        <f t="shared" si="143"/>
        <v>106106.6342263753</v>
      </c>
      <c r="BB151" s="29">
        <f t="shared" si="143"/>
        <v>107426.60075615141</v>
      </c>
      <c r="BC151" s="29">
        <f t="shared" si="143"/>
        <v>108762.98766955793</v>
      </c>
      <c r="BD151" s="29">
        <f t="shared" si="143"/>
        <v>110115.99923616723</v>
      </c>
      <c r="BE151" s="29">
        <f t="shared" si="143"/>
        <v>111485.84226666516</v>
      </c>
      <c r="BF151" s="29">
        <f t="shared" si="143"/>
        <v>112872.72614446247</v>
      </c>
      <c r="BG151" s="29">
        <f t="shared" si="143"/>
        <v>114276.86285769958</v>
      </c>
      <c r="BH151" s="29">
        <f t="shared" si="143"/>
        <v>115698.46703164937</v>
      </c>
      <c r="BI151" s="29">
        <f t="shared" si="143"/>
        <v>117137.75596152309</v>
      </c>
      <c r="BJ151" s="29">
        <f t="shared" si="143"/>
        <v>118594.94964568444</v>
      </c>
      <c r="BK151" s="29">
        <f t="shared" si="143"/>
        <v>120070.27081927675</v>
      </c>
      <c r="BL151" s="29">
        <f t="shared" si="143"/>
        <v>121563.94498826854</v>
      </c>
      <c r="BM151" s="29">
        <f t="shared" si="143"/>
        <v>123076.20046392261</v>
      </c>
      <c r="BN151" s="29">
        <f t="shared" si="143"/>
        <v>124607.2683976938</v>
      </c>
      <c r="BO151" s="29">
        <f t="shared" si="143"/>
        <v>126157.3828165611</v>
      </c>
      <c r="BP151" s="29">
        <f t="shared" si="143"/>
        <v>127726.78065879912</v>
      </c>
      <c r="BQ151" s="29">
        <f t="shared" si="143"/>
        <v>129315.70181019459</v>
      </c>
      <c r="BR151" s="29">
        <f t="shared" si="143"/>
        <v>130924.38914071341</v>
      </c>
      <c r="BS151" s="29">
        <f t="shared" si="143"/>
        <v>132553.08854162387</v>
      </c>
    </row>
    <row r="152" spans="1:71" x14ac:dyDescent="0.2">
      <c r="A152" s="2" t="s">
        <v>524</v>
      </c>
      <c r="B152" s="2" t="s">
        <v>525</v>
      </c>
      <c r="C152" s="11" t="s">
        <v>79</v>
      </c>
      <c r="D152" s="26">
        <f>'Growth calculation'!G153</f>
        <v>3.5288012454592677E-2</v>
      </c>
      <c r="E152" s="27">
        <v>19520</v>
      </c>
      <c r="F152" s="12">
        <v>2024</v>
      </c>
      <c r="G152" s="2" t="s">
        <v>162</v>
      </c>
      <c r="H152" s="27">
        <v>5820</v>
      </c>
      <c r="I152" s="27">
        <v>5500</v>
      </c>
      <c r="J152" s="27">
        <v>5880</v>
      </c>
      <c r="K152" s="27">
        <v>6110</v>
      </c>
      <c r="L152" s="27">
        <v>6710</v>
      </c>
      <c r="M152" s="27">
        <v>7610</v>
      </c>
      <c r="N152" s="27">
        <v>7370</v>
      </c>
      <c r="O152" s="27">
        <v>7270</v>
      </c>
      <c r="P152" s="27">
        <v>7460</v>
      </c>
      <c r="Q152" s="27">
        <v>7680</v>
      </c>
      <c r="R152" s="27">
        <v>8000</v>
      </c>
      <c r="S152" s="27">
        <v>7460</v>
      </c>
      <c r="T152" s="27">
        <v>7270</v>
      </c>
      <c r="U152" s="27">
        <v>8070</v>
      </c>
      <c r="V152" s="27">
        <v>8940</v>
      </c>
      <c r="W152" s="27">
        <v>9210</v>
      </c>
      <c r="X152" s="27">
        <v>9640</v>
      </c>
      <c r="Y152" s="27">
        <v>11050</v>
      </c>
      <c r="Z152" s="27">
        <v>12590</v>
      </c>
      <c r="AA152" s="27">
        <v>14850</v>
      </c>
      <c r="AB152" s="27">
        <v>17290</v>
      </c>
      <c r="AC152" s="27">
        <v>21190</v>
      </c>
      <c r="AD152" s="27">
        <v>22010</v>
      </c>
      <c r="AE152" s="27">
        <v>22510</v>
      </c>
      <c r="AF152" s="27">
        <v>20820</v>
      </c>
      <c r="AG152" s="27">
        <v>21960</v>
      </c>
      <c r="AH152" s="27">
        <v>22920</v>
      </c>
      <c r="AI152" s="27">
        <v>22060</v>
      </c>
      <c r="AJ152" s="27">
        <v>20560</v>
      </c>
      <c r="AK152" s="27">
        <v>18550</v>
      </c>
      <c r="AL152" s="27">
        <v>16640</v>
      </c>
      <c r="AM152" s="27">
        <v>17250</v>
      </c>
      <c r="AN152" s="27">
        <v>17860</v>
      </c>
      <c r="AO152" s="27">
        <v>17190</v>
      </c>
      <c r="AP152" s="27">
        <v>17910</v>
      </c>
      <c r="AQ152" s="27">
        <v>19270</v>
      </c>
      <c r="AR152" s="27">
        <v>19950</v>
      </c>
      <c r="AS152" s="27">
        <v>19520</v>
      </c>
      <c r="AT152" s="27"/>
      <c r="AU152" s="29">
        <f t="shared" si="142"/>
        <v>20208.822003113648</v>
      </c>
      <c r="AV152" s="29">
        <f t="shared" ref="AV152:BS152" si="144">AU152*(1+$D152)</f>
        <v>20921.951165652168</v>
      </c>
      <c r="AW152" s="29">
        <f t="shared" si="144"/>
        <v>21660.24523896008</v>
      </c>
      <c r="AX152" s="29">
        <f t="shared" si="144"/>
        <v>22424.592242722036</v>
      </c>
      <c r="AY152" s="29">
        <f t="shared" si="144"/>
        <v>23215.911533072373</v>
      </c>
      <c r="AZ152" s="29">
        <f t="shared" si="144"/>
        <v>24035.154908396151</v>
      </c>
      <c r="BA152" s="29">
        <f t="shared" si="144"/>
        <v>24883.307754151698</v>
      </c>
      <c r="BB152" s="29">
        <f t="shared" si="144"/>
        <v>25761.390228091666</v>
      </c>
      <c r="BC152" s="29">
        <f t="shared" si="144"/>
        <v>26670.458487308188</v>
      </c>
      <c r="BD152" s="29">
        <f t="shared" si="144"/>
        <v>27611.605958578017</v>
      </c>
      <c r="BE152" s="29">
        <f t="shared" si="144"/>
        <v>28585.964653535622</v>
      </c>
      <c r="BF152" s="29">
        <f t="shared" si="144"/>
        <v>29594.706530256135</v>
      </c>
      <c r="BG152" s="29">
        <f t="shared" si="144"/>
        <v>30639.044902885827</v>
      </c>
      <c r="BH152" s="29">
        <f t="shared" si="144"/>
        <v>31720.235901015687</v>
      </c>
      <c r="BI152" s="29">
        <f t="shared" si="144"/>
        <v>32839.579980553346</v>
      </c>
      <c r="BJ152" s="29">
        <f t="shared" si="144"/>
        <v>33998.423487910703</v>
      </c>
      <c r="BK152" s="29">
        <f t="shared" si="144"/>
        <v>35198.160279388612</v>
      </c>
      <c r="BL152" s="29">
        <f t="shared" si="144"/>
        <v>36440.233397706426</v>
      </c>
      <c r="BM152" s="29">
        <f t="shared" si="144"/>
        <v>37726.136807692958</v>
      </c>
      <c r="BN152" s="29">
        <f t="shared" si="144"/>
        <v>39057.417193226494</v>
      </c>
      <c r="BO152" s="29">
        <f t="shared" si="144"/>
        <v>40435.675817585296</v>
      </c>
      <c r="BP152" s="29">
        <f t="shared" si="144"/>
        <v>41862.570449446117</v>
      </c>
      <c r="BQ152" s="29">
        <f t="shared" si="144"/>
        <v>43339.817356847438</v>
      </c>
      <c r="BR152" s="29">
        <f t="shared" si="144"/>
        <v>44869.193371515641</v>
      </c>
      <c r="BS152" s="29">
        <f t="shared" si="144"/>
        <v>46452.538026037211</v>
      </c>
    </row>
    <row r="153" spans="1:71" x14ac:dyDescent="0.2">
      <c r="A153" s="2" t="s">
        <v>526</v>
      </c>
      <c r="B153" s="2" t="s">
        <v>527</v>
      </c>
      <c r="C153" s="11" t="s">
        <v>210</v>
      </c>
      <c r="D153" s="26">
        <f>'Growth calculation'!G154</f>
        <v>4.2723699658006264E-2</v>
      </c>
      <c r="E153" s="27">
        <v>1500</v>
      </c>
      <c r="F153" s="12">
        <v>2025</v>
      </c>
      <c r="G153" s="2" t="s">
        <v>162</v>
      </c>
      <c r="H153" s="27">
        <v>350</v>
      </c>
      <c r="I153" s="27">
        <v>370</v>
      </c>
      <c r="J153" s="27">
        <v>370</v>
      </c>
      <c r="K153" s="27">
        <v>370</v>
      </c>
      <c r="L153" s="27">
        <v>370</v>
      </c>
      <c r="M153" s="27">
        <v>400</v>
      </c>
      <c r="N153" s="27">
        <v>400</v>
      </c>
      <c r="O153" s="27">
        <v>400</v>
      </c>
      <c r="P153" s="27">
        <v>430</v>
      </c>
      <c r="Q153" s="27">
        <v>440</v>
      </c>
      <c r="R153" s="27">
        <v>430</v>
      </c>
      <c r="S153" s="27">
        <v>410</v>
      </c>
      <c r="T153" s="27">
        <v>410</v>
      </c>
      <c r="U153" s="27">
        <v>470</v>
      </c>
      <c r="V153" s="27">
        <v>530</v>
      </c>
      <c r="W153" s="27">
        <v>600</v>
      </c>
      <c r="X153" s="27">
        <v>640</v>
      </c>
      <c r="Y153" s="27">
        <v>740</v>
      </c>
      <c r="Z153" s="27">
        <v>830</v>
      </c>
      <c r="AA153" s="27">
        <v>890</v>
      </c>
      <c r="AB153" s="27">
        <v>940</v>
      </c>
      <c r="AC153" s="27">
        <v>1000</v>
      </c>
      <c r="AD153" s="27">
        <v>1020</v>
      </c>
      <c r="AE153" s="27">
        <v>1000</v>
      </c>
      <c r="AF153" s="27">
        <v>1020</v>
      </c>
      <c r="AG153" s="27">
        <v>1110</v>
      </c>
      <c r="AH153" s="27">
        <v>1210</v>
      </c>
      <c r="AI153" s="27">
        <v>1250</v>
      </c>
      <c r="AJ153" s="27">
        <v>1280</v>
      </c>
      <c r="AK153" s="27">
        <v>1360</v>
      </c>
      <c r="AL153" s="27">
        <v>1450</v>
      </c>
      <c r="AM153" s="27">
        <v>1560</v>
      </c>
      <c r="AN153" s="27">
        <v>1520</v>
      </c>
      <c r="AO153" s="27">
        <v>1370</v>
      </c>
      <c r="AP153" s="27">
        <v>1420</v>
      </c>
      <c r="AQ153" s="27">
        <v>1510</v>
      </c>
      <c r="AR153" s="27">
        <v>1450</v>
      </c>
      <c r="AS153" s="27">
        <v>1430</v>
      </c>
      <c r="AT153" s="27">
        <v>1500</v>
      </c>
      <c r="AU153" s="29">
        <f t="shared" si="142"/>
        <v>1564.0855494870093</v>
      </c>
      <c r="AV153" s="29">
        <f t="shared" ref="AV153:BS153" si="145">AU153*(1+$D153)</f>
        <v>1630.9090707427199</v>
      </c>
      <c r="AW153" s="29">
        <f t="shared" si="145"/>
        <v>1700.58754005065</v>
      </c>
      <c r="AX153" s="29">
        <f t="shared" si="145"/>
        <v>1773.2429313539217</v>
      </c>
      <c r="AY153" s="29">
        <f t="shared" si="145"/>
        <v>1849.0024297737693</v>
      </c>
      <c r="AZ153" s="29">
        <f t="shared" si="145"/>
        <v>1927.9986542503477</v>
      </c>
      <c r="BA153" s="29">
        <f t="shared" si="145"/>
        <v>2010.3698896955798</v>
      </c>
      <c r="BB153" s="29">
        <f t="shared" si="145"/>
        <v>2096.2603290644329</v>
      </c>
      <c r="BC153" s="29">
        <f t="shared" si="145"/>
        <v>2185.8203257683749</v>
      </c>
      <c r="BD153" s="29">
        <f t="shared" si="145"/>
        <v>2279.2066568728683</v>
      </c>
      <c r="BE153" s="29">
        <f t="shared" si="145"/>
        <v>2376.5827975396332</v>
      </c>
      <c r="BF153" s="29">
        <f t="shared" si="145"/>
        <v>2478.1192071941009</v>
      </c>
      <c r="BG153" s="29">
        <f t="shared" si="145"/>
        <v>2583.9936279189983</v>
      </c>
      <c r="BH153" s="29">
        <f t="shared" si="145"/>
        <v>2694.3913955964117</v>
      </c>
      <c r="BI153" s="29">
        <f t="shared" si="145"/>
        <v>2809.5057643429891</v>
      </c>
      <c r="BJ153" s="29">
        <f t="shared" si="145"/>
        <v>2929.5382448062164</v>
      </c>
      <c r="BK153" s="29">
        <f t="shared" si="145"/>
        <v>3054.69895691396</v>
      </c>
      <c r="BL153" s="29">
        <f t="shared" si="145"/>
        <v>3185.2069976947769</v>
      </c>
      <c r="BM153" s="29">
        <f t="shared" si="145"/>
        <v>3321.2908248128683</v>
      </c>
      <c r="BN153" s="29">
        <f t="shared" si="145"/>
        <v>3463.1886564890651</v>
      </c>
      <c r="BO153" s="29">
        <f t="shared" si="145"/>
        <v>3611.1488885079179</v>
      </c>
      <c r="BP153" s="29">
        <f t="shared" si="145"/>
        <v>3765.4305290408734</v>
      </c>
      <c r="BQ153" s="29">
        <f t="shared" si="145"/>
        <v>3926.3036520467031</v>
      </c>
      <c r="BR153" s="29">
        <f t="shared" si="145"/>
        <v>4094.0498700428793</v>
      </c>
      <c r="BS153" s="29">
        <f t="shared" si="145"/>
        <v>4268.9628270754911</v>
      </c>
    </row>
    <row r="154" spans="1:71" x14ac:dyDescent="0.2">
      <c r="A154" s="2" t="s">
        <v>528</v>
      </c>
      <c r="B154" s="2" t="s">
        <v>529</v>
      </c>
      <c r="C154" s="11" t="s">
        <v>79</v>
      </c>
      <c r="D154" s="26">
        <f>'Growth calculation'!G155</f>
        <v>3.5122650799881638E-2</v>
      </c>
      <c r="E154" s="27">
        <v>19890</v>
      </c>
      <c r="F154" s="12">
        <v>2025</v>
      </c>
      <c r="G154" s="2" t="s">
        <v>162</v>
      </c>
      <c r="H154" s="27">
        <v>5270</v>
      </c>
      <c r="I154" s="27">
        <v>6040</v>
      </c>
      <c r="J154" s="27">
        <v>6490</v>
      </c>
      <c r="K154" s="27">
        <v>7020</v>
      </c>
      <c r="L154" s="27">
        <v>7580</v>
      </c>
      <c r="M154" s="27">
        <v>7380</v>
      </c>
      <c r="N154" s="27">
        <v>6560</v>
      </c>
      <c r="O154" s="27">
        <v>7120</v>
      </c>
      <c r="P154" s="27">
        <v>8010</v>
      </c>
      <c r="Q154" s="27">
        <v>8770</v>
      </c>
      <c r="R154" s="27">
        <v>8780</v>
      </c>
      <c r="S154" s="27">
        <v>8690</v>
      </c>
      <c r="T154" s="27">
        <v>8250</v>
      </c>
      <c r="U154" s="27">
        <v>6860</v>
      </c>
      <c r="V154" s="27">
        <v>7520</v>
      </c>
      <c r="W154" s="27">
        <v>7740</v>
      </c>
      <c r="X154" s="27">
        <v>7790</v>
      </c>
      <c r="Y154" s="27">
        <v>8370</v>
      </c>
      <c r="Z154" s="27">
        <v>8910</v>
      </c>
      <c r="AA154" s="27">
        <v>9300</v>
      </c>
      <c r="AB154" s="27">
        <v>9700</v>
      </c>
      <c r="AC154" s="27">
        <v>9780</v>
      </c>
      <c r="AD154" s="27">
        <v>9880</v>
      </c>
      <c r="AE154" s="27">
        <v>9860</v>
      </c>
      <c r="AF154" s="27">
        <v>10560</v>
      </c>
      <c r="AG154" s="27">
        <v>11170</v>
      </c>
      <c r="AH154" s="27">
        <v>11800</v>
      </c>
      <c r="AI154" s="27">
        <v>12730</v>
      </c>
      <c r="AJ154" s="27">
        <v>14180</v>
      </c>
      <c r="AK154" s="27">
        <v>14970</v>
      </c>
      <c r="AL154" s="27">
        <v>15520</v>
      </c>
      <c r="AM154" s="27">
        <v>16040</v>
      </c>
      <c r="AN154" s="27">
        <v>16280</v>
      </c>
      <c r="AO154" s="27">
        <v>15440</v>
      </c>
      <c r="AP154" s="27">
        <v>13980</v>
      </c>
      <c r="AQ154" s="27">
        <v>14100</v>
      </c>
      <c r="AR154" s="27">
        <v>14750</v>
      </c>
      <c r="AS154" s="27">
        <v>16920</v>
      </c>
      <c r="AT154" s="27">
        <v>19890</v>
      </c>
      <c r="AU154" s="29">
        <f t="shared" si="142"/>
        <v>20588.589524409646</v>
      </c>
      <c r="AV154" s="29">
        <f t="shared" ref="AV154:BS154" si="146">AU154*(1+$D154)</f>
        <v>21311.715364737589</v>
      </c>
      <c r="AW154" s="29">
        <f t="shared" si="146"/>
        <v>22060.239301439738</v>
      </c>
      <c r="AX154" s="29">
        <f t="shared" si="146"/>
        <v>22835.053382986032</v>
      </c>
      <c r="AY154" s="29">
        <f t="shared" si="146"/>
        <v>23637.080988953308</v>
      </c>
      <c r="AZ154" s="29">
        <f t="shared" si="146"/>
        <v>24467.277930456836</v>
      </c>
      <c r="BA154" s="29">
        <f t="shared" si="146"/>
        <v>25326.633589231922</v>
      </c>
      <c r="BB154" s="29">
        <f t="shared" si="146"/>
        <v>26216.172096723069</v>
      </c>
      <c r="BC154" s="29">
        <f t="shared" si="146"/>
        <v>27136.953554585874</v>
      </c>
      <c r="BD154" s="29">
        <f t="shared" si="146"/>
        <v>28090.075298056199</v>
      </c>
      <c r="BE154" s="29">
        <f t="shared" si="146"/>
        <v>29076.673203692208</v>
      </c>
      <c r="BF154" s="29">
        <f t="shared" si="146"/>
        <v>30097.923043047766</v>
      </c>
      <c r="BG154" s="29">
        <f t="shared" si="146"/>
        <v>31155.041883890444</v>
      </c>
      <c r="BH154" s="29">
        <f t="shared" si="146"/>
        <v>32249.289540634014</v>
      </c>
      <c r="BI154" s="29">
        <f t="shared" si="146"/>
        <v>33381.97007571398</v>
      </c>
      <c r="BJ154" s="29">
        <f t="shared" si="146"/>
        <v>34554.433353695378</v>
      </c>
      <c r="BK154" s="29">
        <f t="shared" si="146"/>
        <v>35768.076649965005</v>
      </c>
      <c r="BL154" s="29">
        <f t="shared" si="146"/>
        <v>37024.346315925126</v>
      </c>
      <c r="BM154" s="29">
        <f t="shared" si="146"/>
        <v>38324.739502673248</v>
      </c>
      <c r="BN154" s="29">
        <f t="shared" si="146"/>
        <v>39670.80594522207</v>
      </c>
      <c r="BO154" s="29">
        <f t="shared" si="146"/>
        <v>41064.14980938597</v>
      </c>
      <c r="BP154" s="29">
        <f t="shared" si="146"/>
        <v>42506.431603535057</v>
      </c>
      <c r="BQ154" s="29">
        <f t="shared" si="146"/>
        <v>43999.370157495068</v>
      </c>
      <c r="BR154" s="29">
        <f t="shared" si="146"/>
        <v>45544.744670951499</v>
      </c>
      <c r="BS154" s="29">
        <f t="shared" si="146"/>
        <v>47144.396833799095</v>
      </c>
    </row>
    <row r="155" spans="1:71" x14ac:dyDescent="0.2">
      <c r="A155" s="2" t="s">
        <v>530</v>
      </c>
      <c r="B155" s="2" t="s">
        <v>531</v>
      </c>
      <c r="C155" s="11" t="s">
        <v>79</v>
      </c>
      <c r="D155" s="26">
        <f>'Growth calculation'!G156</f>
        <v>4.8744335543891792E-2</v>
      </c>
      <c r="E155" s="27">
        <v>19140</v>
      </c>
      <c r="F155" s="12">
        <v>2025</v>
      </c>
      <c r="G155" s="2" t="s">
        <v>162</v>
      </c>
      <c r="H155" s="27">
        <v>3290</v>
      </c>
      <c r="I155" s="27">
        <v>2770</v>
      </c>
      <c r="J155" s="27">
        <v>2570</v>
      </c>
      <c r="K155" s="27">
        <v>2660</v>
      </c>
      <c r="L155" s="27">
        <v>2750</v>
      </c>
      <c r="M155" s="27">
        <v>3030</v>
      </c>
      <c r="N155" s="27">
        <v>3260</v>
      </c>
      <c r="O155" s="27">
        <v>3430</v>
      </c>
      <c r="P155" s="27">
        <v>3430</v>
      </c>
      <c r="Q155" s="27">
        <v>3500</v>
      </c>
      <c r="R155" s="27">
        <v>3490</v>
      </c>
      <c r="S155" s="27">
        <v>3510</v>
      </c>
      <c r="T155" s="27">
        <v>3620</v>
      </c>
      <c r="U155" s="27">
        <v>3810</v>
      </c>
      <c r="V155" s="27">
        <v>3770</v>
      </c>
      <c r="W155" s="27">
        <v>3890</v>
      </c>
      <c r="X155" s="27">
        <v>4030</v>
      </c>
      <c r="Y155" s="27">
        <v>4490</v>
      </c>
      <c r="Z155" s="27">
        <v>4880</v>
      </c>
      <c r="AA155" s="27">
        <v>5270</v>
      </c>
      <c r="AB155" s="27">
        <v>5990</v>
      </c>
      <c r="AC155" s="27">
        <v>6770</v>
      </c>
      <c r="AD155" s="27">
        <v>7120</v>
      </c>
      <c r="AE155" s="27">
        <v>7500</v>
      </c>
      <c r="AF155" s="27">
        <v>8860</v>
      </c>
      <c r="AG155" s="27">
        <v>9870</v>
      </c>
      <c r="AH155" s="27">
        <v>10950</v>
      </c>
      <c r="AI155" s="27">
        <v>11520</v>
      </c>
      <c r="AJ155" s="27">
        <v>12570</v>
      </c>
      <c r="AK155" s="27">
        <v>13180</v>
      </c>
      <c r="AL155" s="27">
        <v>14230</v>
      </c>
      <c r="AM155" s="27">
        <v>14910</v>
      </c>
      <c r="AN155" s="27">
        <v>15640</v>
      </c>
      <c r="AO155" s="27">
        <v>13070</v>
      </c>
      <c r="AP155" s="27">
        <v>14920</v>
      </c>
      <c r="AQ155" s="27">
        <v>17130</v>
      </c>
      <c r="AR155" s="27">
        <v>17830</v>
      </c>
      <c r="AS155" s="27">
        <v>17950</v>
      </c>
      <c r="AT155" s="27">
        <v>19140</v>
      </c>
      <c r="AU155" s="29">
        <f t="shared" si="142"/>
        <v>20072.966582310091</v>
      </c>
      <c r="AV155" s="29">
        <f t="shared" ref="AV155:BS155" si="147">AU155*(1+$D155)</f>
        <v>21051.410000759544</v>
      </c>
      <c r="AW155" s="29">
        <f t="shared" si="147"/>
        <v>22077.546993508608</v>
      </c>
      <c r="AX155" s="29">
        <f t="shared" si="147"/>
        <v>23153.702352146232</v>
      </c>
      <c r="AY155" s="29">
        <f t="shared" si="147"/>
        <v>24282.314188682649</v>
      </c>
      <c r="AZ155" s="29">
        <f t="shared" si="147"/>
        <v>25465.939459278005</v>
      </c>
      <c r="BA155" s="29">
        <f t="shared" si="147"/>
        <v>26707.259757221487</v>
      </c>
      <c r="BB155" s="29">
        <f t="shared" si="147"/>
        <v>28009.087388285374</v>
      </c>
      <c r="BC155" s="29">
        <f t="shared" si="147"/>
        <v>29374.371742218147</v>
      </c>
      <c r="BD155" s="29">
        <f t="shared" si="147"/>
        <v>30806.205974811844</v>
      </c>
      <c r="BE155" s="29">
        <f t="shared" si="147"/>
        <v>32307.834015682321</v>
      </c>
      <c r="BF155" s="29">
        <f t="shared" si="147"/>
        <v>33882.657917639102</v>
      </c>
      <c r="BG155" s="29">
        <f t="shared" si="147"/>
        <v>35534.245564295408</v>
      </c>
      <c r="BH155" s="29">
        <f t="shared" si="147"/>
        <v>37266.338753380478</v>
      </c>
      <c r="BI155" s="29">
        <f t="shared" si="147"/>
        <v>39082.861674067601</v>
      </c>
      <c r="BJ155" s="29">
        <f t="shared" si="147"/>
        <v>40987.929797523866</v>
      </c>
      <c r="BK155" s="29">
        <f t="shared" si="147"/>
        <v>42985.859200823856</v>
      </c>
      <c r="BL155" s="29">
        <f t="shared" si="147"/>
        <v>45081.176345351305</v>
      </c>
      <c r="BM155" s="29">
        <f t="shared" si="147"/>
        <v>47278.628331842468</v>
      </c>
      <c r="BN155" s="29">
        <f t="shared" si="147"/>
        <v>49583.193655304749</v>
      </c>
      <c r="BO155" s="29">
        <f t="shared" si="147"/>
        <v>52000.093484176694</v>
      </c>
      <c r="BP155" s="29">
        <f t="shared" si="147"/>
        <v>54534.803489283149</v>
      </c>
      <c r="BQ155" s="29">
        <f t="shared" si="147"/>
        <v>57193.066249384974</v>
      </c>
      <c r="BR155" s="29">
        <f t="shared" si="147"/>
        <v>59980.904261429037</v>
      </c>
      <c r="BS155" s="29">
        <f t="shared" si="147"/>
        <v>62904.633584974188</v>
      </c>
    </row>
    <row r="156" spans="1:71" x14ac:dyDescent="0.2">
      <c r="A156" s="2" t="s">
        <v>532</v>
      </c>
      <c r="B156" s="2" t="s">
        <v>533</v>
      </c>
      <c r="C156" s="11" t="s">
        <v>210</v>
      </c>
      <c r="D156" s="26">
        <f>'Growth calculation'!G157</f>
        <v>1.244E-2</v>
      </c>
      <c r="E156" s="27">
        <v>2890</v>
      </c>
      <c r="F156" s="12">
        <v>2025</v>
      </c>
      <c r="G156" s="28" t="s">
        <v>445</v>
      </c>
      <c r="H156" s="27">
        <v>810</v>
      </c>
      <c r="I156" s="27">
        <v>940</v>
      </c>
      <c r="J156" s="27">
        <v>950</v>
      </c>
      <c r="K156" s="27">
        <v>880</v>
      </c>
      <c r="L156" s="27">
        <v>920</v>
      </c>
      <c r="M156" s="27">
        <v>970</v>
      </c>
      <c r="N156" s="27">
        <v>1120</v>
      </c>
      <c r="O156" s="27">
        <v>1160</v>
      </c>
      <c r="P156" s="27">
        <v>1060</v>
      </c>
      <c r="Q156" s="27">
        <v>1030</v>
      </c>
      <c r="R156" s="27">
        <v>930</v>
      </c>
      <c r="S156" s="27">
        <v>770</v>
      </c>
      <c r="T156" s="27">
        <v>670</v>
      </c>
      <c r="U156" s="27">
        <v>600</v>
      </c>
      <c r="V156" s="27">
        <v>530</v>
      </c>
      <c r="W156" s="27">
        <v>490</v>
      </c>
      <c r="X156" s="27">
        <v>480</v>
      </c>
      <c r="Y156" s="27">
        <v>540</v>
      </c>
      <c r="Z156" s="27">
        <v>650</v>
      </c>
      <c r="AA156" s="27">
        <v>780</v>
      </c>
      <c r="AB156" s="27">
        <v>1040</v>
      </c>
      <c r="AC156" s="27">
        <v>1360</v>
      </c>
      <c r="AD156" s="27">
        <v>1460</v>
      </c>
      <c r="AE156" s="27">
        <v>1660</v>
      </c>
      <c r="AF156" s="27">
        <v>1730</v>
      </c>
      <c r="AG156" s="27">
        <v>2150</v>
      </c>
      <c r="AH156" s="27">
        <v>2340</v>
      </c>
      <c r="AI156" s="27">
        <v>2790</v>
      </c>
      <c r="AJ156" s="27">
        <v>2520</v>
      </c>
      <c r="AK156" s="27">
        <v>2410</v>
      </c>
      <c r="AL156" s="27">
        <v>2310</v>
      </c>
      <c r="AM156" s="27">
        <v>2310</v>
      </c>
      <c r="AN156" s="27">
        <v>2420</v>
      </c>
      <c r="AO156" s="27">
        <v>2410</v>
      </c>
      <c r="AP156" s="27">
        <v>2370</v>
      </c>
      <c r="AQ156" s="27">
        <v>2690</v>
      </c>
      <c r="AR156" s="27">
        <v>2800</v>
      </c>
      <c r="AS156" s="27">
        <v>2860</v>
      </c>
      <c r="AT156" s="27">
        <v>2890</v>
      </c>
      <c r="AU156" s="29">
        <f t="shared" si="142"/>
        <v>2925.9515999999999</v>
      </c>
      <c r="AV156" s="29">
        <f t="shared" ref="AV156:BS156" si="148">AU156*(1+$D156)</f>
        <v>2962.350437904</v>
      </c>
      <c r="AW156" s="29">
        <f t="shared" si="148"/>
        <v>2999.202077351526</v>
      </c>
      <c r="AX156" s="29">
        <f t="shared" si="148"/>
        <v>3036.5121511937791</v>
      </c>
      <c r="AY156" s="29">
        <f t="shared" si="148"/>
        <v>3074.2863623546295</v>
      </c>
      <c r="AZ156" s="29">
        <f t="shared" si="148"/>
        <v>3112.5304847023212</v>
      </c>
      <c r="BA156" s="29">
        <f t="shared" si="148"/>
        <v>3151.250363932018</v>
      </c>
      <c r="BB156" s="29">
        <f t="shared" si="148"/>
        <v>3190.4519184593323</v>
      </c>
      <c r="BC156" s="29">
        <f t="shared" si="148"/>
        <v>3230.1411403249663</v>
      </c>
      <c r="BD156" s="29">
        <f t="shared" si="148"/>
        <v>3270.3240961106089</v>
      </c>
      <c r="BE156" s="29">
        <f t="shared" si="148"/>
        <v>3311.0069278662249</v>
      </c>
      <c r="BF156" s="29">
        <f t="shared" si="148"/>
        <v>3352.1958540488808</v>
      </c>
      <c r="BG156" s="29">
        <f t="shared" si="148"/>
        <v>3393.8971704732489</v>
      </c>
      <c r="BH156" s="29">
        <f t="shared" si="148"/>
        <v>3436.1172512739363</v>
      </c>
      <c r="BI156" s="29">
        <f t="shared" si="148"/>
        <v>3478.8625498797842</v>
      </c>
      <c r="BJ156" s="29">
        <f t="shared" si="148"/>
        <v>3522.1396000002887</v>
      </c>
      <c r="BK156" s="29">
        <f t="shared" si="148"/>
        <v>3565.9550166242925</v>
      </c>
      <c r="BL156" s="29">
        <f t="shared" si="148"/>
        <v>3610.3154970310989</v>
      </c>
      <c r="BM156" s="29">
        <f t="shared" si="148"/>
        <v>3655.227821814166</v>
      </c>
      <c r="BN156" s="29">
        <f t="shared" si="148"/>
        <v>3700.6988559175343</v>
      </c>
      <c r="BO156" s="29">
        <f t="shared" si="148"/>
        <v>3746.7355496851483</v>
      </c>
      <c r="BP156" s="29">
        <f t="shared" si="148"/>
        <v>3793.3449399232313</v>
      </c>
      <c r="BQ156" s="29">
        <f t="shared" si="148"/>
        <v>3840.5341509758764</v>
      </c>
      <c r="BR156" s="29">
        <f t="shared" si="148"/>
        <v>3888.3103958140164</v>
      </c>
      <c r="BS156" s="29">
        <f t="shared" si="148"/>
        <v>3936.6809771379426</v>
      </c>
    </row>
    <row r="157" spans="1:71" x14ac:dyDescent="0.2">
      <c r="A157" s="2" t="s">
        <v>534</v>
      </c>
      <c r="B157" s="2" t="s">
        <v>535</v>
      </c>
      <c r="C157" s="11" t="s">
        <v>82</v>
      </c>
      <c r="D157" s="26">
        <f>'Growth calculation'!G158</f>
        <v>2.2573379831444251E-2</v>
      </c>
      <c r="E157" s="27">
        <v>6750</v>
      </c>
      <c r="F157" s="12">
        <v>2025</v>
      </c>
      <c r="G157" s="2" t="s">
        <v>162</v>
      </c>
      <c r="H157" s="27">
        <v>1050</v>
      </c>
      <c r="I157" s="27">
        <v>1150</v>
      </c>
      <c r="J157" s="27">
        <v>1190</v>
      </c>
      <c r="K157" s="27">
        <v>1240</v>
      </c>
      <c r="L157" s="27">
        <v>1320</v>
      </c>
      <c r="M157" s="27">
        <v>1490</v>
      </c>
      <c r="N157" s="27">
        <v>1690</v>
      </c>
      <c r="O157" s="27">
        <v>1620</v>
      </c>
      <c r="P157" s="27">
        <v>1750</v>
      </c>
      <c r="Q157" s="27">
        <v>1920</v>
      </c>
      <c r="R157" s="27">
        <v>1920</v>
      </c>
      <c r="S157" s="27">
        <v>1800</v>
      </c>
      <c r="T157" s="27">
        <v>1670</v>
      </c>
      <c r="U157" s="27">
        <v>1500</v>
      </c>
      <c r="V157" s="27">
        <v>1470</v>
      </c>
      <c r="W157" s="27">
        <v>1400</v>
      </c>
      <c r="X157" s="27">
        <v>1300</v>
      </c>
      <c r="Y157" s="27">
        <v>1440</v>
      </c>
      <c r="Z157" s="27">
        <v>1620</v>
      </c>
      <c r="AA157" s="27">
        <v>1980</v>
      </c>
      <c r="AB157" s="27">
        <v>2500</v>
      </c>
      <c r="AC157" s="27">
        <v>3320</v>
      </c>
      <c r="AD157" s="27">
        <v>3740</v>
      </c>
      <c r="AE157" s="27">
        <v>4410</v>
      </c>
      <c r="AF157" s="27">
        <v>4840</v>
      </c>
      <c r="AG157" s="27">
        <v>5160</v>
      </c>
      <c r="AH157" s="27">
        <v>5970</v>
      </c>
      <c r="AI157" s="27">
        <v>6280</v>
      </c>
      <c r="AJ157" s="27">
        <v>6100</v>
      </c>
      <c r="AK157" s="27">
        <v>5870</v>
      </c>
      <c r="AL157" s="27">
        <v>5810</v>
      </c>
      <c r="AM157" s="27">
        <v>6060</v>
      </c>
      <c r="AN157" s="27">
        <v>5950</v>
      </c>
      <c r="AO157" s="27">
        <v>5550</v>
      </c>
      <c r="AP157" s="27">
        <v>5720</v>
      </c>
      <c r="AQ157" s="27">
        <v>5900</v>
      </c>
      <c r="AR157" s="27">
        <v>6200</v>
      </c>
      <c r="AS157" s="27">
        <v>6290</v>
      </c>
      <c r="AT157" s="27">
        <v>6750</v>
      </c>
      <c r="AU157" s="29">
        <f t="shared" si="142"/>
        <v>6902.3703138622486</v>
      </c>
      <c r="AV157" s="29">
        <f t="shared" ref="AV157:BS157" si="149">AU157*(1+$D157)</f>
        <v>7058.1801406943459</v>
      </c>
      <c r="AW157" s="29">
        <f t="shared" si="149"/>
        <v>7217.5071219289957</v>
      </c>
      <c r="AX157" s="29">
        <f t="shared" si="149"/>
        <v>7380.4306516284532</v>
      </c>
      <c r="AY157" s="29">
        <f t="shared" si="149"/>
        <v>7547.0319160472964</v>
      </c>
      <c r="AZ157" s="29">
        <f t="shared" si="149"/>
        <v>7717.3939340882644</v>
      </c>
      <c r="BA157" s="29">
        <f t="shared" si="149"/>
        <v>7891.6015986713228</v>
      </c>
      <c r="BB157" s="29">
        <f t="shared" si="149"/>
        <v>8069.7417190365632</v>
      </c>
      <c r="BC157" s="29">
        <f t="shared" si="149"/>
        <v>8251.9030640020283</v>
      </c>
      <c r="BD157" s="29">
        <f t="shared" si="149"/>
        <v>8438.1764061980048</v>
      </c>
      <c r="BE157" s="29">
        <f t="shared" si="149"/>
        <v>8628.6545672998436</v>
      </c>
      <c r="BF157" s="29">
        <f t="shared" si="149"/>
        <v>8823.4324642818301</v>
      </c>
      <c r="BG157" s="29">
        <f t="shared" si="149"/>
        <v>9022.6071567151594</v>
      </c>
      <c r="BH157" s="29">
        <f t="shared" si="149"/>
        <v>9226.2778951335986</v>
      </c>
      <c r="BI157" s="29">
        <f t="shared" si="149"/>
        <v>9434.5461704909067</v>
      </c>
      <c r="BJ157" s="29">
        <f t="shared" si="149"/>
        <v>9647.515764734695</v>
      </c>
      <c r="BK157" s="29">
        <f t="shared" si="149"/>
        <v>9865.2928025218971</v>
      </c>
      <c r="BL157" s="29">
        <f t="shared" si="149"/>
        <v>10087.985804101638</v>
      </c>
      <c r="BM157" s="29">
        <f t="shared" si="149"/>
        <v>10315.705739391842</v>
      </c>
      <c r="BN157" s="29">
        <f t="shared" si="149"/>
        <v>10548.566083276544</v>
      </c>
      <c r="BO157" s="29">
        <f t="shared" si="149"/>
        <v>10786.682872151436</v>
      </c>
      <c r="BP157" s="29">
        <f t="shared" si="149"/>
        <v>11030.174761745844</v>
      </c>
      <c r="BQ157" s="29">
        <f t="shared" si="149"/>
        <v>11279.163086249942</v>
      </c>
      <c r="BR157" s="29">
        <f t="shared" si="149"/>
        <v>11533.771918776667</v>
      </c>
      <c r="BS157" s="29">
        <f t="shared" si="149"/>
        <v>11794.128133188458</v>
      </c>
    </row>
    <row r="158" spans="1:71" x14ac:dyDescent="0.2">
      <c r="A158" s="2" t="s">
        <v>536</v>
      </c>
      <c r="B158" s="2" t="s">
        <v>537</v>
      </c>
      <c r="C158" s="11" t="s">
        <v>82</v>
      </c>
      <c r="D158" s="26">
        <f>'Growth calculation'!G159</f>
        <v>5.593071051086318E-2</v>
      </c>
      <c r="E158" s="27">
        <v>8430</v>
      </c>
      <c r="F158" s="12">
        <v>2025</v>
      </c>
      <c r="G158" s="2" t="s">
        <v>162</v>
      </c>
      <c r="H158" s="27">
        <v>1240</v>
      </c>
      <c r="I158" s="27">
        <v>1010</v>
      </c>
      <c r="J158" s="27">
        <v>910</v>
      </c>
      <c r="K158" s="27">
        <v>840</v>
      </c>
      <c r="L158" s="27">
        <v>1220</v>
      </c>
      <c r="M158" s="27">
        <v>1420</v>
      </c>
      <c r="N158" s="27">
        <v>1550</v>
      </c>
      <c r="O158" s="27">
        <v>1760</v>
      </c>
      <c r="P158" s="27">
        <v>1950</v>
      </c>
      <c r="Q158" s="27">
        <v>2150</v>
      </c>
      <c r="R158" s="27">
        <v>2270</v>
      </c>
      <c r="S158" s="27">
        <v>2150</v>
      </c>
      <c r="T158" s="27">
        <v>2030</v>
      </c>
      <c r="U158" s="27">
        <v>1960</v>
      </c>
      <c r="V158" s="27">
        <v>1890</v>
      </c>
      <c r="W158" s="27">
        <v>1940</v>
      </c>
      <c r="X158" s="27">
        <v>2060</v>
      </c>
      <c r="Y158" s="27">
        <v>2270</v>
      </c>
      <c r="Z158" s="27">
        <v>2520</v>
      </c>
      <c r="AA158" s="27">
        <v>2790</v>
      </c>
      <c r="AB158" s="27">
        <v>3190</v>
      </c>
      <c r="AC158" s="27">
        <v>3770</v>
      </c>
      <c r="AD158" s="27">
        <v>3950</v>
      </c>
      <c r="AE158" s="27">
        <v>4400</v>
      </c>
      <c r="AF158" s="27">
        <v>4960</v>
      </c>
      <c r="AG158" s="27">
        <v>5780</v>
      </c>
      <c r="AH158" s="27">
        <v>6410</v>
      </c>
      <c r="AI158" s="27">
        <v>6520</v>
      </c>
      <c r="AJ158" s="27">
        <v>6340</v>
      </c>
      <c r="AK158" s="27">
        <v>6130</v>
      </c>
      <c r="AL158" s="27">
        <v>6090</v>
      </c>
      <c r="AM158" s="27">
        <v>6500</v>
      </c>
      <c r="AN158" s="27">
        <v>6850</v>
      </c>
      <c r="AO158" s="27">
        <v>6080</v>
      </c>
      <c r="AP158" s="27">
        <v>6550</v>
      </c>
      <c r="AQ158" s="27">
        <v>6930</v>
      </c>
      <c r="AR158" s="27">
        <v>7100</v>
      </c>
      <c r="AS158" s="27">
        <v>7530</v>
      </c>
      <c r="AT158" s="27">
        <v>8430</v>
      </c>
      <c r="AU158" s="29">
        <f t="shared" si="142"/>
        <v>8901.4958896065764</v>
      </c>
      <c r="AV158" s="29">
        <f t="shared" ref="AV158:BS158" si="150">AU158*(1+$D158)</f>
        <v>9399.3628793217995</v>
      </c>
      <c r="AW158" s="29">
        <f t="shared" si="150"/>
        <v>9925.0759235117002</v>
      </c>
      <c r="AX158" s="29">
        <f t="shared" si="150"/>
        <v>10480.19247178797</v>
      </c>
      <c r="AY158" s="29">
        <f t="shared" si="150"/>
        <v>11066.35708302567</v>
      </c>
      <c r="AZ158" s="29">
        <f t="shared" si="150"/>
        <v>11685.306297446217</v>
      </c>
      <c r="BA158" s="29">
        <f t="shared" si="150"/>
        <v>12338.873781199447</v>
      </c>
      <c r="BB158" s="29">
        <f t="shared" si="150"/>
        <v>13028.995758685791</v>
      </c>
      <c r="BC158" s="29">
        <f t="shared" si="150"/>
        <v>13757.716748712108</v>
      </c>
      <c r="BD158" s="29">
        <f t="shared" si="150"/>
        <v>14527.195621474777</v>
      </c>
      <c r="BE158" s="29">
        <f t="shared" si="150"/>
        <v>15339.711994314161</v>
      </c>
      <c r="BF158" s="29">
        <f t="shared" si="150"/>
        <v>16197.672985188159</v>
      </c>
      <c r="BG158" s="29">
        <f t="shared" si="150"/>
        <v>17103.620343872346</v>
      </c>
      <c r="BH158" s="29">
        <f t="shared" si="150"/>
        <v>18060.237982013179</v>
      </c>
      <c r="BI158" s="29">
        <f t="shared" si="150"/>
        <v>19070.359924342451</v>
      </c>
      <c r="BJ158" s="29">
        <f t="shared" si="150"/>
        <v>20136.978704608813</v>
      </c>
      <c r="BK158" s="29">
        <f t="shared" si="150"/>
        <v>21263.254231099701</v>
      </c>
      <c r="BL158" s="29">
        <f t="shared" si="150"/>
        <v>22452.523148018223</v>
      </c>
      <c r="BM158" s="29">
        <f t="shared" si="150"/>
        <v>23708.308720448484</v>
      </c>
      <c r="BN158" s="29">
        <f t="shared" si="150"/>
        <v>25034.331272194057</v>
      </c>
      <c r="BO158" s="29">
        <f t="shared" si="150"/>
        <v>26434.519207412188</v>
      </c>
      <c r="BP158" s="29">
        <f t="shared" si="150"/>
        <v>27913.020648695809</v>
      </c>
      <c r="BQ158" s="29">
        <f t="shared" si="150"/>
        <v>29474.215726081758</v>
      </c>
      <c r="BR158" s="29">
        <f t="shared" si="150"/>
        <v>31122.729553391964</v>
      </c>
      <c r="BS158" s="29">
        <f t="shared" si="150"/>
        <v>32863.445930350616</v>
      </c>
    </row>
    <row r="159" spans="1:71" x14ac:dyDescent="0.2">
      <c r="A159" s="2" t="s">
        <v>538</v>
      </c>
      <c r="B159" s="2" t="s">
        <v>539</v>
      </c>
      <c r="C159" s="11" t="s">
        <v>82</v>
      </c>
      <c r="D159" s="26">
        <f>'Growth calculation'!G160</f>
        <v>4.5484925594279524E-2</v>
      </c>
      <c r="E159" s="27">
        <v>4850</v>
      </c>
      <c r="F159" s="12">
        <v>2025</v>
      </c>
      <c r="G159" s="2" t="s">
        <v>162</v>
      </c>
      <c r="H159" s="27">
        <v>680</v>
      </c>
      <c r="I159" s="27">
        <v>740</v>
      </c>
      <c r="J159" s="27">
        <v>790</v>
      </c>
      <c r="K159" s="27">
        <v>820</v>
      </c>
      <c r="L159" s="27">
        <v>820</v>
      </c>
      <c r="M159" s="27">
        <v>870</v>
      </c>
      <c r="N159" s="27">
        <v>920</v>
      </c>
      <c r="O159" s="27">
        <v>1040</v>
      </c>
      <c r="P159" s="27">
        <v>1150</v>
      </c>
      <c r="Q159" s="27">
        <v>1310</v>
      </c>
      <c r="R159" s="27">
        <v>1380</v>
      </c>
      <c r="S159" s="27">
        <v>1300</v>
      </c>
      <c r="T159" s="27">
        <v>1230</v>
      </c>
      <c r="U159" s="27">
        <v>1150</v>
      </c>
      <c r="V159" s="27">
        <v>1140</v>
      </c>
      <c r="W159" s="27">
        <v>1110</v>
      </c>
      <c r="X159" s="27">
        <v>1150</v>
      </c>
      <c r="Y159" s="27">
        <v>1260</v>
      </c>
      <c r="Z159" s="27">
        <v>1350</v>
      </c>
      <c r="AA159" s="27">
        <v>1470</v>
      </c>
      <c r="AB159" s="27">
        <v>1680</v>
      </c>
      <c r="AC159" s="27">
        <v>1970</v>
      </c>
      <c r="AD159" s="27">
        <v>2130</v>
      </c>
      <c r="AE159" s="27">
        <v>2310</v>
      </c>
      <c r="AF159" s="27">
        <v>2450</v>
      </c>
      <c r="AG159" s="27">
        <v>2780</v>
      </c>
      <c r="AH159" s="27">
        <v>3060</v>
      </c>
      <c r="AI159" s="27">
        <v>3220</v>
      </c>
      <c r="AJ159" s="27">
        <v>3280</v>
      </c>
      <c r="AK159" s="27">
        <v>3350</v>
      </c>
      <c r="AL159" s="27">
        <v>3440</v>
      </c>
      <c r="AM159" s="27">
        <v>3610</v>
      </c>
      <c r="AN159" s="27">
        <v>3760</v>
      </c>
      <c r="AO159" s="27">
        <v>3350</v>
      </c>
      <c r="AP159" s="27">
        <v>3570</v>
      </c>
      <c r="AQ159" s="27">
        <v>4010</v>
      </c>
      <c r="AR159" s="27">
        <v>4320</v>
      </c>
      <c r="AS159" s="27">
        <v>4470</v>
      </c>
      <c r="AT159" s="27">
        <v>4850</v>
      </c>
      <c r="AU159" s="29">
        <f t="shared" si="142"/>
        <v>5070.6018891322556</v>
      </c>
      <c r="AV159" s="29">
        <f t="shared" ref="AV159:BS159" si="151">AU159*(1+$D159)</f>
        <v>5301.2378387776498</v>
      </c>
      <c r="AW159" s="29">
        <f t="shared" si="151"/>
        <v>5542.3642474320304</v>
      </c>
      <c r="AX159" s="29">
        <f t="shared" si="151"/>
        <v>5794.4582728428713</v>
      </c>
      <c r="AY159" s="29">
        <f t="shared" si="151"/>
        <v>6058.0187762422865</v>
      </c>
      <c r="AZ159" s="29">
        <f t="shared" si="151"/>
        <v>6333.5673095284155</v>
      </c>
      <c r="BA159" s="29">
        <f t="shared" si="151"/>
        <v>6621.6491473486767</v>
      </c>
      <c r="BB159" s="29">
        <f t="shared" si="151"/>
        <v>6922.8343661272556</v>
      </c>
      <c r="BC159" s="29">
        <f t="shared" si="151"/>
        <v>7237.7189721720752</v>
      </c>
      <c r="BD159" s="29">
        <f t="shared" si="151"/>
        <v>7566.9260810936275</v>
      </c>
      <c r="BE159" s="29">
        <f t="shared" si="151"/>
        <v>7911.1071508695841</v>
      </c>
      <c r="BF159" s="29">
        <f t="shared" si="151"/>
        <v>8270.9432709952598</v>
      </c>
      <c r="BG159" s="29">
        <f t="shared" si="151"/>
        <v>8647.1465102709863</v>
      </c>
      <c r="BH159" s="29">
        <f t="shared" si="151"/>
        <v>9040.4613258934951</v>
      </c>
      <c r="BI159" s="29">
        <f t="shared" si="151"/>
        <v>9451.6660366397227</v>
      </c>
      <c r="BJ159" s="29">
        <f t="shared" si="151"/>
        <v>9881.5743630582601</v>
      </c>
      <c r="BK159" s="29">
        <f t="shared" si="151"/>
        <v>10331.037037716305</v>
      </c>
      <c r="BL159" s="29">
        <f t="shared" si="151"/>
        <v>10800.943488688577</v>
      </c>
      <c r="BM159" s="29">
        <f t="shared" si="151"/>
        <v>11292.223599619596</v>
      </c>
      <c r="BN159" s="29">
        <f t="shared" si="151"/>
        <v>11805.84954984226</v>
      </c>
      <c r="BO159" s="29">
        <f t="shared" si="151"/>
        <v>12342.837738194094</v>
      </c>
      <c r="BP159" s="29">
        <f t="shared" si="151"/>
        <v>12904.250794338117</v>
      </c>
      <c r="BQ159" s="29">
        <f t="shared" si="151"/>
        <v>13491.199681568509</v>
      </c>
      <c r="BR159" s="29">
        <f t="shared" si="151"/>
        <v>14104.84589526222</v>
      </c>
      <c r="BS159" s="29">
        <f t="shared" si="151"/>
        <v>14746.403761327001</v>
      </c>
    </row>
    <row r="160" spans="1:71" x14ac:dyDescent="0.2">
      <c r="A160" s="2" t="s">
        <v>540</v>
      </c>
      <c r="B160" s="2" t="s">
        <v>541</v>
      </c>
      <c r="C160" s="11" t="s">
        <v>79</v>
      </c>
      <c r="D160" s="26">
        <f>'Growth calculation'!G161</f>
        <v>7.1689000000000003E-2</v>
      </c>
      <c r="E160" s="27">
        <v>25520</v>
      </c>
      <c r="F160" s="12">
        <v>2025</v>
      </c>
      <c r="G160" s="28" t="s">
        <v>279</v>
      </c>
      <c r="H160" s="27"/>
      <c r="I160" s="27"/>
      <c r="J160" s="27"/>
      <c r="K160" s="27"/>
      <c r="L160" s="27"/>
      <c r="M160" s="27">
        <v>2080</v>
      </c>
      <c r="N160" s="27">
        <v>2480</v>
      </c>
      <c r="O160" s="27">
        <v>2750</v>
      </c>
      <c r="P160" s="27">
        <v>3300</v>
      </c>
      <c r="Q160" s="27">
        <v>3880</v>
      </c>
      <c r="R160" s="27">
        <v>4270</v>
      </c>
      <c r="S160" s="27">
        <v>4390</v>
      </c>
      <c r="T160" s="27">
        <v>4460</v>
      </c>
      <c r="U160" s="27">
        <v>4690</v>
      </c>
      <c r="V160" s="27">
        <v>4720</v>
      </c>
      <c r="W160" s="27">
        <v>4890</v>
      </c>
      <c r="X160" s="27">
        <v>5510</v>
      </c>
      <c r="Y160" s="27">
        <v>6290</v>
      </c>
      <c r="Z160" s="27">
        <v>7340</v>
      </c>
      <c r="AA160" s="27">
        <v>8450</v>
      </c>
      <c r="AB160" s="27">
        <v>9940</v>
      </c>
      <c r="AC160" s="27">
        <v>11980</v>
      </c>
      <c r="AD160" s="27">
        <v>12520</v>
      </c>
      <c r="AE160" s="27">
        <v>12730</v>
      </c>
      <c r="AF160" s="27">
        <v>12900</v>
      </c>
      <c r="AG160" s="27">
        <v>13170</v>
      </c>
      <c r="AH160" s="27">
        <v>13290</v>
      </c>
      <c r="AI160" s="27">
        <v>13540</v>
      </c>
      <c r="AJ160" s="27">
        <v>13320</v>
      </c>
      <c r="AK160" s="27">
        <v>12740</v>
      </c>
      <c r="AL160" s="27">
        <v>12780</v>
      </c>
      <c r="AM160" s="27">
        <v>14310</v>
      </c>
      <c r="AN160" s="27">
        <v>15510</v>
      </c>
      <c r="AO160" s="27">
        <v>15640</v>
      </c>
      <c r="AP160" s="27">
        <v>17470</v>
      </c>
      <c r="AQ160" s="27">
        <v>19110</v>
      </c>
      <c r="AR160" s="27">
        <v>19890</v>
      </c>
      <c r="AS160" s="27">
        <v>21590</v>
      </c>
      <c r="AT160" s="27">
        <v>25520</v>
      </c>
      <c r="AU160" s="29">
        <f t="shared" si="142"/>
        <v>27349.503280000004</v>
      </c>
      <c r="AV160" s="29">
        <f t="shared" ref="AV160:BS160" si="152">AU160*(1+$D160)</f>
        <v>29310.161820639929</v>
      </c>
      <c r="AW160" s="29">
        <f t="shared" si="152"/>
        <v>31411.378011399789</v>
      </c>
      <c r="AX160" s="29">
        <f t="shared" si="152"/>
        <v>33663.228289659033</v>
      </c>
      <c r="AY160" s="29">
        <f t="shared" si="152"/>
        <v>36076.511462516406</v>
      </c>
      <c r="AZ160" s="29">
        <f t="shared" si="152"/>
        <v>38662.800492752751</v>
      </c>
      <c r="BA160" s="29">
        <f t="shared" si="152"/>
        <v>41434.497997277707</v>
      </c>
      <c r="BB160" s="29">
        <f t="shared" si="152"/>
        <v>44404.895724204551</v>
      </c>
      <c r="BC160" s="29">
        <f t="shared" si="152"/>
        <v>47588.238293777053</v>
      </c>
      <c r="BD160" s="29">
        <f t="shared" si="152"/>
        <v>50999.791508819639</v>
      </c>
      <c r="BE160" s="29">
        <f t="shared" si="152"/>
        <v>54655.915562295413</v>
      </c>
      <c r="BF160" s="29">
        <f t="shared" si="152"/>
        <v>58574.143493040814</v>
      </c>
      <c r="BG160" s="29">
        <f t="shared" si="152"/>
        <v>62773.265265913426</v>
      </c>
      <c r="BH160" s="29">
        <f t="shared" si="152"/>
        <v>67273.417879561501</v>
      </c>
      <c r="BI160" s="29">
        <f t="shared" si="152"/>
        <v>72096.181933929387</v>
      </c>
      <c r="BJ160" s="29">
        <f t="shared" si="152"/>
        <v>77264.685120590861</v>
      </c>
      <c r="BK160" s="29">
        <f t="shared" si="152"/>
        <v>82803.713132200908</v>
      </c>
      <c r="BL160" s="29">
        <f t="shared" si="152"/>
        <v>88739.828522935262</v>
      </c>
      <c r="BM160" s="29">
        <f t="shared" si="152"/>
        <v>95101.498089915985</v>
      </c>
      <c r="BN160" s="29">
        <f t="shared" si="152"/>
        <v>101919.22938648399</v>
      </c>
      <c r="BO160" s="29">
        <f t="shared" si="152"/>
        <v>109225.71702197165</v>
      </c>
      <c r="BP160" s="29">
        <f t="shared" si="152"/>
        <v>117055.99944955979</v>
      </c>
      <c r="BQ160" s="29">
        <f t="shared" si="152"/>
        <v>125447.62699409929</v>
      </c>
      <c r="BR160" s="29">
        <f t="shared" si="152"/>
        <v>134440.8419256793</v>
      </c>
      <c r="BS160" s="29">
        <f t="shared" si="152"/>
        <v>144078.77144248935</v>
      </c>
    </row>
    <row r="161" spans="1:71" x14ac:dyDescent="0.2">
      <c r="A161" s="2" t="s">
        <v>542</v>
      </c>
      <c r="B161" s="2" t="s">
        <v>543</v>
      </c>
      <c r="C161" s="11" t="s">
        <v>79</v>
      </c>
      <c r="D161" s="26">
        <f>'Growth calculation'!G162</f>
        <v>3.8839612384192757E-2</v>
      </c>
      <c r="E161" s="27">
        <v>29930</v>
      </c>
      <c r="F161" s="12">
        <v>2025</v>
      </c>
      <c r="G161" s="2" t="s">
        <v>162</v>
      </c>
      <c r="H161" s="27">
        <v>4160</v>
      </c>
      <c r="I161" s="27">
        <v>5630</v>
      </c>
      <c r="J161" s="27">
        <v>6320</v>
      </c>
      <c r="K161" s="27">
        <v>7130</v>
      </c>
      <c r="L161" s="27">
        <v>8180</v>
      </c>
      <c r="M161" s="27">
        <v>9860</v>
      </c>
      <c r="N161" s="27">
        <v>10100</v>
      </c>
      <c r="O161" s="27">
        <v>10450</v>
      </c>
      <c r="P161" s="27">
        <v>11210</v>
      </c>
      <c r="Q161" s="27">
        <v>12100</v>
      </c>
      <c r="R161" s="27">
        <v>12370</v>
      </c>
      <c r="S161" s="27">
        <v>12190</v>
      </c>
      <c r="T161" s="27">
        <v>12260</v>
      </c>
      <c r="U161" s="27">
        <v>12180</v>
      </c>
      <c r="V161" s="27">
        <v>11850</v>
      </c>
      <c r="W161" s="27">
        <v>11780</v>
      </c>
      <c r="X161" s="27">
        <v>13290</v>
      </c>
      <c r="Y161" s="27">
        <v>16190</v>
      </c>
      <c r="Z161" s="27">
        <v>18600</v>
      </c>
      <c r="AA161" s="27">
        <v>19410</v>
      </c>
      <c r="AB161" s="27">
        <v>20860</v>
      </c>
      <c r="AC161" s="27">
        <v>22630</v>
      </c>
      <c r="AD161" s="27">
        <v>22970</v>
      </c>
      <c r="AE161" s="27">
        <v>23030</v>
      </c>
      <c r="AF161" s="27">
        <v>22750</v>
      </c>
      <c r="AG161" s="27">
        <v>21220</v>
      </c>
      <c r="AH161" s="27">
        <v>21380</v>
      </c>
      <c r="AI161" s="27">
        <v>21210</v>
      </c>
      <c r="AJ161" s="27">
        <v>20450</v>
      </c>
      <c r="AK161" s="27">
        <v>19950</v>
      </c>
      <c r="AL161" s="27">
        <v>20030</v>
      </c>
      <c r="AM161" s="27">
        <v>22040</v>
      </c>
      <c r="AN161" s="27">
        <v>23250</v>
      </c>
      <c r="AO161" s="27">
        <v>21910</v>
      </c>
      <c r="AP161" s="27">
        <v>23980</v>
      </c>
      <c r="AQ161" s="27">
        <v>25880</v>
      </c>
      <c r="AR161" s="27">
        <v>26340</v>
      </c>
      <c r="AS161" s="27">
        <v>26940</v>
      </c>
      <c r="AT161" s="27">
        <v>29930</v>
      </c>
      <c r="AU161" s="29">
        <f t="shared" si="142"/>
        <v>31092.469598658889</v>
      </c>
      <c r="AV161" s="29">
        <f t="shared" ref="AV161:BS161" si="153">AU161*(1+$D161)</f>
        <v>32300.089065938097</v>
      </c>
      <c r="AW161" s="29">
        <f t="shared" si="153"/>
        <v>33554.612005234034</v>
      </c>
      <c r="AX161" s="29">
        <f t="shared" si="153"/>
        <v>34857.860129219305</v>
      </c>
      <c r="AY161" s="29">
        <f t="shared" si="153"/>
        <v>36211.725905180589</v>
      </c>
      <c r="AZ161" s="29">
        <f t="shared" si="153"/>
        <v>37618.175303100434</v>
      </c>
      <c r="BA161" s="29">
        <f t="shared" si="153"/>
        <v>39079.25065047347</v>
      </c>
      <c r="BB161" s="29">
        <f t="shared" si="153"/>
        <v>40597.073598002571</v>
      </c>
      <c r="BC161" s="29">
        <f t="shared" si="153"/>
        <v>42173.848200481538</v>
      </c>
      <c r="BD161" s="29">
        <f t="shared" si="153"/>
        <v>43811.864117338024</v>
      </c>
      <c r="BE161" s="29">
        <f t="shared" si="153"/>
        <v>45513.499937484354</v>
      </c>
      <c r="BF161" s="29">
        <f t="shared" si="153"/>
        <v>47281.226633304228</v>
      </c>
      <c r="BG161" s="29">
        <f t="shared" si="153"/>
        <v>49117.611148790937</v>
      </c>
      <c r="BH161" s="29">
        <f t="shared" si="153"/>
        <v>51025.320127047482</v>
      </c>
      <c r="BI161" s="29">
        <f t="shared" si="153"/>
        <v>53007.123782561357</v>
      </c>
      <c r="BJ161" s="29">
        <f t="shared" si="153"/>
        <v>55065.899923876968</v>
      </c>
      <c r="BK161" s="29">
        <f t="shared" si="153"/>
        <v>57204.638132507098</v>
      </c>
      <c r="BL161" s="29">
        <f t="shared" si="153"/>
        <v>59426.444104151684</v>
      </c>
      <c r="BM161" s="29">
        <f t="shared" si="153"/>
        <v>61734.544158527831</v>
      </c>
      <c r="BN161" s="29">
        <f t="shared" si="153"/>
        <v>64132.28992435988</v>
      </c>
      <c r="BO161" s="29">
        <f t="shared" si="153"/>
        <v>66623.163206332683</v>
      </c>
      <c r="BP161" s="29">
        <f t="shared" si="153"/>
        <v>69210.781041075461</v>
      </c>
      <c r="BQ161" s="29">
        <f t="shared" si="153"/>
        <v>71898.900949518065</v>
      </c>
      <c r="BR161" s="29">
        <f t="shared" si="153"/>
        <v>74691.426393246817</v>
      </c>
      <c r="BS161" s="29">
        <f t="shared" si="153"/>
        <v>77592.412442782981</v>
      </c>
    </row>
    <row r="162" spans="1:71" x14ac:dyDescent="0.2">
      <c r="A162" s="2" t="s">
        <v>544</v>
      </c>
      <c r="B162" s="2" t="s">
        <v>545</v>
      </c>
      <c r="C162" s="11" t="s">
        <v>79</v>
      </c>
      <c r="D162" s="26">
        <f>'Growth calculation'!G163</f>
        <v>3.5129972041200275E-2</v>
      </c>
      <c r="E162" s="27">
        <v>27320</v>
      </c>
      <c r="F162" s="12">
        <v>2025</v>
      </c>
      <c r="G162" s="2" t="s">
        <v>162</v>
      </c>
      <c r="H162" s="27">
        <v>5350</v>
      </c>
      <c r="I162" s="27">
        <v>5860</v>
      </c>
      <c r="J162" s="27">
        <v>6050</v>
      </c>
      <c r="K162" s="27">
        <v>5950</v>
      </c>
      <c r="L162" s="27">
        <v>6300</v>
      </c>
      <c r="M162" s="27">
        <v>6760</v>
      </c>
      <c r="N162" s="27">
        <v>7100</v>
      </c>
      <c r="O162" s="27">
        <v>7370</v>
      </c>
      <c r="P162" s="27">
        <v>7820</v>
      </c>
      <c r="Q162" s="27">
        <v>8130</v>
      </c>
      <c r="R162" s="27">
        <v>8510</v>
      </c>
      <c r="S162" s="27">
        <v>8690</v>
      </c>
      <c r="T162" s="27">
        <v>9590</v>
      </c>
      <c r="U162" s="27">
        <v>10550</v>
      </c>
      <c r="V162" s="27">
        <v>10950</v>
      </c>
      <c r="W162" s="27">
        <v>11250</v>
      </c>
      <c r="X162" s="27">
        <v>12170</v>
      </c>
      <c r="Y162" s="27">
        <v>14260</v>
      </c>
      <c r="Z162" s="27">
        <v>14750</v>
      </c>
      <c r="AA162" s="27">
        <v>15030</v>
      </c>
      <c r="AB162" s="27">
        <v>15860</v>
      </c>
      <c r="AC162" s="27">
        <v>16360</v>
      </c>
      <c r="AD162" s="27">
        <v>16580</v>
      </c>
      <c r="AE162" s="27">
        <v>16910</v>
      </c>
      <c r="AF162" s="27">
        <v>17600</v>
      </c>
      <c r="AG162" s="27">
        <v>18550</v>
      </c>
      <c r="AH162" s="27">
        <v>18960</v>
      </c>
      <c r="AI162" s="27">
        <v>19010</v>
      </c>
      <c r="AJ162" s="27">
        <v>19080</v>
      </c>
      <c r="AK162" s="27">
        <v>19290</v>
      </c>
      <c r="AL162" s="27">
        <v>19500</v>
      </c>
      <c r="AM162" s="27">
        <v>20380</v>
      </c>
      <c r="AN162" s="27">
        <v>21310</v>
      </c>
      <c r="AO162" s="27">
        <v>21200</v>
      </c>
      <c r="AP162" s="27">
        <v>22580</v>
      </c>
      <c r="AQ162" s="27">
        <v>24670</v>
      </c>
      <c r="AR162" s="27">
        <v>25290</v>
      </c>
      <c r="AS162" s="27">
        <v>25870</v>
      </c>
      <c r="AT162" s="27">
        <v>27320</v>
      </c>
      <c r="AU162" s="29">
        <f t="shared" si="142"/>
        <v>28279.750836165593</v>
      </c>
      <c r="AV162" s="29">
        <f t="shared" ref="AV162:BS162" si="154">AU162*(1+$D162)</f>
        <v>29273.217692372204</v>
      </c>
      <c r="AW162" s="29">
        <f t="shared" si="154"/>
        <v>30301.585011461211</v>
      </c>
      <c r="AX162" s="29">
        <f t="shared" si="154"/>
        <v>31366.078845717901</v>
      </c>
      <c r="AY162" s="29">
        <f t="shared" si="154"/>
        <v>32467.968318610056</v>
      </c>
      <c r="AZ162" s="29">
        <f t="shared" si="154"/>
        <v>33608.567137877406</v>
      </c>
      <c r="BA162" s="29">
        <f t="shared" si="154"/>
        <v>34789.235161775847</v>
      </c>
      <c r="BB162" s="29">
        <f t="shared" si="154"/>
        <v>36011.380020343779</v>
      </c>
      <c r="BC162" s="29">
        <f t="shared" si="154"/>
        <v>37276.458793623497</v>
      </c>
      <c r="BD162" s="29">
        <f t="shared" si="154"/>
        <v>38585.97974883845</v>
      </c>
      <c r="BE162" s="29">
        <f t="shared" si="154"/>
        <v>39941.504138597469</v>
      </c>
      <c r="BF162" s="29">
        <f t="shared" si="154"/>
        <v>41344.648062269887</v>
      </c>
      <c r="BG162" s="29">
        <f t="shared" si="154"/>
        <v>42797.084392750701</v>
      </c>
      <c r="BH162" s="29">
        <f t="shared" si="154"/>
        <v>44300.544770912929</v>
      </c>
      <c r="BI162" s="29">
        <f t="shared" si="154"/>
        <v>45856.821670125049</v>
      </c>
      <c r="BJ162" s="29">
        <f t="shared" si="154"/>
        <v>47467.770533294854</v>
      </c>
      <c r="BK162" s="29">
        <f t="shared" si="154"/>
        <v>49135.311984987617</v>
      </c>
      <c r="BL162" s="29">
        <f t="shared" si="154"/>
        <v>50861.434121255887</v>
      </c>
      <c r="BM162" s="29">
        <f t="shared" si="154"/>
        <v>52648.19487991096</v>
      </c>
      <c r="BN162" s="29">
        <f t="shared" si="154"/>
        <v>54497.724494061898</v>
      </c>
      <c r="BO162" s="29">
        <f t="shared" si="154"/>
        <v>56412.228031847335</v>
      </c>
      <c r="BP162" s="29">
        <f t="shared" si="154"/>
        <v>58393.988025387953</v>
      </c>
      <c r="BQ162" s="29">
        <f t="shared" si="154"/>
        <v>60445.367192094025</v>
      </c>
      <c r="BR162" s="29">
        <f t="shared" si="154"/>
        <v>62568.811251572377</v>
      </c>
      <c r="BS162" s="29">
        <f t="shared" si="154"/>
        <v>64766.851841491261</v>
      </c>
    </row>
    <row r="163" spans="1:71" x14ac:dyDescent="0.2">
      <c r="A163" s="2" t="s">
        <v>546</v>
      </c>
      <c r="B163" s="2" t="s">
        <v>547</v>
      </c>
      <c r="C163" s="11" t="s">
        <v>79</v>
      </c>
      <c r="D163" s="26">
        <f>'Growth calculation'!G164</f>
        <v>1.244E-2</v>
      </c>
      <c r="E163" s="27">
        <v>74330</v>
      </c>
      <c r="F163" s="12">
        <v>2025</v>
      </c>
      <c r="G163" s="28" t="s">
        <v>548</v>
      </c>
      <c r="H163" s="27">
        <v>16780</v>
      </c>
      <c r="I163" s="27">
        <v>16470</v>
      </c>
      <c r="J163" s="27">
        <v>16690</v>
      </c>
      <c r="K163" s="27">
        <v>17040</v>
      </c>
      <c r="L163" s="27">
        <v>16270</v>
      </c>
      <c r="M163" s="27">
        <v>17900</v>
      </c>
      <c r="N163" s="27">
        <v>16400</v>
      </c>
      <c r="O163" s="27">
        <v>15860</v>
      </c>
      <c r="P163" s="27">
        <v>16060</v>
      </c>
      <c r="Q163" s="27">
        <v>17000</v>
      </c>
      <c r="R163" s="27">
        <v>21470</v>
      </c>
      <c r="S163" s="27">
        <v>19860</v>
      </c>
      <c r="T163" s="27">
        <v>19050</v>
      </c>
      <c r="U163" s="27">
        <v>19620</v>
      </c>
      <c r="V163" s="27">
        <v>23090</v>
      </c>
      <c r="W163" s="27">
        <v>25590</v>
      </c>
      <c r="X163" s="27">
        <v>28090</v>
      </c>
      <c r="Y163" s="27">
        <v>35220</v>
      </c>
      <c r="Z163" s="27">
        <v>40110</v>
      </c>
      <c r="AA163" s="27">
        <v>53410</v>
      </c>
      <c r="AB163" s="27">
        <v>58500</v>
      </c>
      <c r="AC163" s="27">
        <v>66030</v>
      </c>
      <c r="AD163" s="27">
        <v>63010</v>
      </c>
      <c r="AE163" s="27">
        <v>71900</v>
      </c>
      <c r="AF163" s="27">
        <v>82960</v>
      </c>
      <c r="AG163" s="27">
        <v>92750</v>
      </c>
      <c r="AH163" s="27">
        <v>96070</v>
      </c>
      <c r="AI163" s="27">
        <v>91410</v>
      </c>
      <c r="AJ163" s="27">
        <v>80090</v>
      </c>
      <c r="AK163" s="27">
        <v>69170</v>
      </c>
      <c r="AL163" s="27">
        <v>60920</v>
      </c>
      <c r="AM163" s="27">
        <v>63410</v>
      </c>
      <c r="AN163" s="27">
        <v>65700</v>
      </c>
      <c r="AO163" s="27">
        <v>57730</v>
      </c>
      <c r="AP163" s="27">
        <v>66970</v>
      </c>
      <c r="AQ163" s="27">
        <v>71050</v>
      </c>
      <c r="AR163" s="27">
        <v>79430</v>
      </c>
      <c r="AS163" s="27">
        <v>76570</v>
      </c>
      <c r="AT163" s="27">
        <v>74330</v>
      </c>
      <c r="AU163" s="29">
        <f t="shared" si="142"/>
        <v>75254.665200000003</v>
      </c>
      <c r="AV163" s="29">
        <f t="shared" ref="AV163:BS163" si="155">AU163*(1+$D163)</f>
        <v>76190.833235088008</v>
      </c>
      <c r="AW163" s="29">
        <f t="shared" si="155"/>
        <v>77138.647200532505</v>
      </c>
      <c r="AX163" s="29">
        <f t="shared" si="155"/>
        <v>78098.251971707126</v>
      </c>
      <c r="AY163" s="29">
        <f t="shared" si="155"/>
        <v>79069.794226235157</v>
      </c>
      <c r="AZ163" s="29">
        <f t="shared" si="155"/>
        <v>80053.422466409524</v>
      </c>
      <c r="BA163" s="29">
        <f t="shared" si="155"/>
        <v>81049.287041891657</v>
      </c>
      <c r="BB163" s="29">
        <f t="shared" si="155"/>
        <v>82057.540172692796</v>
      </c>
      <c r="BC163" s="29">
        <f t="shared" si="155"/>
        <v>83078.335972441098</v>
      </c>
      <c r="BD163" s="29">
        <f t="shared" si="155"/>
        <v>84111.830471938272</v>
      </c>
      <c r="BE163" s="29">
        <f t="shared" si="155"/>
        <v>85158.181643009186</v>
      </c>
      <c r="BF163" s="29">
        <f t="shared" si="155"/>
        <v>86217.549422648226</v>
      </c>
      <c r="BG163" s="29">
        <f t="shared" si="155"/>
        <v>87290.095737465977</v>
      </c>
      <c r="BH163" s="29">
        <f t="shared" si="155"/>
        <v>88375.984528440051</v>
      </c>
      <c r="BI163" s="29">
        <f t="shared" si="155"/>
        <v>89475.381775973845</v>
      </c>
      <c r="BJ163" s="29">
        <f t="shared" si="155"/>
        <v>90588.455525266967</v>
      </c>
      <c r="BK163" s="29">
        <f t="shared" si="155"/>
        <v>91715.375912001284</v>
      </c>
      <c r="BL163" s="29">
        <f t="shared" si="155"/>
        <v>92856.315188346576</v>
      </c>
      <c r="BM163" s="29">
        <f t="shared" si="155"/>
        <v>94011.447749289611</v>
      </c>
      <c r="BN163" s="29">
        <f t="shared" si="155"/>
        <v>95180.950159290776</v>
      </c>
      <c r="BO163" s="29">
        <f t="shared" si="155"/>
        <v>96365.001179272353</v>
      </c>
      <c r="BP163" s="29">
        <f t="shared" si="155"/>
        <v>97563.7817939425</v>
      </c>
      <c r="BQ163" s="29">
        <f t="shared" si="155"/>
        <v>98777.475239459149</v>
      </c>
      <c r="BR163" s="29">
        <f t="shared" si="155"/>
        <v>100006.26703143802</v>
      </c>
      <c r="BS163" s="29">
        <f t="shared" si="155"/>
        <v>101250.34499330912</v>
      </c>
    </row>
    <row r="164" spans="1:71" x14ac:dyDescent="0.2">
      <c r="A164" s="2" t="s">
        <v>549</v>
      </c>
      <c r="B164" s="2" t="s">
        <v>550</v>
      </c>
      <c r="C164" s="11" t="s">
        <v>79</v>
      </c>
      <c r="D164" s="26">
        <f>'Growth calculation'!G165</f>
        <v>7.1689000000000003E-2</v>
      </c>
      <c r="E164" s="27">
        <v>20190</v>
      </c>
      <c r="F164" s="12">
        <v>2025</v>
      </c>
      <c r="G164" s="28" t="s">
        <v>551</v>
      </c>
      <c r="H164" s="27"/>
      <c r="I164" s="27"/>
      <c r="J164" s="27"/>
      <c r="K164" s="27"/>
      <c r="L164" s="27"/>
      <c r="M164" s="27">
        <v>1240</v>
      </c>
      <c r="N164" s="27">
        <v>1190</v>
      </c>
      <c r="O164" s="27">
        <v>1270</v>
      </c>
      <c r="P164" s="27">
        <v>1490</v>
      </c>
      <c r="Q164" s="27">
        <v>1640</v>
      </c>
      <c r="R164" s="27">
        <v>1590</v>
      </c>
      <c r="S164" s="27">
        <v>1580</v>
      </c>
      <c r="T164" s="27">
        <v>1610</v>
      </c>
      <c r="U164" s="27">
        <v>1710</v>
      </c>
      <c r="V164" s="27">
        <v>1760</v>
      </c>
      <c r="W164" s="27">
        <v>1950</v>
      </c>
      <c r="X164" s="27">
        <v>2250</v>
      </c>
      <c r="Y164" s="27">
        <v>2960</v>
      </c>
      <c r="Z164" s="27">
        <v>3880</v>
      </c>
      <c r="AA164" s="27">
        <v>4900</v>
      </c>
      <c r="AB164" s="27">
        <v>6510</v>
      </c>
      <c r="AC164" s="27">
        <v>8800</v>
      </c>
      <c r="AD164" s="27">
        <v>9220</v>
      </c>
      <c r="AE164" s="27">
        <v>8770</v>
      </c>
      <c r="AF164" s="27">
        <v>9080</v>
      </c>
      <c r="AG164" s="27">
        <v>9260</v>
      </c>
      <c r="AH164" s="27">
        <v>9390</v>
      </c>
      <c r="AI164" s="27">
        <v>9760</v>
      </c>
      <c r="AJ164" s="27">
        <v>9610</v>
      </c>
      <c r="AK164" s="27">
        <v>9460</v>
      </c>
      <c r="AL164" s="27">
        <v>10030</v>
      </c>
      <c r="AM164" s="27">
        <v>11490</v>
      </c>
      <c r="AN164" s="27">
        <v>12660</v>
      </c>
      <c r="AO164" s="27">
        <v>12720</v>
      </c>
      <c r="AP164" s="27">
        <v>14180</v>
      </c>
      <c r="AQ164" s="27">
        <v>15390</v>
      </c>
      <c r="AR164" s="27">
        <v>16590</v>
      </c>
      <c r="AS164" s="27">
        <v>17600</v>
      </c>
      <c r="AT164" s="27">
        <v>20190</v>
      </c>
      <c r="AU164" s="29">
        <f t="shared" si="142"/>
        <v>21637.400910000004</v>
      </c>
      <c r="AV164" s="29">
        <f t="shared" ref="AV164:BS164" si="156">AU164*(1+$D164)</f>
        <v>23188.564543836997</v>
      </c>
      <c r="AW164" s="29">
        <f t="shared" si="156"/>
        <v>24850.929547420132</v>
      </c>
      <c r="AX164" s="29">
        <f t="shared" si="156"/>
        <v>26632.467835745138</v>
      </c>
      <c r="AY164" s="29">
        <f t="shared" si="156"/>
        <v>28541.722822421874</v>
      </c>
      <c r="AZ164" s="29">
        <f t="shared" si="156"/>
        <v>30587.850389838481</v>
      </c>
      <c r="BA164" s="29">
        <f t="shared" si="156"/>
        <v>32780.662796435616</v>
      </c>
      <c r="BB164" s="29">
        <f t="shared" si="156"/>
        <v>35130.675731649295</v>
      </c>
      <c r="BC164" s="29">
        <f t="shared" si="156"/>
        <v>37649.158744175504</v>
      </c>
      <c r="BD164" s="29">
        <f t="shared" si="156"/>
        <v>40348.189285386703</v>
      </c>
      <c r="BE164" s="29">
        <f t="shared" si="156"/>
        <v>43240.710627066794</v>
      </c>
      <c r="BF164" s="29">
        <f t="shared" si="156"/>
        <v>46340.593931210591</v>
      </c>
      <c r="BG164" s="29">
        <f t="shared" si="156"/>
        <v>49662.704769545155</v>
      </c>
      <c r="BH164" s="29">
        <f t="shared" si="156"/>
        <v>53222.974411769086</v>
      </c>
      <c r="BI164" s="29">
        <f t="shared" si="156"/>
        <v>57038.476224374404</v>
      </c>
      <c r="BJ164" s="29">
        <f t="shared" si="156"/>
        <v>61127.507546423585</v>
      </c>
      <c r="BK164" s="29">
        <f t="shared" si="156"/>
        <v>65509.677434919155</v>
      </c>
      <c r="BL164" s="29">
        <f t="shared" si="156"/>
        <v>70206.000700551085</v>
      </c>
      <c r="BM164" s="29">
        <f t="shared" si="156"/>
        <v>75238.998684772901</v>
      </c>
      <c r="BN164" s="29">
        <f t="shared" si="156"/>
        <v>80632.807261485592</v>
      </c>
      <c r="BO164" s="29">
        <f t="shared" si="156"/>
        <v>86413.292581254238</v>
      </c>
      <c r="BP164" s="29">
        <f t="shared" si="156"/>
        <v>92608.175113111778</v>
      </c>
      <c r="BQ164" s="29">
        <f t="shared" si="156"/>
        <v>99247.162578795658</v>
      </c>
      <c r="BR164" s="29">
        <f t="shared" si="156"/>
        <v>106362.09241690695</v>
      </c>
      <c r="BS164" s="29">
        <f t="shared" si="156"/>
        <v>113987.0844601826</v>
      </c>
    </row>
    <row r="165" spans="1:71" x14ac:dyDescent="0.2">
      <c r="A165" s="2" t="s">
        <v>552</v>
      </c>
      <c r="B165" s="2" t="s">
        <v>553</v>
      </c>
      <c r="C165" s="11" t="s">
        <v>79</v>
      </c>
      <c r="D165" s="26">
        <f>'Growth calculation'!G166</f>
        <v>7.1689000000000003E-2</v>
      </c>
      <c r="E165" s="27">
        <v>15960</v>
      </c>
      <c r="F165" s="12">
        <v>2025</v>
      </c>
      <c r="G165" s="28" t="s">
        <v>551</v>
      </c>
      <c r="H165" s="27"/>
      <c r="I165" s="27"/>
      <c r="J165" s="27"/>
      <c r="K165" s="27"/>
      <c r="L165" s="27">
        <v>3440</v>
      </c>
      <c r="M165" s="27">
        <v>3090</v>
      </c>
      <c r="N165" s="27">
        <v>2920</v>
      </c>
      <c r="O165" s="27">
        <v>2650</v>
      </c>
      <c r="P165" s="27">
        <v>2640</v>
      </c>
      <c r="Q165" s="27">
        <v>2600</v>
      </c>
      <c r="R165" s="27">
        <v>2650</v>
      </c>
      <c r="S165" s="27">
        <v>2130</v>
      </c>
      <c r="T165" s="27">
        <v>1750</v>
      </c>
      <c r="U165" s="27">
        <v>1710</v>
      </c>
      <c r="V165" s="27">
        <v>1780</v>
      </c>
      <c r="W165" s="27">
        <v>2100</v>
      </c>
      <c r="X165" s="27">
        <v>2590</v>
      </c>
      <c r="Y165" s="27">
        <v>3410</v>
      </c>
      <c r="Z165" s="27">
        <v>4450</v>
      </c>
      <c r="AA165" s="27">
        <v>5810</v>
      </c>
      <c r="AB165" s="27">
        <v>7560</v>
      </c>
      <c r="AC165" s="27">
        <v>9580</v>
      </c>
      <c r="AD165" s="27">
        <v>9230</v>
      </c>
      <c r="AE165" s="27">
        <v>9980</v>
      </c>
      <c r="AF165" s="27">
        <v>11060</v>
      </c>
      <c r="AG165" s="27">
        <v>13470</v>
      </c>
      <c r="AH165" s="27">
        <v>15160</v>
      </c>
      <c r="AI165" s="27">
        <v>14590</v>
      </c>
      <c r="AJ165" s="27">
        <v>11740</v>
      </c>
      <c r="AK165" s="27">
        <v>9680</v>
      </c>
      <c r="AL165" s="27">
        <v>9160</v>
      </c>
      <c r="AM165" s="27">
        <v>10180</v>
      </c>
      <c r="AN165" s="27">
        <v>11190</v>
      </c>
      <c r="AO165" s="27">
        <v>10660</v>
      </c>
      <c r="AP165" s="27">
        <v>11710</v>
      </c>
      <c r="AQ165" s="27">
        <v>12890</v>
      </c>
      <c r="AR165" s="27">
        <v>14400</v>
      </c>
      <c r="AS165" s="27">
        <v>15330</v>
      </c>
      <c r="AT165" s="27">
        <v>15960</v>
      </c>
      <c r="AU165" s="29">
        <f t="shared" si="142"/>
        <v>17104.156440000002</v>
      </c>
      <c r="AV165" s="29">
        <f t="shared" ref="AV165:BS165" si="157">AU165*(1+$D165)</f>
        <v>18330.336311027164</v>
      </c>
      <c r="AW165" s="29">
        <f t="shared" si="157"/>
        <v>19644.419790828393</v>
      </c>
      <c r="AX165" s="29">
        <f t="shared" si="157"/>
        <v>21052.708601213093</v>
      </c>
      <c r="AY165" s="29">
        <f t="shared" si="157"/>
        <v>22561.956228125462</v>
      </c>
      <c r="AZ165" s="29">
        <f t="shared" si="157"/>
        <v>24179.400308163549</v>
      </c>
      <c r="BA165" s="29">
        <f t="shared" si="157"/>
        <v>25912.797336855489</v>
      </c>
      <c r="BB165" s="29">
        <f t="shared" si="157"/>
        <v>27770.459865137324</v>
      </c>
      <c r="BC165" s="29">
        <f t="shared" si="157"/>
        <v>29761.296362409157</v>
      </c>
      <c r="BD165" s="29">
        <f t="shared" si="157"/>
        <v>31894.853937333912</v>
      </c>
      <c r="BE165" s="29">
        <f t="shared" si="157"/>
        <v>34181.364121247447</v>
      </c>
      <c r="BF165" s="29">
        <f t="shared" si="157"/>
        <v>36631.791933735556</v>
      </c>
      <c r="BG165" s="29">
        <f t="shared" si="157"/>
        <v>39257.888465673132</v>
      </c>
      <c r="BH165" s="29">
        <f t="shared" si="157"/>
        <v>42072.247231888774</v>
      </c>
      <c r="BI165" s="29">
        <f t="shared" si="157"/>
        <v>45088.36456369565</v>
      </c>
      <c r="BJ165" s="29">
        <f t="shared" si="157"/>
        <v>48320.70433090243</v>
      </c>
      <c r="BK165" s="29">
        <f t="shared" si="157"/>
        <v>51784.767303680499</v>
      </c>
      <c r="BL165" s="29">
        <f t="shared" si="157"/>
        <v>55497.165486914055</v>
      </c>
      <c r="BM165" s="29">
        <f t="shared" si="157"/>
        <v>59475.701783505443</v>
      </c>
      <c r="BN165" s="29">
        <f t="shared" si="157"/>
        <v>63739.45536866317</v>
      </c>
      <c r="BO165" s="29">
        <f t="shared" si="157"/>
        <v>68308.873184587268</v>
      </c>
      <c r="BP165" s="29">
        <f t="shared" si="157"/>
        <v>73205.867994317159</v>
      </c>
      <c r="BQ165" s="29">
        <f t="shared" si="157"/>
        <v>78453.923464961772</v>
      </c>
      <c r="BR165" s="29">
        <f t="shared" si="157"/>
        <v>84078.206784241425</v>
      </c>
      <c r="BS165" s="29">
        <f t="shared" si="157"/>
        <v>90105.689350396919</v>
      </c>
    </row>
    <row r="166" spans="1:71" x14ac:dyDescent="0.2">
      <c r="A166" s="2" t="s">
        <v>554</v>
      </c>
      <c r="B166" s="2" t="s">
        <v>555</v>
      </c>
      <c r="C166" s="11" t="s">
        <v>75</v>
      </c>
      <c r="D166" s="26">
        <f>'Growth calculation'!G167</f>
        <v>5.5947999999999998E-2</v>
      </c>
      <c r="E166" s="27">
        <v>1150</v>
      </c>
      <c r="F166" s="12">
        <v>2025</v>
      </c>
      <c r="G166" s="28" t="s">
        <v>556</v>
      </c>
      <c r="H166" s="27">
        <v>320</v>
      </c>
      <c r="I166" s="27">
        <v>360</v>
      </c>
      <c r="J166" s="27">
        <v>350</v>
      </c>
      <c r="K166" s="27">
        <v>340</v>
      </c>
      <c r="L166" s="27">
        <v>300</v>
      </c>
      <c r="M166" s="27">
        <v>300</v>
      </c>
      <c r="N166" s="27">
        <v>250</v>
      </c>
      <c r="O166" s="27">
        <v>130</v>
      </c>
      <c r="P166" s="27">
        <v>220</v>
      </c>
      <c r="Q166" s="27">
        <v>200</v>
      </c>
      <c r="R166" s="27">
        <v>220</v>
      </c>
      <c r="S166" s="27">
        <v>230</v>
      </c>
      <c r="T166" s="27">
        <v>250</v>
      </c>
      <c r="U166" s="27">
        <v>270</v>
      </c>
      <c r="V166" s="27">
        <v>260</v>
      </c>
      <c r="W166" s="27">
        <v>260</v>
      </c>
      <c r="X166" s="27">
        <v>250</v>
      </c>
      <c r="Y166" s="27">
        <v>270</v>
      </c>
      <c r="Z166" s="27">
        <v>310</v>
      </c>
      <c r="AA166" s="27">
        <v>350</v>
      </c>
      <c r="AB166" s="27">
        <v>390</v>
      </c>
      <c r="AC166" s="27">
        <v>470</v>
      </c>
      <c r="AD166" s="27">
        <v>530</v>
      </c>
      <c r="AE166" s="27">
        <v>580</v>
      </c>
      <c r="AF166" s="27">
        <v>630</v>
      </c>
      <c r="AG166" s="27">
        <v>680</v>
      </c>
      <c r="AH166" s="27">
        <v>700</v>
      </c>
      <c r="AI166" s="27">
        <v>710</v>
      </c>
      <c r="AJ166" s="27">
        <v>720</v>
      </c>
      <c r="AK166" s="27">
        <v>720</v>
      </c>
      <c r="AL166" s="27">
        <v>720</v>
      </c>
      <c r="AM166" s="27">
        <v>760</v>
      </c>
      <c r="AN166" s="27">
        <v>820</v>
      </c>
      <c r="AO166" s="27">
        <v>780</v>
      </c>
      <c r="AP166" s="27">
        <v>850</v>
      </c>
      <c r="AQ166" s="27">
        <v>970</v>
      </c>
      <c r="AR166" s="27">
        <v>1030</v>
      </c>
      <c r="AS166" s="27">
        <v>1070</v>
      </c>
      <c r="AT166" s="27">
        <v>1150</v>
      </c>
      <c r="AU166" s="29">
        <f t="shared" si="142"/>
        <v>1214.3401999999999</v>
      </c>
      <c r="AV166" s="29">
        <f t="shared" ref="AV166:BS166" si="158">AU166*(1+$D166)</f>
        <v>1282.2801055095997</v>
      </c>
      <c r="AW166" s="29">
        <f t="shared" si="158"/>
        <v>1354.0211128526507</v>
      </c>
      <c r="AX166" s="29">
        <f t="shared" si="158"/>
        <v>1429.7758860745307</v>
      </c>
      <c r="AY166" s="29">
        <f t="shared" si="158"/>
        <v>1509.7689873486283</v>
      </c>
      <c r="AZ166" s="29">
        <f t="shared" si="158"/>
        <v>1594.2375426528092</v>
      </c>
      <c r="BA166" s="29">
        <f t="shared" si="158"/>
        <v>1683.4319446891484</v>
      </c>
      <c r="BB166" s="29">
        <f t="shared" si="158"/>
        <v>1777.6165951306166</v>
      </c>
      <c r="BC166" s="29">
        <f t="shared" si="158"/>
        <v>1877.070688394984</v>
      </c>
      <c r="BD166" s="29">
        <f t="shared" si="158"/>
        <v>1982.0890392693063</v>
      </c>
      <c r="BE166" s="29">
        <f t="shared" si="158"/>
        <v>2092.9829568383452</v>
      </c>
      <c r="BF166" s="29">
        <f t="shared" si="158"/>
        <v>2210.0811673075368</v>
      </c>
      <c r="BG166" s="29">
        <f t="shared" si="158"/>
        <v>2333.7307884560587</v>
      </c>
      <c r="BH166" s="29">
        <f t="shared" si="158"/>
        <v>2464.2983586085979</v>
      </c>
      <c r="BI166" s="29">
        <f t="shared" si="158"/>
        <v>2602.1709231760315</v>
      </c>
      <c r="BJ166" s="29">
        <f t="shared" si="158"/>
        <v>2747.7571819858836</v>
      </c>
      <c r="BK166" s="29">
        <f t="shared" si="158"/>
        <v>2901.4887008036294</v>
      </c>
      <c r="BL166" s="29">
        <f t="shared" si="158"/>
        <v>3063.8211906361907</v>
      </c>
      <c r="BM166" s="29">
        <f t="shared" si="158"/>
        <v>3235.235858609904</v>
      </c>
      <c r="BN166" s="29">
        <f t="shared" si="158"/>
        <v>3416.2408344274104</v>
      </c>
      <c r="BO166" s="29">
        <f t="shared" si="158"/>
        <v>3607.3726766319546</v>
      </c>
      <c r="BP166" s="29">
        <f t="shared" si="158"/>
        <v>3809.1979631441586</v>
      </c>
      <c r="BQ166" s="29">
        <f t="shared" si="158"/>
        <v>4022.3149707861476</v>
      </c>
      <c r="BR166" s="29">
        <f t="shared" si="158"/>
        <v>4247.3554487716901</v>
      </c>
      <c r="BS166" s="29">
        <f t="shared" si="158"/>
        <v>4484.9864914195678</v>
      </c>
    </row>
    <row r="167" spans="1:71" x14ac:dyDescent="0.2">
      <c r="A167" s="2" t="s">
        <v>557</v>
      </c>
      <c r="B167" s="2" t="s">
        <v>558</v>
      </c>
      <c r="C167" s="11" t="s">
        <v>82</v>
      </c>
      <c r="D167" s="26">
        <f>'Growth calculation'!G168</f>
        <v>3.6435547306553628E-2</v>
      </c>
      <c r="E167" s="27">
        <v>5640</v>
      </c>
      <c r="F167" s="12">
        <v>2025</v>
      </c>
      <c r="G167" s="2" t="s">
        <v>162</v>
      </c>
      <c r="H167" s="27">
        <v>710</v>
      </c>
      <c r="I167" s="27">
        <v>920</v>
      </c>
      <c r="J167" s="27">
        <v>1040</v>
      </c>
      <c r="K167" s="27">
        <v>1050</v>
      </c>
      <c r="L167" s="27">
        <v>1000</v>
      </c>
      <c r="M167" s="27">
        <v>1010</v>
      </c>
      <c r="N167" s="27">
        <v>1060</v>
      </c>
      <c r="O167" s="27">
        <v>820</v>
      </c>
      <c r="P167" s="27">
        <v>990</v>
      </c>
      <c r="Q167" s="27">
        <v>1320</v>
      </c>
      <c r="R167" s="27">
        <v>1330</v>
      </c>
      <c r="S167" s="27">
        <v>1360</v>
      </c>
      <c r="T167" s="27">
        <v>1380</v>
      </c>
      <c r="U167" s="27">
        <v>1410</v>
      </c>
      <c r="V167" s="27">
        <v>1410</v>
      </c>
      <c r="W167" s="27">
        <v>1420</v>
      </c>
      <c r="X167" s="27">
        <v>1570</v>
      </c>
      <c r="Y167" s="27">
        <v>1850</v>
      </c>
      <c r="Z167" s="27">
        <v>2240</v>
      </c>
      <c r="AA167" s="27">
        <v>2470</v>
      </c>
      <c r="AB167" s="27">
        <v>2660</v>
      </c>
      <c r="AC167" s="27">
        <v>2970</v>
      </c>
      <c r="AD167" s="27">
        <v>3160</v>
      </c>
      <c r="AE167" s="27">
        <v>3430</v>
      </c>
      <c r="AF167" s="27">
        <v>3570</v>
      </c>
      <c r="AG167" s="27">
        <v>3590</v>
      </c>
      <c r="AH167" s="27">
        <v>3750</v>
      </c>
      <c r="AI167" s="27">
        <v>3830</v>
      </c>
      <c r="AJ167" s="27">
        <v>3970</v>
      </c>
      <c r="AK167" s="27">
        <v>4120</v>
      </c>
      <c r="AL167" s="27">
        <v>4100</v>
      </c>
      <c r="AM167" s="27">
        <v>4100</v>
      </c>
      <c r="AN167" s="27">
        <v>4270</v>
      </c>
      <c r="AO167" s="27">
        <v>4080</v>
      </c>
      <c r="AP167" s="27">
        <v>3990</v>
      </c>
      <c r="AQ167" s="27">
        <v>4130</v>
      </c>
      <c r="AR167" s="27">
        <v>4800</v>
      </c>
      <c r="AS167" s="27">
        <v>5040</v>
      </c>
      <c r="AT167" s="27">
        <v>5640</v>
      </c>
      <c r="AU167" s="29">
        <f t="shared" si="142"/>
        <v>5845.4964868089628</v>
      </c>
      <c r="AV167" s="29">
        <f t="shared" ref="AV167:BS167" si="159">AU167*(1+$D167)</f>
        <v>6058.4803505843838</v>
      </c>
      <c r="AW167" s="29">
        <f t="shared" si="159"/>
        <v>6279.2243980039266</v>
      </c>
      <c r="AX167" s="29">
        <f t="shared" si="159"/>
        <v>6508.0113756058645</v>
      </c>
      <c r="AY167" s="29">
        <f t="shared" si="159"/>
        <v>6745.1343319533407</v>
      </c>
      <c r="AZ167" s="29">
        <f t="shared" si="159"/>
        <v>6990.8969929942859</v>
      </c>
      <c r="BA167" s="29">
        <f t="shared" si="159"/>
        <v>7245.6141510977732</v>
      </c>
      <c r="BB167" s="29">
        <f t="shared" si="159"/>
        <v>7509.6120682651308</v>
      </c>
      <c r="BC167" s="29">
        <f t="shared" si="159"/>
        <v>7783.2288940322715</v>
      </c>
      <c r="BD167" s="29">
        <f t="shared" si="159"/>
        <v>8066.8150985985194</v>
      </c>
      <c r="BE167" s="29">
        <f t="shared" si="159"/>
        <v>8360.7339217367262</v>
      </c>
      <c r="BF167" s="29">
        <f t="shared" si="159"/>
        <v>8665.3618380596727</v>
      </c>
      <c r="BG167" s="29">
        <f t="shared" si="159"/>
        <v>8981.0890392387009</v>
      </c>
      <c r="BH167" s="29">
        <f t="shared" si="159"/>
        <v>9308.3199337922524</v>
      </c>
      <c r="BI167" s="29">
        <f t="shared" si="159"/>
        <v>9647.473665084477</v>
      </c>
      <c r="BJ167" s="29">
        <f t="shared" si="159"/>
        <v>9998.9846481973927</v>
      </c>
      <c r="BK167" s="29">
        <f t="shared" si="159"/>
        <v>10363.303126364292</v>
      </c>
      <c r="BL167" s="29">
        <f t="shared" si="159"/>
        <v>10740.895747677092</v>
      </c>
      <c r="BM167" s="29">
        <f t="shared" si="159"/>
        <v>11132.246162806341</v>
      </c>
      <c r="BN167" s="29">
        <f t="shared" si="159"/>
        <v>11537.855644499472</v>
      </c>
      <c r="BO167" s="29">
        <f t="shared" si="159"/>
        <v>11958.24372965082</v>
      </c>
      <c r="BP167" s="29">
        <f t="shared" si="159"/>
        <v>12393.94888476581</v>
      </c>
      <c r="BQ167" s="29">
        <f t="shared" si="159"/>
        <v>12845.529195671703</v>
      </c>
      <c r="BR167" s="29">
        <f t="shared" si="159"/>
        <v>13313.563082358314</v>
      </c>
      <c r="BS167" s="29">
        <f t="shared" si="159"/>
        <v>13798.650039864366</v>
      </c>
    </row>
    <row r="168" spans="1:71" x14ac:dyDescent="0.2">
      <c r="A168" s="2" t="s">
        <v>559</v>
      </c>
      <c r="B168" s="2" t="s">
        <v>560</v>
      </c>
      <c r="C168" s="11" t="s">
        <v>79</v>
      </c>
      <c r="G168" s="28" t="s">
        <v>207</v>
      </c>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v>40010</v>
      </c>
      <c r="AM168" s="27">
        <v>41800</v>
      </c>
      <c r="AN168" s="27">
        <v>43770</v>
      </c>
      <c r="AO168" s="27">
        <v>40570</v>
      </c>
      <c r="AP168" s="27">
        <v>48190</v>
      </c>
      <c r="AQ168" s="27">
        <v>53950</v>
      </c>
      <c r="AR168" s="27">
        <v>53910</v>
      </c>
      <c r="AS168" s="27"/>
      <c r="AT168" s="27"/>
    </row>
    <row r="169" spans="1:71" x14ac:dyDescent="0.2">
      <c r="A169" s="2" t="s">
        <v>561</v>
      </c>
      <c r="B169" s="2" t="s">
        <v>562</v>
      </c>
      <c r="C169" s="11" t="s">
        <v>79</v>
      </c>
      <c r="D169" s="26">
        <f>'Growth calculation'!G170</f>
        <v>1.8485387369462147E-2</v>
      </c>
      <c r="E169" s="27">
        <v>36070</v>
      </c>
      <c r="F169" s="12">
        <v>2025</v>
      </c>
      <c r="G169" s="2" t="s">
        <v>162</v>
      </c>
      <c r="H169" s="27">
        <v>11990</v>
      </c>
      <c r="I169" s="27">
        <v>11640</v>
      </c>
      <c r="J169" s="27">
        <v>10820</v>
      </c>
      <c r="K169" s="27">
        <v>11230</v>
      </c>
      <c r="L169" s="27">
        <v>12160</v>
      </c>
      <c r="M169" s="27">
        <v>12720</v>
      </c>
      <c r="N169" s="27">
        <v>11970</v>
      </c>
      <c r="O169" s="27">
        <v>11180</v>
      </c>
      <c r="P169" s="27">
        <v>11020</v>
      </c>
      <c r="Q169" s="27">
        <v>11280</v>
      </c>
      <c r="R169" s="27">
        <v>11440</v>
      </c>
      <c r="S169" s="27">
        <v>10780</v>
      </c>
      <c r="T169" s="27">
        <v>10250</v>
      </c>
      <c r="U169" s="27">
        <v>10450</v>
      </c>
      <c r="V169" s="27">
        <v>10540</v>
      </c>
      <c r="W169" s="27">
        <v>10310</v>
      </c>
      <c r="X169" s="27">
        <v>11140</v>
      </c>
      <c r="Y169" s="27">
        <v>12880</v>
      </c>
      <c r="Z169" s="27">
        <v>14620</v>
      </c>
      <c r="AA169" s="27">
        <v>16250</v>
      </c>
      <c r="AB169" s="27">
        <v>17870</v>
      </c>
      <c r="AC169" s="27">
        <v>20540</v>
      </c>
      <c r="AD169" s="27">
        <v>19810</v>
      </c>
      <c r="AE169" s="27">
        <v>21820</v>
      </c>
      <c r="AF169" s="27">
        <v>24110</v>
      </c>
      <c r="AG169" s="27">
        <v>27610</v>
      </c>
      <c r="AH169" s="27">
        <v>28620</v>
      </c>
      <c r="AI169" s="27">
        <v>29080</v>
      </c>
      <c r="AJ169" s="27">
        <v>26580</v>
      </c>
      <c r="AK169" s="27">
        <v>23940</v>
      </c>
      <c r="AL169" s="27">
        <v>23130</v>
      </c>
      <c r="AM169" s="27">
        <v>26570</v>
      </c>
      <c r="AN169" s="27">
        <v>29140</v>
      </c>
      <c r="AO169" s="27">
        <v>26940</v>
      </c>
      <c r="AP169" s="27">
        <v>30480</v>
      </c>
      <c r="AQ169" s="27">
        <v>35110</v>
      </c>
      <c r="AR169" s="27">
        <v>36330</v>
      </c>
      <c r="AS169" s="27">
        <v>35990</v>
      </c>
      <c r="AT169" s="27">
        <v>36070</v>
      </c>
      <c r="AU169" s="29">
        <f t="shared" ref="AU169:AU180" si="160">$E169*(1+$D169)</f>
        <v>36736.767922416497</v>
      </c>
      <c r="AV169" s="29">
        <f t="shared" ref="AV169:BS169" si="161">AU169*(1+$D169)</f>
        <v>37415.8613081644</v>
      </c>
      <c r="AW169" s="29">
        <f t="shared" si="161"/>
        <v>38107.50799820789</v>
      </c>
      <c r="AX169" s="29">
        <f t="shared" si="161"/>
        <v>38811.940045239637</v>
      </c>
      <c r="AY169" s="29">
        <f t="shared" si="161"/>
        <v>39529.393791536233</v>
      </c>
      <c r="AZ169" s="29">
        <f t="shared" si="161"/>
        <v>40260.109948252793</v>
      </c>
      <c r="BA169" s="29">
        <f t="shared" si="161"/>
        <v>41004.333676183385</v>
      </c>
      <c r="BB169" s="29">
        <f t="shared" si="161"/>
        <v>41762.314668014318</v>
      </c>
      <c r="BC169" s="29">
        <f t="shared" si="161"/>
        <v>42534.307232097934</v>
      </c>
      <c r="BD169" s="29">
        <f t="shared" si="161"/>
        <v>43320.57037777498</v>
      </c>
      <c r="BE169" s="29">
        <f t="shared" si="161"/>
        <v>44121.3679022742</v>
      </c>
      <c r="BF169" s="29">
        <f t="shared" si="161"/>
        <v>44936.968479218289</v>
      </c>
      <c r="BG169" s="29">
        <f t="shared" si="161"/>
        <v>45767.64574876595</v>
      </c>
      <c r="BH169" s="29">
        <f t="shared" si="161"/>
        <v>46613.678409420208</v>
      </c>
      <c r="BI169" s="29">
        <f t="shared" si="161"/>
        <v>47475.350311533875</v>
      </c>
      <c r="BJ169" s="29">
        <f t="shared" si="161"/>
        <v>48352.950552543494</v>
      </c>
      <c r="BK169" s="29">
        <f t="shared" si="161"/>
        <v>49246.773573963706</v>
      </c>
      <c r="BL169" s="29">
        <f t="shared" si="161"/>
        <v>50157.119260174615</v>
      </c>
      <c r="BM169" s="29">
        <f t="shared" si="161"/>
        <v>51084.293039035256</v>
      </c>
      <c r="BN169" s="29">
        <f t="shared" si="161"/>
        <v>52028.605984356938</v>
      </c>
      <c r="BO169" s="29">
        <f t="shared" si="161"/>
        <v>52990.374920270893</v>
      </c>
      <c r="BP169" s="29">
        <f t="shared" si="161"/>
        <v>53969.92252752513</v>
      </c>
      <c r="BQ169" s="29">
        <f t="shared" si="161"/>
        <v>54967.577451746292</v>
      </c>
      <c r="BR169" s="29">
        <f t="shared" si="161"/>
        <v>55983.674413702734</v>
      </c>
      <c r="BS169" s="29">
        <f t="shared" si="161"/>
        <v>57018.55432160588</v>
      </c>
    </row>
    <row r="170" spans="1:71" x14ac:dyDescent="0.2">
      <c r="A170" s="2" t="s">
        <v>563</v>
      </c>
      <c r="B170" s="2" t="s">
        <v>564</v>
      </c>
      <c r="C170" s="11" t="s">
        <v>210</v>
      </c>
      <c r="D170" s="26">
        <f>'Growth calculation'!G171</f>
        <v>2.3822451472784056E-2</v>
      </c>
      <c r="E170" s="27">
        <v>1780</v>
      </c>
      <c r="F170" s="12">
        <v>2025</v>
      </c>
      <c r="G170" s="2" t="s">
        <v>162</v>
      </c>
      <c r="H170" s="27">
        <v>800</v>
      </c>
      <c r="I170" s="27">
        <v>920</v>
      </c>
      <c r="J170" s="27">
        <v>920</v>
      </c>
      <c r="K170" s="27">
        <v>900</v>
      </c>
      <c r="L170" s="27">
        <v>910</v>
      </c>
      <c r="M170" s="27">
        <v>960</v>
      </c>
      <c r="N170" s="27">
        <v>910</v>
      </c>
      <c r="O170" s="27">
        <v>760</v>
      </c>
      <c r="P170" s="27">
        <v>720</v>
      </c>
      <c r="Q170" s="27">
        <v>690</v>
      </c>
      <c r="R170" s="27">
        <v>700</v>
      </c>
      <c r="S170" s="27">
        <v>680</v>
      </c>
      <c r="T170" s="27">
        <v>670</v>
      </c>
      <c r="U170" s="27">
        <v>650</v>
      </c>
      <c r="V170" s="27">
        <v>640</v>
      </c>
      <c r="W170" s="27">
        <v>610</v>
      </c>
      <c r="X170" s="27">
        <v>710</v>
      </c>
      <c r="Y170" s="27">
        <v>850</v>
      </c>
      <c r="Z170" s="27">
        <v>980</v>
      </c>
      <c r="AA170" s="27">
        <v>1020</v>
      </c>
      <c r="AB170" s="27">
        <v>1090</v>
      </c>
      <c r="AC170" s="27">
        <v>1240</v>
      </c>
      <c r="AD170" s="27">
        <v>1330</v>
      </c>
      <c r="AE170" s="27">
        <v>1340</v>
      </c>
      <c r="AF170" s="27">
        <v>1310</v>
      </c>
      <c r="AG170" s="27">
        <v>1320</v>
      </c>
      <c r="AH170" s="27">
        <v>1350</v>
      </c>
      <c r="AI170" s="27">
        <v>1370</v>
      </c>
      <c r="AJ170" s="27">
        <v>1320</v>
      </c>
      <c r="AK170" s="27">
        <v>1270</v>
      </c>
      <c r="AL170" s="27">
        <v>1270</v>
      </c>
      <c r="AM170" s="27">
        <v>1390</v>
      </c>
      <c r="AN170" s="27">
        <v>1430</v>
      </c>
      <c r="AO170" s="27">
        <v>1430</v>
      </c>
      <c r="AP170" s="27">
        <v>1540</v>
      </c>
      <c r="AQ170" s="27">
        <v>1590</v>
      </c>
      <c r="AR170" s="27">
        <v>1620</v>
      </c>
      <c r="AS170" s="27">
        <v>1630</v>
      </c>
      <c r="AT170" s="27">
        <v>1780</v>
      </c>
      <c r="AU170" s="29">
        <f t="shared" si="160"/>
        <v>1822.4039636215557</v>
      </c>
      <c r="AV170" s="29">
        <f t="shared" ref="AV170:BS170" si="162">AU170*(1+$D170)</f>
        <v>1865.8180936087394</v>
      </c>
      <c r="AW170" s="29">
        <f t="shared" si="162"/>
        <v>1910.2664546007761</v>
      </c>
      <c r="AX170" s="29">
        <f t="shared" si="162"/>
        <v>1955.7736845155903</v>
      </c>
      <c r="AY170" s="29">
        <f t="shared" si="162"/>
        <v>2002.3650082067111</v>
      </c>
      <c r="AZ170" s="29">
        <f t="shared" si="162"/>
        <v>2050.0662514455162</v>
      </c>
      <c r="BA170" s="29">
        <f t="shared" si="162"/>
        <v>2098.9038552365691</v>
      </c>
      <c r="BB170" s="29">
        <f t="shared" si="162"/>
        <v>2148.9048904739816</v>
      </c>
      <c r="BC170" s="29">
        <f t="shared" si="162"/>
        <v>2200.0970729469263</v>
      </c>
      <c r="BD170" s="29">
        <f t="shared" si="162"/>
        <v>2252.5087787026187</v>
      </c>
      <c r="BE170" s="29">
        <f t="shared" si="162"/>
        <v>2306.1690597752818</v>
      </c>
      <c r="BF170" s="29">
        <f t="shared" si="162"/>
        <v>2361.1076602898142</v>
      </c>
      <c r="BG170" s="29">
        <f t="shared" si="162"/>
        <v>2417.3550329490872</v>
      </c>
      <c r="BH170" s="29">
        <f t="shared" si="162"/>
        <v>2474.9423559140073</v>
      </c>
      <c r="BI170" s="29">
        <f t="shared" si="162"/>
        <v>2533.9015500857067</v>
      </c>
      <c r="BJ170" s="29">
        <f t="shared" si="162"/>
        <v>2594.2652967994359</v>
      </c>
      <c r="BK170" s="29">
        <f t="shared" si="162"/>
        <v>2656.0670559399682</v>
      </c>
      <c r="BL170" s="29">
        <f t="shared" si="162"/>
        <v>2719.3410844885584</v>
      </c>
      <c r="BM170" s="29">
        <f t="shared" si="162"/>
        <v>2784.1224555117351</v>
      </c>
      <c r="BN170" s="29">
        <f t="shared" si="162"/>
        <v>2850.4470776024518</v>
      </c>
      <c r="BO170" s="29">
        <f t="shared" si="162"/>
        <v>2918.3517147843754</v>
      </c>
      <c r="BP170" s="29">
        <f t="shared" si="162"/>
        <v>2987.8740068903421</v>
      </c>
      <c r="BQ170" s="29">
        <f t="shared" si="162"/>
        <v>3059.0524904262802</v>
      </c>
      <c r="BR170" s="29">
        <f t="shared" si="162"/>
        <v>3131.9266199321596</v>
      </c>
      <c r="BS170" s="29">
        <f t="shared" si="162"/>
        <v>3206.5367898518139</v>
      </c>
    </row>
    <row r="171" spans="1:71" x14ac:dyDescent="0.2">
      <c r="A171" s="2" t="s">
        <v>565</v>
      </c>
      <c r="B171" s="2" t="s">
        <v>566</v>
      </c>
      <c r="C171" s="11" t="s">
        <v>82</v>
      </c>
      <c r="D171" s="26">
        <f>'Growth calculation'!G172</f>
        <v>9.0712000000000001E-2</v>
      </c>
      <c r="E171" s="27">
        <v>13480</v>
      </c>
      <c r="F171" s="12">
        <v>2025</v>
      </c>
      <c r="G171" s="28" t="s">
        <v>567</v>
      </c>
      <c r="H171" s="27"/>
      <c r="I171" s="27"/>
      <c r="J171" s="27"/>
      <c r="K171" s="27"/>
      <c r="L171" s="27"/>
      <c r="M171" s="27"/>
      <c r="N171" s="27"/>
      <c r="O171" s="27"/>
      <c r="P171" s="27"/>
      <c r="Q171" s="27"/>
      <c r="R171" s="27">
        <v>3210</v>
      </c>
      <c r="S171" s="27">
        <v>3250</v>
      </c>
      <c r="T171" s="27">
        <v>2800</v>
      </c>
      <c r="U171" s="27">
        <v>1720</v>
      </c>
      <c r="V171" s="27">
        <v>1630</v>
      </c>
      <c r="W171" s="27">
        <v>1610</v>
      </c>
      <c r="X171" s="27">
        <v>2510</v>
      </c>
      <c r="Y171" s="27">
        <v>3340</v>
      </c>
      <c r="Z171" s="27">
        <v>3940</v>
      </c>
      <c r="AA171" s="27">
        <v>4280</v>
      </c>
      <c r="AB171" s="27">
        <v>5000</v>
      </c>
      <c r="AC171" s="27">
        <v>6250</v>
      </c>
      <c r="AD171" s="27">
        <v>6680</v>
      </c>
      <c r="AE171" s="27">
        <v>6500</v>
      </c>
      <c r="AF171" s="27">
        <v>6380</v>
      </c>
      <c r="AG171" s="27">
        <v>6310</v>
      </c>
      <c r="AH171" s="27">
        <v>6630</v>
      </c>
      <c r="AI171" s="27">
        <v>6450</v>
      </c>
      <c r="AJ171" s="27">
        <v>6210</v>
      </c>
      <c r="AK171" s="27">
        <v>5920</v>
      </c>
      <c r="AL171" s="27">
        <v>5810</v>
      </c>
      <c r="AM171" s="27">
        <v>6700</v>
      </c>
      <c r="AN171" s="27">
        <v>7380</v>
      </c>
      <c r="AO171" s="27">
        <v>7790</v>
      </c>
      <c r="AP171" s="27">
        <v>8890</v>
      </c>
      <c r="AQ171" s="27">
        <v>9790</v>
      </c>
      <c r="AR171" s="27">
        <v>10750</v>
      </c>
      <c r="AS171" s="27">
        <v>11610</v>
      </c>
      <c r="AT171" s="27">
        <v>13480</v>
      </c>
      <c r="AU171" s="29">
        <f t="shared" si="160"/>
        <v>14702.797759999999</v>
      </c>
      <c r="AV171" s="29">
        <f t="shared" ref="AV171:BS171" si="163">AU171*(1+$D171)</f>
        <v>16036.517950405118</v>
      </c>
      <c r="AW171" s="29">
        <f t="shared" si="163"/>
        <v>17491.222566722266</v>
      </c>
      <c r="AX171" s="29">
        <f t="shared" si="163"/>
        <v>19077.886348194774</v>
      </c>
      <c r="AY171" s="29">
        <f t="shared" si="163"/>
        <v>20808.479574612214</v>
      </c>
      <c r="AZ171" s="29">
        <f t="shared" si="163"/>
        <v>22696.058373784435</v>
      </c>
      <c r="BA171" s="29">
        <f t="shared" si="163"/>
        <v>24754.863220987168</v>
      </c>
      <c r="BB171" s="29">
        <f t="shared" si="163"/>
        <v>27000.426373489354</v>
      </c>
      <c r="BC171" s="29">
        <f t="shared" si="163"/>
        <v>29449.689050681318</v>
      </c>
      <c r="BD171" s="29">
        <f t="shared" si="163"/>
        <v>32121.129243846717</v>
      </c>
      <c r="BE171" s="29">
        <f t="shared" si="163"/>
        <v>35034.901119814538</v>
      </c>
      <c r="BF171" s="29">
        <f t="shared" si="163"/>
        <v>38212.987070195151</v>
      </c>
      <c r="BG171" s="29">
        <f t="shared" si="163"/>
        <v>41679.363553306692</v>
      </c>
      <c r="BH171" s="29">
        <f t="shared" si="163"/>
        <v>45460.181979954243</v>
      </c>
      <c r="BI171" s="29">
        <f t="shared" si="163"/>
        <v>49583.96600771985</v>
      </c>
      <c r="BJ171" s="29">
        <f t="shared" si="163"/>
        <v>54081.826732212125</v>
      </c>
      <c r="BK171" s="29">
        <f t="shared" si="163"/>
        <v>58987.697398744545</v>
      </c>
      <c r="BL171" s="29">
        <f t="shared" si="163"/>
        <v>64338.589405179453</v>
      </c>
      <c r="BM171" s="29">
        <f t="shared" si="163"/>
        <v>70174.871527302079</v>
      </c>
      <c r="BN171" s="29">
        <f t="shared" si="163"/>
        <v>76540.574473286702</v>
      </c>
      <c r="BO171" s="29">
        <f t="shared" si="163"/>
        <v>83483.723064907477</v>
      </c>
      <c r="BP171" s="29">
        <f t="shared" si="163"/>
        <v>91056.69855157136</v>
      </c>
      <c r="BQ171" s="29">
        <f t="shared" si="163"/>
        <v>99316.633790581487</v>
      </c>
      <c r="BR171" s="29">
        <f t="shared" si="163"/>
        <v>108325.84427499271</v>
      </c>
      <c r="BS171" s="29">
        <f t="shared" si="163"/>
        <v>118152.29826086583</v>
      </c>
    </row>
    <row r="172" spans="1:71" x14ac:dyDescent="0.2">
      <c r="A172" s="2" t="s">
        <v>568</v>
      </c>
      <c r="B172" s="2" t="s">
        <v>569</v>
      </c>
      <c r="C172" s="11" t="s">
        <v>79</v>
      </c>
      <c r="D172" s="26">
        <f>'Growth calculation'!G173</f>
        <v>6.0477500529059758E-2</v>
      </c>
      <c r="E172" s="27">
        <v>19200</v>
      </c>
      <c r="F172" s="12">
        <v>2025</v>
      </c>
      <c r="G172" s="2" t="s">
        <v>162</v>
      </c>
      <c r="H172" s="27">
        <v>3440</v>
      </c>
      <c r="I172" s="27">
        <v>4250</v>
      </c>
      <c r="J172" s="27">
        <v>4820</v>
      </c>
      <c r="K172" s="27">
        <v>5370</v>
      </c>
      <c r="L172" s="27">
        <v>5550</v>
      </c>
      <c r="M172" s="27">
        <v>6400</v>
      </c>
      <c r="N172" s="27">
        <v>6850</v>
      </c>
      <c r="O172" s="27">
        <v>6900</v>
      </c>
      <c r="P172" s="27">
        <v>6910</v>
      </c>
      <c r="Q172" s="27">
        <v>7430</v>
      </c>
      <c r="R172" s="27">
        <v>7940</v>
      </c>
      <c r="S172" s="27">
        <v>7520</v>
      </c>
      <c r="T172" s="27">
        <v>7630</v>
      </c>
      <c r="U172" s="27">
        <v>7920</v>
      </c>
      <c r="V172" s="27">
        <v>7860</v>
      </c>
      <c r="W172" s="27">
        <v>7330</v>
      </c>
      <c r="X172" s="27">
        <v>8000</v>
      </c>
      <c r="Y172" s="27">
        <v>9870</v>
      </c>
      <c r="Z172" s="27">
        <v>11850</v>
      </c>
      <c r="AA172" s="27">
        <v>13380</v>
      </c>
      <c r="AB172" s="27">
        <v>12890</v>
      </c>
      <c r="AC172" s="27">
        <v>11520</v>
      </c>
      <c r="AD172" s="27">
        <v>10310</v>
      </c>
      <c r="AE172" s="27">
        <v>10160</v>
      </c>
      <c r="AF172" s="27">
        <v>11150</v>
      </c>
      <c r="AG172" s="27">
        <v>12540</v>
      </c>
      <c r="AH172" s="27">
        <v>12350</v>
      </c>
      <c r="AI172" s="27">
        <v>13340</v>
      </c>
      <c r="AJ172" s="27">
        <v>14750</v>
      </c>
      <c r="AK172" s="27">
        <v>15630</v>
      </c>
      <c r="AL172" s="27">
        <v>16180</v>
      </c>
      <c r="AM172" s="27">
        <v>17620</v>
      </c>
      <c r="AN172" s="27">
        <v>18700</v>
      </c>
      <c r="AO172" s="27">
        <v>15400</v>
      </c>
      <c r="AP172" s="27">
        <v>14890</v>
      </c>
      <c r="AQ172" s="27">
        <v>14390</v>
      </c>
      <c r="AR172" s="27">
        <v>16340</v>
      </c>
      <c r="AS172" s="27">
        <v>17700</v>
      </c>
      <c r="AT172" s="27">
        <v>19200</v>
      </c>
      <c r="AU172" s="29">
        <f t="shared" si="160"/>
        <v>20361.168010157944</v>
      </c>
      <c r="AV172" s="29">
        <f t="shared" ref="AV172:BS172" si="164">AU172*(1+$D172)</f>
        <v>21592.560559264544</v>
      </c>
      <c r="AW172" s="29">
        <f t="shared" si="164"/>
        <v>22898.424651911217</v>
      </c>
      <c r="AX172" s="29">
        <f t="shared" si="164"/>
        <v>24283.264140911811</v>
      </c>
      <c r="AY172" s="29">
        <f t="shared" si="164"/>
        <v>25751.855260841101</v>
      </c>
      <c r="AZ172" s="29">
        <f t="shared" si="164"/>
        <v>27309.263101002885</v>
      </c>
      <c r="BA172" s="29">
        <f t="shared" si="164"/>
        <v>28960.859074642016</v>
      </c>
      <c r="BB172" s="29">
        <f t="shared" si="164"/>
        <v>30712.339444650701</v>
      </c>
      <c r="BC172" s="29">
        <f t="shared" si="164"/>
        <v>32569.744969663225</v>
      </c>
      <c r="BD172" s="29">
        <f t="shared" si="164"/>
        <v>34539.481738297371</v>
      </c>
      <c r="BE172" s="29">
        <f t="shared" si="164"/>
        <v>36628.343263398696</v>
      </c>
      <c r="BF172" s="29">
        <f t="shared" si="164"/>
        <v>38843.533912489467</v>
      </c>
      <c r="BG172" s="29">
        <f t="shared" si="164"/>
        <v>41192.693755232598</v>
      </c>
      <c r="BH172" s="29">
        <f t="shared" si="164"/>
        <v>43683.924913608069</v>
      </c>
      <c r="BI172" s="29">
        <f t="shared" si="164"/>
        <v>46325.819505682201</v>
      </c>
      <c r="BJ172" s="29">
        <f t="shared" si="164"/>
        <v>49127.48927934622</v>
      </c>
      <c r="BK172" s="29">
        <f t="shared" si="164"/>
        <v>52098.597038229251</v>
      </c>
      <c r="BL172" s="29">
        <f t="shared" si="164"/>
        <v>55249.389968172029</v>
      </c>
      <c r="BM172" s="29">
        <f t="shared" si="164"/>
        <v>58590.734979202374</v>
      </c>
      <c r="BN172" s="29">
        <f t="shared" si="164"/>
        <v>62134.156184905078</v>
      </c>
      <c r="BO172" s="29">
        <f t="shared" si="164"/>
        <v>65891.87464845035</v>
      </c>
      <c r="BP172" s="29">
        <f t="shared" si="164"/>
        <v>69876.850532362732</v>
      </c>
      <c r="BQ172" s="29">
        <f t="shared" si="164"/>
        <v>74102.827797402715</v>
      </c>
      <c r="BR172" s="29">
        <f t="shared" si="164"/>
        <v>78584.381604724957</v>
      </c>
      <c r="BS172" s="29">
        <f t="shared" si="164"/>
        <v>83336.968584800532</v>
      </c>
    </row>
    <row r="173" spans="1:71" x14ac:dyDescent="0.2">
      <c r="A173" s="2" t="s">
        <v>570</v>
      </c>
      <c r="B173" s="2" t="s">
        <v>571</v>
      </c>
      <c r="C173" s="11" t="s">
        <v>75</v>
      </c>
      <c r="D173" s="26">
        <f>'Growth calculation'!G174</f>
        <v>1.244E-2</v>
      </c>
      <c r="E173" s="27">
        <v>830</v>
      </c>
      <c r="F173" s="12">
        <v>2025</v>
      </c>
      <c r="G173" s="28" t="s">
        <v>572</v>
      </c>
      <c r="H173" s="27">
        <v>180</v>
      </c>
      <c r="I173" s="27">
        <v>180</v>
      </c>
      <c r="J173" s="27">
        <v>210</v>
      </c>
      <c r="K173" s="27">
        <v>190</v>
      </c>
      <c r="L173" s="27">
        <v>180</v>
      </c>
      <c r="M173" s="27">
        <v>140</v>
      </c>
      <c r="N173" s="27">
        <v>160</v>
      </c>
      <c r="O173" s="27">
        <v>170</v>
      </c>
      <c r="P173" s="27">
        <v>190</v>
      </c>
      <c r="Q173" s="27">
        <v>210</v>
      </c>
      <c r="R173" s="27">
        <v>200</v>
      </c>
      <c r="S173" s="27">
        <v>170</v>
      </c>
      <c r="T173" s="27">
        <v>160</v>
      </c>
      <c r="U173" s="27">
        <v>150</v>
      </c>
      <c r="V173" s="27">
        <v>170</v>
      </c>
      <c r="W173" s="27">
        <v>260</v>
      </c>
      <c r="X173" s="27">
        <v>420</v>
      </c>
      <c r="Y173" s="27">
        <v>410</v>
      </c>
      <c r="Z173" s="27">
        <v>440</v>
      </c>
      <c r="AA173" s="27">
        <v>440</v>
      </c>
      <c r="AB173" s="27">
        <v>480</v>
      </c>
      <c r="AC173" s="27">
        <v>580</v>
      </c>
      <c r="AD173" s="27">
        <v>650</v>
      </c>
      <c r="AE173" s="27">
        <v>690</v>
      </c>
      <c r="AF173" s="27">
        <v>710</v>
      </c>
      <c r="AG173" s="27">
        <v>830</v>
      </c>
      <c r="AH173" s="27">
        <v>970</v>
      </c>
      <c r="AI173" s="27">
        <v>970</v>
      </c>
      <c r="AJ173" s="27">
        <v>950</v>
      </c>
      <c r="AK173" s="27">
        <v>930</v>
      </c>
      <c r="AL173" s="27">
        <v>840</v>
      </c>
      <c r="AM173" s="27">
        <v>830</v>
      </c>
      <c r="AN173" s="27">
        <v>850</v>
      </c>
      <c r="AO173" s="27">
        <v>840</v>
      </c>
      <c r="AP173" s="27">
        <v>890</v>
      </c>
      <c r="AQ173" s="27">
        <v>920</v>
      </c>
      <c r="AR173" s="27">
        <v>870</v>
      </c>
      <c r="AS173" s="27">
        <v>820</v>
      </c>
      <c r="AT173" s="27">
        <v>830</v>
      </c>
      <c r="AU173" s="29">
        <f t="shared" si="160"/>
        <v>840.3252</v>
      </c>
      <c r="AV173" s="29">
        <f t="shared" ref="AV173:BS173" si="165">AU173*(1+$D173)</f>
        <v>850.778845488</v>
      </c>
      <c r="AW173" s="29">
        <f t="shared" si="165"/>
        <v>861.36253432587068</v>
      </c>
      <c r="AX173" s="29">
        <f t="shared" si="165"/>
        <v>872.07788425288447</v>
      </c>
      <c r="AY173" s="29">
        <f t="shared" si="165"/>
        <v>882.92653313299036</v>
      </c>
      <c r="AZ173" s="29">
        <f t="shared" si="165"/>
        <v>893.9101392051648</v>
      </c>
      <c r="BA173" s="29">
        <f t="shared" si="165"/>
        <v>905.0303813368771</v>
      </c>
      <c r="BB173" s="29">
        <f t="shared" si="165"/>
        <v>916.2889592807079</v>
      </c>
      <c r="BC173" s="29">
        <f t="shared" si="165"/>
        <v>927.68759393415996</v>
      </c>
      <c r="BD173" s="29">
        <f t="shared" si="165"/>
        <v>939.22802760270088</v>
      </c>
      <c r="BE173" s="29">
        <f t="shared" si="165"/>
        <v>950.91202426607845</v>
      </c>
      <c r="BF173" s="29">
        <f t="shared" si="165"/>
        <v>962.74136984794848</v>
      </c>
      <c r="BG173" s="29">
        <f t="shared" si="165"/>
        <v>974.71787248885698</v>
      </c>
      <c r="BH173" s="29">
        <f t="shared" si="165"/>
        <v>986.84336282261836</v>
      </c>
      <c r="BI173" s="29">
        <f t="shared" si="165"/>
        <v>999.11969425613177</v>
      </c>
      <c r="BJ173" s="29">
        <f t="shared" si="165"/>
        <v>1011.548743252678</v>
      </c>
      <c r="BK173" s="29">
        <f t="shared" si="165"/>
        <v>1024.1324096187413</v>
      </c>
      <c r="BL173" s="29">
        <f t="shared" si="165"/>
        <v>1036.8726167943985</v>
      </c>
      <c r="BM173" s="29">
        <f t="shared" si="165"/>
        <v>1049.7713121473207</v>
      </c>
      <c r="BN173" s="29">
        <f t="shared" si="165"/>
        <v>1062.8304672704335</v>
      </c>
      <c r="BO173" s="29">
        <f t="shared" si="165"/>
        <v>1076.0520782832778</v>
      </c>
      <c r="BP173" s="29">
        <f t="shared" si="165"/>
        <v>1089.4381661371217</v>
      </c>
      <c r="BQ173" s="29">
        <f t="shared" si="165"/>
        <v>1102.9907769238675</v>
      </c>
      <c r="BR173" s="29">
        <f t="shared" si="165"/>
        <v>1116.7119821888004</v>
      </c>
      <c r="BS173" s="29">
        <f t="shared" si="165"/>
        <v>1130.6038792472291</v>
      </c>
    </row>
    <row r="174" spans="1:71" x14ac:dyDescent="0.2">
      <c r="A174" s="2" t="s">
        <v>573</v>
      </c>
      <c r="B174" s="2" t="s">
        <v>574</v>
      </c>
      <c r="C174" s="11" t="s">
        <v>79</v>
      </c>
      <c r="D174" s="26">
        <f>'Growth calculation'!G175</f>
        <v>3.4755968562573347E-2</v>
      </c>
      <c r="E174" s="27">
        <v>81760</v>
      </c>
      <c r="F174" s="12">
        <v>2025</v>
      </c>
      <c r="G174" s="2" t="s">
        <v>162</v>
      </c>
      <c r="H174" s="27">
        <v>8080</v>
      </c>
      <c r="I174" s="27">
        <v>9320</v>
      </c>
      <c r="J174" s="27">
        <v>10320</v>
      </c>
      <c r="K174" s="27">
        <v>11450</v>
      </c>
      <c r="L174" s="27">
        <v>12970</v>
      </c>
      <c r="M174" s="27">
        <v>15270</v>
      </c>
      <c r="N174" s="27">
        <v>17710</v>
      </c>
      <c r="O174" s="27">
        <v>20780</v>
      </c>
      <c r="P174" s="27">
        <v>23630</v>
      </c>
      <c r="Q174" s="27">
        <v>25610</v>
      </c>
      <c r="R174" s="27">
        <v>27730</v>
      </c>
      <c r="S174" s="27">
        <v>24010</v>
      </c>
      <c r="T174" s="27">
        <v>23360</v>
      </c>
      <c r="U174" s="27">
        <v>23680</v>
      </c>
      <c r="V174" s="27">
        <v>22130</v>
      </c>
      <c r="W174" s="27">
        <v>22000</v>
      </c>
      <c r="X174" s="27">
        <v>23440</v>
      </c>
      <c r="Y174" s="27">
        <v>26170</v>
      </c>
      <c r="Z174" s="27">
        <v>28830</v>
      </c>
      <c r="AA174" s="27">
        <v>32550</v>
      </c>
      <c r="AB174" s="27">
        <v>36010</v>
      </c>
      <c r="AC174" s="27">
        <v>37230</v>
      </c>
      <c r="AD174" s="27">
        <v>37320</v>
      </c>
      <c r="AE174" s="27">
        <v>44930</v>
      </c>
      <c r="AF174" s="27">
        <v>48250</v>
      </c>
      <c r="AG174" s="27">
        <v>51710</v>
      </c>
      <c r="AH174" s="27">
        <v>54470</v>
      </c>
      <c r="AI174" s="27">
        <v>56380</v>
      </c>
      <c r="AJ174" s="27">
        <v>53160</v>
      </c>
      <c r="AK174" s="27">
        <v>53600</v>
      </c>
      <c r="AL174" s="27">
        <v>55360</v>
      </c>
      <c r="AM174" s="27">
        <v>56440</v>
      </c>
      <c r="AN174" s="27">
        <v>58510</v>
      </c>
      <c r="AO174" s="27">
        <v>56290</v>
      </c>
      <c r="AP174" s="27">
        <v>65540</v>
      </c>
      <c r="AQ174" s="27">
        <v>68100</v>
      </c>
      <c r="AR174" s="27">
        <v>69530</v>
      </c>
      <c r="AS174" s="27">
        <v>75820</v>
      </c>
      <c r="AT174" s="27">
        <v>81760</v>
      </c>
      <c r="AU174" s="29">
        <f t="shared" si="160"/>
        <v>84601.647989675999</v>
      </c>
      <c r="AV174" s="29">
        <f t="shared" ref="AV174:BS174" si="166">AU174*(1+$D174)</f>
        <v>87542.060207547082</v>
      </c>
      <c r="AW174" s="29">
        <f t="shared" si="166"/>
        <v>90584.669300023495</v>
      </c>
      <c r="AX174" s="29">
        <f t="shared" si="166"/>
        <v>93733.027218466217</v>
      </c>
      <c r="AY174" s="29">
        <f t="shared" si="166"/>
        <v>96990.809365746056</v>
      </c>
      <c r="AZ174" s="29">
        <f t="shared" si="166"/>
        <v>100361.81888692048</v>
      </c>
      <c r="BA174" s="29">
        <f t="shared" si="166"/>
        <v>103849.99110903696</v>
      </c>
      <c r="BB174" s="29">
        <f t="shared" si="166"/>
        <v>107459.39813524617</v>
      </c>
      <c r="BC174" s="29">
        <f t="shared" si="166"/>
        <v>111194.25359858783</v>
      </c>
      <c r="BD174" s="29">
        <f t="shared" si="166"/>
        <v>115058.91758099916</v>
      </c>
      <c r="BE174" s="29">
        <f t="shared" si="166"/>
        <v>119057.90170328808</v>
      </c>
      <c r="BF174" s="29">
        <f t="shared" si="166"/>
        <v>123195.8743920135</v>
      </c>
      <c r="BG174" s="29">
        <f t="shared" si="166"/>
        <v>127477.66632942106</v>
      </c>
      <c r="BH174" s="29">
        <f t="shared" si="166"/>
        <v>131908.27609279664</v>
      </c>
      <c r="BI174" s="29">
        <f t="shared" si="166"/>
        <v>136492.87598982113</v>
      </c>
      <c r="BJ174" s="29">
        <f t="shared" si="166"/>
        <v>141236.81809673857</v>
      </c>
      <c r="BK174" s="29">
        <f t="shared" si="166"/>
        <v>146145.6405063867</v>
      </c>
      <c r="BL174" s="29">
        <f t="shared" si="166"/>
        <v>151225.07379338381</v>
      </c>
      <c r="BM174" s="29">
        <f t="shared" si="166"/>
        <v>156481.0477040195</v>
      </c>
      <c r="BN174" s="29">
        <f t="shared" si="166"/>
        <v>161919.69807865893</v>
      </c>
      <c r="BO174" s="29">
        <f t="shared" si="166"/>
        <v>167547.37401474218</v>
      </c>
      <c r="BP174" s="29">
        <f t="shared" si="166"/>
        <v>173370.64527874027</v>
      </c>
      <c r="BQ174" s="29">
        <f t="shared" si="166"/>
        <v>179396.30997572123</v>
      </c>
      <c r="BR174" s="29">
        <f t="shared" si="166"/>
        <v>185631.40248547908</v>
      </c>
      <c r="BS174" s="29">
        <f t="shared" si="166"/>
        <v>192083.20167449079</v>
      </c>
    </row>
    <row r="175" spans="1:71" x14ac:dyDescent="0.2">
      <c r="A175" s="2" t="s">
        <v>575</v>
      </c>
      <c r="B175" s="2" t="s">
        <v>576</v>
      </c>
      <c r="C175" s="11" t="s">
        <v>79</v>
      </c>
      <c r="D175" s="26">
        <f>'Growth calculation'!G176</f>
        <v>3.517316017316019E-2</v>
      </c>
      <c r="E175" s="27">
        <v>38950</v>
      </c>
      <c r="F175" s="12">
        <v>2024</v>
      </c>
      <c r="G175" s="2" t="s">
        <v>162</v>
      </c>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v>26550</v>
      </c>
      <c r="AG175" s="27">
        <v>26910</v>
      </c>
      <c r="AH175" s="27">
        <v>27400</v>
      </c>
      <c r="AI175" s="27">
        <v>29620</v>
      </c>
      <c r="AJ175" s="27">
        <v>31890</v>
      </c>
      <c r="AK175" s="27">
        <v>35260</v>
      </c>
      <c r="AL175" s="27">
        <v>32950</v>
      </c>
      <c r="AM175" s="27">
        <v>31140</v>
      </c>
      <c r="AN175" s="27">
        <v>34060</v>
      </c>
      <c r="AO175" s="27">
        <v>29440</v>
      </c>
      <c r="AP175" s="27">
        <v>31430</v>
      </c>
      <c r="AQ175" s="27">
        <v>36960</v>
      </c>
      <c r="AR175" s="27">
        <v>38260</v>
      </c>
      <c r="AS175" s="27">
        <v>38950</v>
      </c>
      <c r="AT175" s="27"/>
      <c r="AU175" s="29">
        <f t="shared" si="160"/>
        <v>40319.994588744587</v>
      </c>
      <c r="AV175" s="29">
        <f t="shared" ref="AV175:BS175" si="167">AU175*(1+$D175)</f>
        <v>41738.17621659545</v>
      </c>
      <c r="AW175" s="29">
        <f t="shared" si="167"/>
        <v>43206.239773997346</v>
      </c>
      <c r="AX175" s="29">
        <f t="shared" si="167"/>
        <v>44725.939766048119</v>
      </c>
      <c r="AY175" s="29">
        <f t="shared" si="167"/>
        <v>46299.092409334444</v>
      </c>
      <c r="AZ175" s="29">
        <f t="shared" si="167"/>
        <v>47927.577802519911</v>
      </c>
      <c r="BA175" s="29">
        <f t="shared" si="167"/>
        <v>49613.34217327954</v>
      </c>
      <c r="BB175" s="29">
        <f t="shared" si="167"/>
        <v>51358.400204266101</v>
      </c>
      <c r="BC175" s="29">
        <f t="shared" si="167"/>
        <v>53164.837440888019</v>
      </c>
      <c r="BD175" s="29">
        <f t="shared" si="167"/>
        <v>55034.812783776397</v>
      </c>
      <c r="BE175" s="29">
        <f t="shared" si="167"/>
        <v>56970.561068920048</v>
      </c>
      <c r="BF175" s="29">
        <f t="shared" si="167"/>
        <v>58974.395738551975</v>
      </c>
      <c r="BG175" s="29">
        <f t="shared" si="167"/>
        <v>61048.711605979399</v>
      </c>
      <c r="BH175" s="29">
        <f t="shared" si="167"/>
        <v>63195.987717661577</v>
      </c>
      <c r="BI175" s="29">
        <f t="shared" si="167"/>
        <v>65418.79031595595</v>
      </c>
      <c r="BJ175" s="29">
        <f t="shared" si="167"/>
        <v>67719.775906073453</v>
      </c>
      <c r="BK175" s="29">
        <f t="shared" si="167"/>
        <v>70101.69443090829</v>
      </c>
      <c r="BL175" s="29">
        <f t="shared" si="167"/>
        <v>72567.392557536557</v>
      </c>
      <c r="BM175" s="29">
        <f t="shared" si="167"/>
        <v>75119.817079311382</v>
      </c>
      <c r="BN175" s="29">
        <f t="shared" si="167"/>
        <v>77762.0184376205</v>
      </c>
      <c r="BO175" s="29">
        <f t="shared" si="167"/>
        <v>80497.154367515162</v>
      </c>
      <c r="BP175" s="29">
        <f t="shared" si="167"/>
        <v>83328.493671567368</v>
      </c>
      <c r="BQ175" s="29">
        <f t="shared" si="167"/>
        <v>86259.420126465571</v>
      </c>
      <c r="BR175" s="29">
        <f t="shared" si="167"/>
        <v>89293.436527017664</v>
      </c>
      <c r="BS175" s="29">
        <f t="shared" si="167"/>
        <v>92434.168872394366</v>
      </c>
    </row>
    <row r="176" spans="1:71" x14ac:dyDescent="0.2">
      <c r="A176" s="2" t="s">
        <v>577</v>
      </c>
      <c r="B176" s="2" t="s">
        <v>578</v>
      </c>
      <c r="C176" s="11" t="s">
        <v>79</v>
      </c>
      <c r="D176" s="26">
        <f>'Growth calculation'!G177</f>
        <v>3.9585918363609585E-2</v>
      </c>
      <c r="E176" s="27">
        <v>26410</v>
      </c>
      <c r="F176" s="12">
        <v>2025</v>
      </c>
      <c r="G176" s="2" t="s">
        <v>162</v>
      </c>
      <c r="H176" s="27"/>
      <c r="I176" s="27"/>
      <c r="J176" s="27"/>
      <c r="K176" s="27"/>
      <c r="L176" s="27"/>
      <c r="M176" s="27">
        <v>2320</v>
      </c>
      <c r="N176" s="27">
        <v>2480</v>
      </c>
      <c r="O176" s="27">
        <v>2890</v>
      </c>
      <c r="P176" s="27">
        <v>3430</v>
      </c>
      <c r="Q176" s="27">
        <v>3960</v>
      </c>
      <c r="R176" s="27">
        <v>4250</v>
      </c>
      <c r="S176" s="27">
        <v>4230</v>
      </c>
      <c r="T176" s="27">
        <v>4010</v>
      </c>
      <c r="U176" s="27">
        <v>3960</v>
      </c>
      <c r="V176" s="27">
        <v>3960</v>
      </c>
      <c r="W176" s="27">
        <v>4220</v>
      </c>
      <c r="X176" s="27">
        <v>4890</v>
      </c>
      <c r="Y176" s="27">
        <v>6520</v>
      </c>
      <c r="Z176" s="27">
        <v>8490</v>
      </c>
      <c r="AA176" s="27">
        <v>10090</v>
      </c>
      <c r="AB176" s="27">
        <v>12280</v>
      </c>
      <c r="AC176" s="27">
        <v>15130</v>
      </c>
      <c r="AD176" s="27">
        <v>16220</v>
      </c>
      <c r="AE176" s="27">
        <v>17370</v>
      </c>
      <c r="AF176" s="27">
        <v>17560</v>
      </c>
      <c r="AG176" s="27">
        <v>17830</v>
      </c>
      <c r="AH176" s="27">
        <v>18280</v>
      </c>
      <c r="AI176" s="27">
        <v>18380</v>
      </c>
      <c r="AJ176" s="27">
        <v>17800</v>
      </c>
      <c r="AK176" s="27">
        <v>16900</v>
      </c>
      <c r="AL176" s="27">
        <v>16710</v>
      </c>
      <c r="AM176" s="27">
        <v>18460</v>
      </c>
      <c r="AN176" s="27">
        <v>19230</v>
      </c>
      <c r="AO176" s="27">
        <v>19420</v>
      </c>
      <c r="AP176" s="27">
        <v>21010</v>
      </c>
      <c r="AQ176" s="27">
        <v>21890</v>
      </c>
      <c r="AR176" s="27">
        <v>22710</v>
      </c>
      <c r="AS176" s="27">
        <v>23560</v>
      </c>
      <c r="AT176" s="27">
        <v>26410</v>
      </c>
      <c r="AU176" s="29">
        <f t="shared" si="160"/>
        <v>27455.464103982929</v>
      </c>
      <c r="AV176" s="29">
        <f t="shared" ref="AV176:BS176" si="168">AU176*(1+$D176)</f>
        <v>28542.31386463821</v>
      </c>
      <c r="AW176" s="29">
        <f t="shared" si="168"/>
        <v>29672.187571192302</v>
      </c>
      <c r="AX176" s="29">
        <f t="shared" si="168"/>
        <v>30846.788366055232</v>
      </c>
      <c r="AY176" s="29">
        <f t="shared" si="168"/>
        <v>32067.886812093438</v>
      </c>
      <c r="AZ176" s="29">
        <f t="shared" si="168"/>
        <v>33337.323561530444</v>
      </c>
      <c r="BA176" s="29">
        <f t="shared" si="168"/>
        <v>34657.012130498428</v>
      </c>
      <c r="BB176" s="29">
        <f t="shared" si="168"/>
        <v>36028.941783422968</v>
      </c>
      <c r="BC176" s="29">
        <f t="shared" si="168"/>
        <v>37455.18053158879</v>
      </c>
      <c r="BD176" s="29">
        <f t="shared" si="168"/>
        <v>38937.878250406524</v>
      </c>
      <c r="BE176" s="29">
        <f t="shared" si="168"/>
        <v>40479.269920079285</v>
      </c>
      <c r="BF176" s="29">
        <f t="shared" si="168"/>
        <v>42081.678994554059</v>
      </c>
      <c r="BG176" s="29">
        <f t="shared" si="168"/>
        <v>43747.520903836099</v>
      </c>
      <c r="BH176" s="29">
        <f t="shared" si="168"/>
        <v>45479.306694945655</v>
      </c>
      <c r="BI176" s="29">
        <f t="shared" si="168"/>
        <v>47279.646817005334</v>
      </c>
      <c r="BJ176" s="29">
        <f t="shared" si="168"/>
        <v>49151.255056163602</v>
      </c>
      <c r="BK176" s="29">
        <f t="shared" si="168"/>
        <v>51096.952626285849</v>
      </c>
      <c r="BL176" s="29">
        <f t="shared" si="168"/>
        <v>53119.672421579227</v>
      </c>
      <c r="BM176" s="29">
        <f t="shared" si="168"/>
        <v>55222.46343756155</v>
      </c>
      <c r="BN176" s="29">
        <f t="shared" si="168"/>
        <v>57408.495367038275</v>
      </c>
      <c r="BO176" s="29">
        <f t="shared" si="168"/>
        <v>59681.063378015511</v>
      </c>
      <c r="BP176" s="29">
        <f t="shared" si="168"/>
        <v>62043.593080751045</v>
      </c>
      <c r="BQ176" s="29">
        <f t="shared" si="168"/>
        <v>64499.645691430669</v>
      </c>
      <c r="BR176" s="29">
        <f t="shared" si="168"/>
        <v>67052.923400253392</v>
      </c>
      <c r="BS176" s="29">
        <f t="shared" si="168"/>
        <v>69707.274952017193</v>
      </c>
    </row>
    <row r="177" spans="1:71" x14ac:dyDescent="0.2">
      <c r="A177" s="2" t="s">
        <v>579</v>
      </c>
      <c r="B177" s="2" t="s">
        <v>580</v>
      </c>
      <c r="C177" s="11" t="s">
        <v>79</v>
      </c>
      <c r="D177" s="26">
        <f>'Growth calculation'!G178</f>
        <v>4.6585885157415019E-2</v>
      </c>
      <c r="E177" s="27">
        <v>35520</v>
      </c>
      <c r="F177" s="12">
        <v>2025</v>
      </c>
      <c r="G177" s="2" t="s">
        <v>162</v>
      </c>
      <c r="H177" s="27"/>
      <c r="I177" s="27"/>
      <c r="J177" s="27"/>
      <c r="K177" s="27"/>
      <c r="L177" s="27"/>
      <c r="M177" s="27">
        <v>7120</v>
      </c>
      <c r="N177" s="27">
        <v>6900</v>
      </c>
      <c r="O177" s="27">
        <v>7610</v>
      </c>
      <c r="P177" s="27">
        <v>9410</v>
      </c>
      <c r="Q177" s="27">
        <v>10510</v>
      </c>
      <c r="R177" s="27">
        <v>11230</v>
      </c>
      <c r="S177" s="27">
        <v>10970</v>
      </c>
      <c r="T177" s="27">
        <v>11270</v>
      </c>
      <c r="U177" s="27">
        <v>11200</v>
      </c>
      <c r="V177" s="27">
        <v>10840</v>
      </c>
      <c r="W177" s="27">
        <v>10780</v>
      </c>
      <c r="X177" s="27">
        <v>12510</v>
      </c>
      <c r="Y177" s="27">
        <v>15490</v>
      </c>
      <c r="Z177" s="27">
        <v>18180</v>
      </c>
      <c r="AA177" s="27">
        <v>19710</v>
      </c>
      <c r="AB177" s="27">
        <v>21710</v>
      </c>
      <c r="AC177" s="27">
        <v>24530</v>
      </c>
      <c r="AD177" s="27">
        <v>24260</v>
      </c>
      <c r="AE177" s="27">
        <v>24370</v>
      </c>
      <c r="AF177" s="27">
        <v>24340</v>
      </c>
      <c r="AG177" s="27">
        <v>23010</v>
      </c>
      <c r="AH177" s="27">
        <v>23040</v>
      </c>
      <c r="AI177" s="27">
        <v>23400</v>
      </c>
      <c r="AJ177" s="27">
        <v>22080</v>
      </c>
      <c r="AK177" s="27">
        <v>21610</v>
      </c>
      <c r="AL177" s="27">
        <v>22040</v>
      </c>
      <c r="AM177" s="27">
        <v>24510</v>
      </c>
      <c r="AN177" s="27">
        <v>25900</v>
      </c>
      <c r="AO177" s="27">
        <v>25380</v>
      </c>
      <c r="AP177" s="27">
        <v>28320</v>
      </c>
      <c r="AQ177" s="27">
        <v>29590</v>
      </c>
      <c r="AR177" s="27">
        <v>31020</v>
      </c>
      <c r="AS177" s="27">
        <v>31790</v>
      </c>
      <c r="AT177" s="27">
        <v>35520</v>
      </c>
      <c r="AU177" s="29">
        <f t="shared" si="160"/>
        <v>37174.730640791378</v>
      </c>
      <c r="AV177" s="29">
        <f t="shared" ref="AV177:BS177" si="169">AU177*(1+$D177)</f>
        <v>38906.548373181125</v>
      </c>
      <c r="AW177" s="29">
        <f t="shared" si="169"/>
        <v>40719.044367565555</v>
      </c>
      <c r="AX177" s="29">
        <f t="shared" si="169"/>
        <v>42615.977092192654</v>
      </c>
      <c r="AY177" s="29">
        <f t="shared" si="169"/>
        <v>44601.280106880571</v>
      </c>
      <c r="AZ177" s="29">
        <f t="shared" si="169"/>
        <v>46679.070219813409</v>
      </c>
      <c r="BA177" s="29">
        <f t="shared" si="169"/>
        <v>48853.656024328549</v>
      </c>
      <c r="BB177" s="29">
        <f t="shared" si="169"/>
        <v>51129.546833397777</v>
      </c>
      <c r="BC177" s="29">
        <f t="shared" si="169"/>
        <v>53511.462030329116</v>
      </c>
      <c r="BD177" s="29">
        <f t="shared" si="169"/>
        <v>56004.340855079405</v>
      </c>
      <c r="BE177" s="29">
        <f t="shared" si="169"/>
        <v>58613.352646470863</v>
      </c>
      <c r="BF177" s="29">
        <f t="shared" si="169"/>
        <v>61343.907561550419</v>
      </c>
      <c r="BG177" s="29">
        <f t="shared" si="169"/>
        <v>64201.667794319888</v>
      </c>
      <c r="BH177" s="29">
        <f t="shared" si="169"/>
        <v>67192.559317100589</v>
      </c>
      <c r="BI177" s="29">
        <f t="shared" si="169"/>
        <v>70322.784168879836</v>
      </c>
      <c r="BJ177" s="29">
        <f t="shared" si="169"/>
        <v>73598.833316120959</v>
      </c>
      <c r="BK177" s="29">
        <f t="shared" si="169"/>
        <v>77027.5001127055</v>
      </c>
      <c r="BL177" s="29">
        <f t="shared" si="169"/>
        <v>80615.894386918764</v>
      </c>
      <c r="BM177" s="29">
        <f t="shared" si="169"/>
        <v>84371.457184690065</v>
      </c>
      <c r="BN177" s="29">
        <f t="shared" si="169"/>
        <v>88301.976199659795</v>
      </c>
      <c r="BO177" s="29">
        <f t="shared" si="169"/>
        <v>92415.601922069938</v>
      </c>
      <c r="BP177" s="29">
        <f t="shared" si="169"/>
        <v>96720.864539964867</v>
      </c>
      <c r="BQ177" s="29">
        <f t="shared" si="169"/>
        <v>101226.69162774956</v>
      </c>
      <c r="BR177" s="29">
        <f t="shared" si="169"/>
        <v>105942.42665878497</v>
      </c>
      <c r="BS177" s="29">
        <f t="shared" si="169"/>
        <v>110877.84838040899</v>
      </c>
    </row>
    <row r="178" spans="1:71" x14ac:dyDescent="0.2">
      <c r="A178" s="2" t="s">
        <v>581</v>
      </c>
      <c r="B178" s="2" t="s">
        <v>582</v>
      </c>
      <c r="C178" s="11" t="s">
        <v>210</v>
      </c>
      <c r="D178" s="26">
        <f>'Growth calculation'!G179</f>
        <v>1.244E-2</v>
      </c>
      <c r="E178" s="27">
        <v>2020</v>
      </c>
      <c r="F178" s="12">
        <v>2025</v>
      </c>
      <c r="G178" s="28" t="s">
        <v>583</v>
      </c>
      <c r="H178" s="27">
        <v>570</v>
      </c>
      <c r="I178" s="27">
        <v>570</v>
      </c>
      <c r="J178" s="27">
        <v>560</v>
      </c>
      <c r="K178" s="27">
        <v>600</v>
      </c>
      <c r="L178" s="27">
        <v>620</v>
      </c>
      <c r="M178" s="27">
        <v>750</v>
      </c>
      <c r="N178" s="27">
        <v>800</v>
      </c>
      <c r="O178" s="27">
        <v>940</v>
      </c>
      <c r="P178" s="27">
        <v>1120</v>
      </c>
      <c r="Q178" s="27">
        <v>1230</v>
      </c>
      <c r="R178" s="27">
        <v>1220</v>
      </c>
      <c r="S178" s="27">
        <v>1150</v>
      </c>
      <c r="T178" s="27">
        <v>1080</v>
      </c>
      <c r="U178" s="27">
        <v>920</v>
      </c>
      <c r="V178" s="27">
        <v>870</v>
      </c>
      <c r="W178" s="27">
        <v>790</v>
      </c>
      <c r="X178" s="27">
        <v>870</v>
      </c>
      <c r="Y178" s="27">
        <v>980</v>
      </c>
      <c r="Z178" s="27">
        <v>1130</v>
      </c>
      <c r="AA178" s="27">
        <v>1190</v>
      </c>
      <c r="AB178" s="27">
        <v>1260</v>
      </c>
      <c r="AC178" s="27">
        <v>1380</v>
      </c>
      <c r="AD178" s="27">
        <v>1460</v>
      </c>
      <c r="AE178" s="27">
        <v>1600</v>
      </c>
      <c r="AF178" s="27">
        <v>1690</v>
      </c>
      <c r="AG178" s="27">
        <v>1820</v>
      </c>
      <c r="AH178" s="27">
        <v>2090</v>
      </c>
      <c r="AI178" s="27">
        <v>2090</v>
      </c>
      <c r="AJ178" s="27">
        <v>2010</v>
      </c>
      <c r="AK178" s="27">
        <v>2000</v>
      </c>
      <c r="AL178" s="27">
        <v>2020</v>
      </c>
      <c r="AM178" s="27">
        <v>2150</v>
      </c>
      <c r="AN178" s="27">
        <v>2210</v>
      </c>
      <c r="AO178" s="27">
        <v>2170</v>
      </c>
      <c r="AP178" s="27">
        <v>2120</v>
      </c>
      <c r="AQ178" s="27">
        <v>2010</v>
      </c>
      <c r="AR178" s="27">
        <v>1980</v>
      </c>
      <c r="AS178" s="27">
        <v>1910</v>
      </c>
      <c r="AT178" s="27">
        <v>2020</v>
      </c>
      <c r="AU178" s="29">
        <f t="shared" si="160"/>
        <v>2045.1288</v>
      </c>
      <c r="AV178" s="29">
        <f t="shared" ref="AV178:BS178" si="170">AU178*(1+$D178)</f>
        <v>2070.5702022720002</v>
      </c>
      <c r="AW178" s="29">
        <f t="shared" si="170"/>
        <v>2096.3280955882637</v>
      </c>
      <c r="AX178" s="29">
        <f t="shared" si="170"/>
        <v>2122.4064170973816</v>
      </c>
      <c r="AY178" s="29">
        <f t="shared" si="170"/>
        <v>2148.8091529260728</v>
      </c>
      <c r="AZ178" s="29">
        <f t="shared" si="170"/>
        <v>2175.540338788473</v>
      </c>
      <c r="BA178" s="29">
        <f t="shared" si="170"/>
        <v>2202.6040606030015</v>
      </c>
      <c r="BB178" s="29">
        <f t="shared" si="170"/>
        <v>2230.004455116903</v>
      </c>
      <c r="BC178" s="29">
        <f t="shared" si="170"/>
        <v>2257.7457105385574</v>
      </c>
      <c r="BD178" s="29">
        <f t="shared" si="170"/>
        <v>2285.8320671776569</v>
      </c>
      <c r="BE178" s="29">
        <f t="shared" si="170"/>
        <v>2314.2678180933472</v>
      </c>
      <c r="BF178" s="29">
        <f t="shared" si="170"/>
        <v>2343.0573097504284</v>
      </c>
      <c r="BG178" s="29">
        <f t="shared" si="170"/>
        <v>2372.2049426837239</v>
      </c>
      <c r="BH178" s="29">
        <f t="shared" si="170"/>
        <v>2401.7151721707096</v>
      </c>
      <c r="BI178" s="29">
        <f t="shared" si="170"/>
        <v>2431.592508912513</v>
      </c>
      <c r="BJ178" s="29">
        <f t="shared" si="170"/>
        <v>2461.8415197233849</v>
      </c>
      <c r="BK178" s="29">
        <f t="shared" si="170"/>
        <v>2492.4668282287439</v>
      </c>
      <c r="BL178" s="29">
        <f t="shared" si="170"/>
        <v>2523.4731155719096</v>
      </c>
      <c r="BM178" s="29">
        <f t="shared" si="170"/>
        <v>2554.8651211296242</v>
      </c>
      <c r="BN178" s="29">
        <f t="shared" si="170"/>
        <v>2586.6476432364766</v>
      </c>
      <c r="BO178" s="29">
        <f t="shared" si="170"/>
        <v>2618.8255399183386</v>
      </c>
      <c r="BP178" s="29">
        <f t="shared" si="170"/>
        <v>2651.4037296349229</v>
      </c>
      <c r="BQ178" s="29">
        <f t="shared" si="170"/>
        <v>2684.3871920315814</v>
      </c>
      <c r="BR178" s="29">
        <f t="shared" si="170"/>
        <v>2717.7809687004542</v>
      </c>
      <c r="BS178" s="29">
        <f t="shared" si="170"/>
        <v>2751.590163951088</v>
      </c>
    </row>
    <row r="179" spans="1:71" x14ac:dyDescent="0.2">
      <c r="A179" s="2" t="s">
        <v>584</v>
      </c>
      <c r="B179" s="2" t="s">
        <v>585</v>
      </c>
      <c r="C179" s="11" t="s">
        <v>75</v>
      </c>
      <c r="D179" s="26">
        <f>'Growth calculation'!G180</f>
        <v>3.279569892473122E-2</v>
      </c>
      <c r="E179" s="27">
        <v>640</v>
      </c>
      <c r="F179" s="12">
        <v>2025</v>
      </c>
      <c r="G179" s="2" t="s">
        <v>162</v>
      </c>
      <c r="H179" s="27">
        <v>150</v>
      </c>
      <c r="I179" s="27">
        <v>160</v>
      </c>
      <c r="J179" s="27">
        <v>160</v>
      </c>
      <c r="K179" s="27">
        <v>160</v>
      </c>
      <c r="L179" s="27">
        <v>140</v>
      </c>
      <c r="M179" s="27">
        <v>120</v>
      </c>
      <c r="N179" s="27">
        <v>130</v>
      </c>
      <c r="O179" s="27">
        <v>130</v>
      </c>
      <c r="P179" s="27">
        <v>190</v>
      </c>
      <c r="Q179" s="27">
        <v>230</v>
      </c>
      <c r="R179" s="27">
        <v>240</v>
      </c>
      <c r="S179" s="27">
        <v>270</v>
      </c>
      <c r="T179" s="27">
        <v>320</v>
      </c>
      <c r="U179" s="27">
        <v>370</v>
      </c>
      <c r="V179" s="27">
        <v>320</v>
      </c>
      <c r="W179" s="27">
        <v>270</v>
      </c>
      <c r="X179" s="27">
        <v>260</v>
      </c>
      <c r="Y179" s="27">
        <v>310</v>
      </c>
      <c r="Z179" s="27">
        <v>390</v>
      </c>
      <c r="AA179" s="27">
        <v>450</v>
      </c>
      <c r="AB179" s="27">
        <v>480</v>
      </c>
      <c r="AC179" s="27">
        <v>510</v>
      </c>
      <c r="AD179" s="27">
        <v>380</v>
      </c>
      <c r="AE179" s="27">
        <v>290</v>
      </c>
      <c r="AF179" s="27">
        <v>250</v>
      </c>
      <c r="AG179" s="27">
        <v>280</v>
      </c>
      <c r="AH179" s="27">
        <v>340</v>
      </c>
      <c r="AI179" s="27">
        <v>410</v>
      </c>
      <c r="AJ179" s="27">
        <v>440</v>
      </c>
      <c r="AK179" s="27">
        <v>450</v>
      </c>
      <c r="AL179" s="27">
        <v>500</v>
      </c>
      <c r="AM179" s="27">
        <v>510</v>
      </c>
      <c r="AN179" s="27">
        <v>520</v>
      </c>
      <c r="AO179" s="27">
        <v>500</v>
      </c>
      <c r="AP179" s="27">
        <v>540</v>
      </c>
      <c r="AQ179" s="27">
        <v>570</v>
      </c>
      <c r="AR179" s="27">
        <v>600</v>
      </c>
      <c r="AS179" s="27">
        <v>620</v>
      </c>
      <c r="AT179" s="27">
        <v>640</v>
      </c>
      <c r="AU179" s="29">
        <f t="shared" si="160"/>
        <v>660.98924731182797</v>
      </c>
      <c r="AV179" s="29">
        <f t="shared" ref="AV179:BS179" si="171">AU179*(1+$D179)</f>
        <v>682.66685165915135</v>
      </c>
      <c r="AW179" s="29">
        <f t="shared" si="171"/>
        <v>705.0553881920589</v>
      </c>
      <c r="AX179" s="29">
        <f t="shared" si="171"/>
        <v>728.17817242846513</v>
      </c>
      <c r="AY179" s="29">
        <f t="shared" si="171"/>
        <v>752.05928453498996</v>
      </c>
      <c r="AZ179" s="29">
        <f t="shared" si="171"/>
        <v>776.72359440414823</v>
      </c>
      <c r="BA179" s="29">
        <f t="shared" si="171"/>
        <v>802.1967875539616</v>
      </c>
      <c r="BB179" s="29">
        <f t="shared" si="171"/>
        <v>828.50539187696779</v>
      </c>
      <c r="BC179" s="29">
        <f t="shared" si="171"/>
        <v>855.67680526648121</v>
      </c>
      <c r="BD179" s="29">
        <f t="shared" si="171"/>
        <v>883.73932414887645</v>
      </c>
      <c r="BE179" s="29">
        <f t="shared" si="171"/>
        <v>912.7221729516084</v>
      </c>
      <c r="BF179" s="29">
        <f t="shared" si="171"/>
        <v>942.65553453765574</v>
      </c>
      <c r="BG179" s="29">
        <f t="shared" si="171"/>
        <v>973.57058163808415</v>
      </c>
      <c r="BH179" s="29">
        <f t="shared" si="171"/>
        <v>1005.4995093154621</v>
      </c>
      <c r="BI179" s="29">
        <f t="shared" si="171"/>
        <v>1038.4755684919369</v>
      </c>
      <c r="BJ179" s="29">
        <f t="shared" si="171"/>
        <v>1072.5331005768874</v>
      </c>
      <c r="BK179" s="29">
        <f t="shared" si="171"/>
        <v>1107.7075732302153</v>
      </c>
      <c r="BL179" s="29">
        <f t="shared" si="171"/>
        <v>1144.035617298518</v>
      </c>
      <c r="BM179" s="29">
        <f t="shared" si="171"/>
        <v>1181.5550649626091</v>
      </c>
      <c r="BN179" s="29">
        <f t="shared" si="171"/>
        <v>1220.3049891361138</v>
      </c>
      <c r="BO179" s="29">
        <f t="shared" si="171"/>
        <v>1260.3257441561691</v>
      </c>
      <c r="BP179" s="29">
        <f t="shared" si="171"/>
        <v>1301.6590078086026</v>
      </c>
      <c r="BQ179" s="29">
        <f t="shared" si="171"/>
        <v>1344.3478247313578</v>
      </c>
      <c r="BR179" s="29">
        <f t="shared" si="171"/>
        <v>1388.4366512413646</v>
      </c>
      <c r="BS179" s="29">
        <f t="shared" si="171"/>
        <v>1433.9714016315384</v>
      </c>
    </row>
    <row r="180" spans="1:71" x14ac:dyDescent="0.2">
      <c r="A180" s="2" t="s">
        <v>586</v>
      </c>
      <c r="B180" s="2" t="s">
        <v>587</v>
      </c>
      <c r="C180" s="11" t="s">
        <v>82</v>
      </c>
      <c r="D180" s="26">
        <f>'Growth calculation'!G181</f>
        <v>1.244E-2</v>
      </c>
      <c r="E180" s="27">
        <v>6270</v>
      </c>
      <c r="F180" s="12">
        <v>2025</v>
      </c>
      <c r="G180" s="28" t="s">
        <v>284</v>
      </c>
      <c r="H180" s="27">
        <v>2220</v>
      </c>
      <c r="I180" s="27">
        <v>2660</v>
      </c>
      <c r="J180" s="27">
        <v>2810</v>
      </c>
      <c r="K180" s="27">
        <v>2830</v>
      </c>
      <c r="L180" s="27">
        <v>2960</v>
      </c>
      <c r="M180" s="27">
        <v>3230</v>
      </c>
      <c r="N180" s="27">
        <v>3380</v>
      </c>
      <c r="O180" s="27">
        <v>3550</v>
      </c>
      <c r="P180" s="27">
        <v>3730</v>
      </c>
      <c r="Q180" s="27">
        <v>3790</v>
      </c>
      <c r="R180" s="27">
        <v>3750</v>
      </c>
      <c r="S180" s="27">
        <v>3390</v>
      </c>
      <c r="T180" s="27">
        <v>3300</v>
      </c>
      <c r="U180" s="27">
        <v>3260</v>
      </c>
      <c r="V180" s="27">
        <v>3060</v>
      </c>
      <c r="W180" s="27">
        <v>2870</v>
      </c>
      <c r="X180" s="27">
        <v>3160</v>
      </c>
      <c r="Y180" s="27">
        <v>4040</v>
      </c>
      <c r="Z180" s="27">
        <v>5430</v>
      </c>
      <c r="AA180" s="27">
        <v>6120</v>
      </c>
      <c r="AB180" s="27">
        <v>6440</v>
      </c>
      <c r="AC180" s="27">
        <v>6490</v>
      </c>
      <c r="AD180" s="27">
        <v>6350</v>
      </c>
      <c r="AE180" s="27">
        <v>6730</v>
      </c>
      <c r="AF180" s="27">
        <v>7620</v>
      </c>
      <c r="AG180" s="27">
        <v>8220</v>
      </c>
      <c r="AH180" s="27">
        <v>7930</v>
      </c>
      <c r="AI180" s="27">
        <v>7230</v>
      </c>
      <c r="AJ180" s="27">
        <v>6450</v>
      </c>
      <c r="AK180" s="27">
        <v>5880</v>
      </c>
      <c r="AL180" s="27">
        <v>5850</v>
      </c>
      <c r="AM180" s="27">
        <v>6250</v>
      </c>
      <c r="AN180" s="27">
        <v>6570</v>
      </c>
      <c r="AO180" s="27">
        <v>5930</v>
      </c>
      <c r="AP180" s="27">
        <v>6320</v>
      </c>
      <c r="AQ180" s="27">
        <v>6530</v>
      </c>
      <c r="AR180" s="27">
        <v>6490</v>
      </c>
      <c r="AS180" s="27">
        <v>6110</v>
      </c>
      <c r="AT180" s="27">
        <v>6270</v>
      </c>
      <c r="AU180" s="29">
        <f t="shared" si="160"/>
        <v>6347.9988000000003</v>
      </c>
      <c r="AV180" s="29">
        <f t="shared" ref="AV180:BS180" si="172">AU180*(1+$D180)</f>
        <v>6426.9679050720006</v>
      </c>
      <c r="AW180" s="29">
        <f t="shared" si="172"/>
        <v>6506.9193858110966</v>
      </c>
      <c r="AX180" s="29">
        <f t="shared" si="172"/>
        <v>6587.865462970587</v>
      </c>
      <c r="AY180" s="29">
        <f t="shared" si="172"/>
        <v>6669.8185093299408</v>
      </c>
      <c r="AZ180" s="29">
        <f t="shared" si="172"/>
        <v>6752.7910515860049</v>
      </c>
      <c r="BA180" s="29">
        <f t="shared" si="172"/>
        <v>6836.7957722677347</v>
      </c>
      <c r="BB180" s="29">
        <f t="shared" si="172"/>
        <v>6921.8455116747455</v>
      </c>
      <c r="BC180" s="29">
        <f t="shared" si="172"/>
        <v>7007.9532698399789</v>
      </c>
      <c r="BD180" s="29">
        <f t="shared" si="172"/>
        <v>7095.1322085167885</v>
      </c>
      <c r="BE180" s="29">
        <f t="shared" si="172"/>
        <v>7183.395653190737</v>
      </c>
      <c r="BF180" s="29">
        <f t="shared" si="172"/>
        <v>7272.7570951164298</v>
      </c>
      <c r="BG180" s="29">
        <f t="shared" si="172"/>
        <v>7363.230193379678</v>
      </c>
      <c r="BH180" s="29">
        <f t="shared" si="172"/>
        <v>7454.8287769853214</v>
      </c>
      <c r="BI180" s="29">
        <f t="shared" si="172"/>
        <v>7547.566846971019</v>
      </c>
      <c r="BJ180" s="29">
        <f t="shared" si="172"/>
        <v>7641.4585785473382</v>
      </c>
      <c r="BK180" s="29">
        <f t="shared" si="172"/>
        <v>7736.5183232644667</v>
      </c>
      <c r="BL180" s="29">
        <f t="shared" si="172"/>
        <v>7832.7606112058766</v>
      </c>
      <c r="BM180" s="29">
        <f t="shared" si="172"/>
        <v>7930.2001532092781</v>
      </c>
      <c r="BN180" s="29">
        <f t="shared" si="172"/>
        <v>8028.8518431152015</v>
      </c>
      <c r="BO180" s="29">
        <f t="shared" si="172"/>
        <v>8128.7307600435543</v>
      </c>
      <c r="BP180" s="29">
        <f t="shared" si="172"/>
        <v>8229.8521706984957</v>
      </c>
      <c r="BQ180" s="29">
        <f t="shared" si="172"/>
        <v>8332.2315317019857</v>
      </c>
      <c r="BR180" s="29">
        <f t="shared" si="172"/>
        <v>8435.884491956358</v>
      </c>
      <c r="BS180" s="29">
        <f t="shared" si="172"/>
        <v>8540.8268950362944</v>
      </c>
    </row>
    <row r="181" spans="1:71" x14ac:dyDescent="0.2">
      <c r="A181" s="2" t="s">
        <v>588</v>
      </c>
      <c r="B181" s="2" t="s">
        <v>589</v>
      </c>
      <c r="C181" s="11" t="s">
        <v>75</v>
      </c>
      <c r="G181" s="28" t="s">
        <v>204</v>
      </c>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v>770</v>
      </c>
      <c r="AG181" s="27">
        <v>800</v>
      </c>
      <c r="AH181" s="27">
        <v>1080</v>
      </c>
      <c r="AI181" s="27">
        <v>1170</v>
      </c>
      <c r="AJ181" s="27">
        <v>1050</v>
      </c>
      <c r="AK181" s="27"/>
      <c r="AL181" s="27"/>
      <c r="AM181" s="27"/>
      <c r="AN181" s="27"/>
      <c r="AO181" s="27"/>
      <c r="AP181" s="27"/>
      <c r="AQ181" s="27"/>
      <c r="AR181" s="27"/>
      <c r="AS181" s="27"/>
      <c r="AT181" s="27"/>
    </row>
    <row r="182" spans="1:71" x14ac:dyDescent="0.2">
      <c r="A182" s="2" t="s">
        <v>590</v>
      </c>
      <c r="B182" s="2" t="s">
        <v>591</v>
      </c>
      <c r="C182" s="11" t="s">
        <v>79</v>
      </c>
      <c r="D182" s="26">
        <f>'Growth calculation'!G183</f>
        <v>2.6081492605909751E-2</v>
      </c>
      <c r="E182" s="27">
        <v>37120</v>
      </c>
      <c r="F182" s="12">
        <v>2025</v>
      </c>
      <c r="G182" s="2" t="s">
        <v>162</v>
      </c>
      <c r="H182" s="27">
        <v>7100</v>
      </c>
      <c r="I182" s="27">
        <v>9400</v>
      </c>
      <c r="J182" s="27">
        <v>10690</v>
      </c>
      <c r="K182" s="27">
        <v>12190</v>
      </c>
      <c r="L182" s="27">
        <v>13680</v>
      </c>
      <c r="M182" s="27">
        <v>15590</v>
      </c>
      <c r="N182" s="27">
        <v>15000</v>
      </c>
      <c r="O182" s="27">
        <v>14460</v>
      </c>
      <c r="P182" s="27">
        <v>14810</v>
      </c>
      <c r="Q182" s="27">
        <v>15540</v>
      </c>
      <c r="R182" s="27">
        <v>15790</v>
      </c>
      <c r="S182" s="27">
        <v>15410</v>
      </c>
      <c r="T182" s="27">
        <v>15450</v>
      </c>
      <c r="U182" s="27">
        <v>15770</v>
      </c>
      <c r="V182" s="27">
        <v>15530</v>
      </c>
      <c r="W182" s="27">
        <v>15630</v>
      </c>
      <c r="X182" s="27">
        <v>18080</v>
      </c>
      <c r="Y182" s="27">
        <v>22140</v>
      </c>
      <c r="Z182" s="27">
        <v>25910</v>
      </c>
      <c r="AA182" s="27">
        <v>27860</v>
      </c>
      <c r="AB182" s="27">
        <v>29780</v>
      </c>
      <c r="AC182" s="27">
        <v>32270</v>
      </c>
      <c r="AD182" s="27">
        <v>32630</v>
      </c>
      <c r="AE182" s="27">
        <v>32060</v>
      </c>
      <c r="AF182" s="27">
        <v>31170</v>
      </c>
      <c r="AG182" s="27">
        <v>29710</v>
      </c>
      <c r="AH182" s="27">
        <v>29400</v>
      </c>
      <c r="AI182" s="27">
        <v>29350</v>
      </c>
      <c r="AJ182" s="27">
        <v>28700</v>
      </c>
      <c r="AK182" s="27">
        <v>27760</v>
      </c>
      <c r="AL182" s="27">
        <v>27290</v>
      </c>
      <c r="AM182" s="27">
        <v>29530</v>
      </c>
      <c r="AN182" s="27">
        <v>30560</v>
      </c>
      <c r="AO182" s="27">
        <v>27410</v>
      </c>
      <c r="AP182" s="27">
        <v>30380</v>
      </c>
      <c r="AQ182" s="27">
        <v>32690</v>
      </c>
      <c r="AR182" s="27">
        <v>32980</v>
      </c>
      <c r="AS182" s="27">
        <v>33550</v>
      </c>
      <c r="AT182" s="27">
        <v>37120</v>
      </c>
      <c r="AU182" s="29">
        <f>$E182*(1+$D182)</f>
        <v>38088.145005531376</v>
      </c>
      <c r="AV182" s="29">
        <f t="shared" ref="AV182:BS182" si="173">AU182*(1+$D182)</f>
        <v>39081.540677865967</v>
      </c>
      <c r="AW182" s="29">
        <f t="shared" si="173"/>
        <v>40100.845592083293</v>
      </c>
      <c r="AX182" s="29">
        <f t="shared" si="173"/>
        <v>41146.735499883944</v>
      </c>
      <c r="AY182" s="29">
        <f t="shared" si="173"/>
        <v>42219.903777581494</v>
      </c>
      <c r="AZ182" s="29">
        <f t="shared" si="173"/>
        <v>43321.061885778712</v>
      </c>
      <c r="BA182" s="29">
        <f t="shared" si="173"/>
        <v>44450.939841032814</v>
      </c>
      <c r="BB182" s="29">
        <f t="shared" si="173"/>
        <v>45610.286699822456</v>
      </c>
      <c r="BC182" s="29">
        <f t="shared" si="173"/>
        <v>46799.871055137308</v>
      </c>
      <c r="BD182" s="29">
        <f t="shared" si="173"/>
        <v>48020.481546019408</v>
      </c>
      <c r="BE182" s="29">
        <f t="shared" si="173"/>
        <v>49272.927380394147</v>
      </c>
      <c r="BF182" s="29">
        <f t="shared" si="173"/>
        <v>50558.038871537428</v>
      </c>
      <c r="BG182" s="29">
        <f t="shared" si="173"/>
        <v>51876.667988534733</v>
      </c>
      <c r="BH182" s="29">
        <f t="shared" si="173"/>
        <v>53229.688921096946</v>
      </c>
      <c r="BI182" s="29">
        <f t="shared" si="173"/>
        <v>54617.998659107419</v>
      </c>
      <c r="BJ182" s="29">
        <f t="shared" si="173"/>
        <v>56042.517587284521</v>
      </c>
      <c r="BK182" s="29">
        <f t="shared" si="173"/>
        <v>57504.190095353857</v>
      </c>
      <c r="BL182" s="29">
        <f t="shared" si="173"/>
        <v>59003.98520413466</v>
      </c>
      <c r="BM182" s="29">
        <f t="shared" si="173"/>
        <v>60542.897207955517</v>
      </c>
      <c r="BN182" s="29">
        <f t="shared" si="173"/>
        <v>62121.946333825166</v>
      </c>
      <c r="BO182" s="29">
        <f t="shared" si="173"/>
        <v>63742.17941779556</v>
      </c>
      <c r="BP182" s="29">
        <f t="shared" si="173"/>
        <v>65404.670598965371</v>
      </c>
      <c r="BQ182" s="29">
        <f t="shared" si="173"/>
        <v>67110.52203158426</v>
      </c>
      <c r="BR182" s="29">
        <f t="shared" si="173"/>
        <v>68860.864615729777</v>
      </c>
      <c r="BS182" s="29">
        <f t="shared" si="173"/>
        <v>70656.858747041493</v>
      </c>
    </row>
    <row r="183" spans="1:71" x14ac:dyDescent="0.2">
      <c r="A183" s="2" t="s">
        <v>592</v>
      </c>
      <c r="B183" s="2" t="s">
        <v>593</v>
      </c>
      <c r="C183" s="11" t="s">
        <v>82</v>
      </c>
      <c r="D183" s="26">
        <f>'Growth calculation'!G184</f>
        <v>2.8157945642712012E-2</v>
      </c>
      <c r="E183" s="27">
        <v>4670</v>
      </c>
      <c r="F183" s="12">
        <v>2025</v>
      </c>
      <c r="G183" s="2" t="s">
        <v>162</v>
      </c>
      <c r="H183" s="27">
        <v>450</v>
      </c>
      <c r="I183" s="27">
        <v>480</v>
      </c>
      <c r="J183" s="27">
        <v>470</v>
      </c>
      <c r="K183" s="27">
        <v>490</v>
      </c>
      <c r="L183" s="27">
        <v>530</v>
      </c>
      <c r="M183" s="27">
        <v>580</v>
      </c>
      <c r="N183" s="27">
        <v>630</v>
      </c>
      <c r="O183" s="27">
        <v>670</v>
      </c>
      <c r="P183" s="27">
        <v>720</v>
      </c>
      <c r="Q183" s="27">
        <v>760</v>
      </c>
      <c r="R183" s="27">
        <v>810</v>
      </c>
      <c r="S183" s="27">
        <v>810</v>
      </c>
      <c r="T183" s="27">
        <v>830</v>
      </c>
      <c r="U183" s="27">
        <v>860</v>
      </c>
      <c r="V183" s="27">
        <v>810</v>
      </c>
      <c r="W183" s="27">
        <v>820</v>
      </c>
      <c r="X183" s="27">
        <v>910</v>
      </c>
      <c r="Y183" s="27">
        <v>1030</v>
      </c>
      <c r="Z183" s="27">
        <v>1170</v>
      </c>
      <c r="AA183" s="27">
        <v>1320</v>
      </c>
      <c r="AB183" s="27">
        <v>1500</v>
      </c>
      <c r="AC183" s="27">
        <v>1740</v>
      </c>
      <c r="AD183" s="27">
        <v>1950</v>
      </c>
      <c r="AE183" s="27">
        <v>2360</v>
      </c>
      <c r="AF183" s="27">
        <v>2830</v>
      </c>
      <c r="AG183" s="27">
        <v>3340</v>
      </c>
      <c r="AH183" s="27">
        <v>3630</v>
      </c>
      <c r="AI183" s="27">
        <v>3810</v>
      </c>
      <c r="AJ183" s="27">
        <v>3920</v>
      </c>
      <c r="AK183" s="27">
        <v>4020</v>
      </c>
      <c r="AL183" s="27">
        <v>4220</v>
      </c>
      <c r="AM183" s="27">
        <v>4350</v>
      </c>
      <c r="AN183" s="27">
        <v>4220</v>
      </c>
      <c r="AO183" s="27">
        <v>3880</v>
      </c>
      <c r="AP183" s="27">
        <v>4010</v>
      </c>
      <c r="AQ183" s="27">
        <v>3620</v>
      </c>
      <c r="AR183" s="27">
        <v>3550</v>
      </c>
      <c r="AS183" s="27">
        <v>3870</v>
      </c>
      <c r="AT183" s="27">
        <v>4670</v>
      </c>
      <c r="AU183" s="29">
        <f>$E183*(1+$D183)</f>
        <v>4801.4976061514644</v>
      </c>
      <c r="AV183" s="29">
        <f t="shared" ref="AV183:BS183" si="174">AU183*(1+$D183)</f>
        <v>4936.6979147490883</v>
      </c>
      <c r="AW183" s="29">
        <f t="shared" si="174"/>
        <v>5075.7051862870821</v>
      </c>
      <c r="AX183" s="29">
        <f t="shared" si="174"/>
        <v>5218.6266170209847</v>
      </c>
      <c r="AY183" s="29">
        <f t="shared" si="174"/>
        <v>5365.5724216326707</v>
      </c>
      <c r="AZ183" s="29">
        <f t="shared" si="174"/>
        <v>5516.6559182230376</v>
      </c>
      <c r="BA183" s="29">
        <f t="shared" si="174"/>
        <v>5671.9936156979065</v>
      </c>
      <c r="BB183" s="29">
        <f t="shared" si="174"/>
        <v>5831.7053036145371</v>
      </c>
      <c r="BC183" s="29">
        <f t="shared" si="174"/>
        <v>5995.9141445580299</v>
      </c>
      <c r="BD183" s="29">
        <f t="shared" si="174"/>
        <v>6164.7467691188622</v>
      </c>
      <c r="BE183" s="29">
        <f t="shared" si="174"/>
        <v>6338.333373544795</v>
      </c>
      <c r="BF183" s="29">
        <f t="shared" si="174"/>
        <v>6516.807820142456</v>
      </c>
      <c r="BG183" s="29">
        <f t="shared" si="174"/>
        <v>6700.3077405060267</v>
      </c>
      <c r="BH183" s="29">
        <f t="shared" si="174"/>
        <v>6888.9746416526368</v>
      </c>
      <c r="BI183" s="29">
        <f t="shared" si="174"/>
        <v>7082.9540151463125</v>
      </c>
      <c r="BJ183" s="29">
        <f t="shared" si="174"/>
        <v>7282.3954492946305</v>
      </c>
      <c r="BK183" s="29">
        <f t="shared" si="174"/>
        <v>7487.4527445046015</v>
      </c>
      <c r="BL183" s="29">
        <f t="shared" si="174"/>
        <v>7698.2840318867356</v>
      </c>
      <c r="BM183" s="29">
        <f t="shared" si="174"/>
        <v>7915.0518951987597</v>
      </c>
      <c r="BN183" s="29">
        <f t="shared" si="174"/>
        <v>8137.9234962230103</v>
      </c>
      <c r="BO183" s="29">
        <f t="shared" si="174"/>
        <v>8367.070703674206</v>
      </c>
      <c r="BP183" s="29">
        <f t="shared" si="174"/>
        <v>8602.6702257369907</v>
      </c>
      <c r="BQ183" s="29">
        <f t="shared" si="174"/>
        <v>8844.9037463354689</v>
      </c>
      <c r="BR183" s="29">
        <f t="shared" si="174"/>
        <v>9093.9580652398017</v>
      </c>
      <c r="BS183" s="29">
        <f t="shared" si="174"/>
        <v>9350.0252421179248</v>
      </c>
    </row>
    <row r="184" spans="1:71" x14ac:dyDescent="0.2">
      <c r="A184" s="2" t="s">
        <v>594</v>
      </c>
      <c r="B184" s="2" t="s">
        <v>595</v>
      </c>
      <c r="C184" s="11" t="s">
        <v>79</v>
      </c>
      <c r="D184" s="26">
        <f>'Growth calculation'!G185</f>
        <v>4.5834937825693811E-2</v>
      </c>
      <c r="E184" s="27">
        <v>24530</v>
      </c>
      <c r="F184" s="12">
        <v>2025</v>
      </c>
      <c r="G184" s="2" t="s">
        <v>162</v>
      </c>
      <c r="H184" s="27">
        <v>3660</v>
      </c>
      <c r="I184" s="27">
        <v>4350</v>
      </c>
      <c r="J184" s="27">
        <v>4610</v>
      </c>
      <c r="K184" s="27">
        <v>5200</v>
      </c>
      <c r="L184" s="27">
        <v>5260</v>
      </c>
      <c r="M184" s="27">
        <v>5710</v>
      </c>
      <c r="N184" s="27">
        <v>6180</v>
      </c>
      <c r="O184" s="27">
        <v>6680</v>
      </c>
      <c r="P184" s="27">
        <v>7260</v>
      </c>
      <c r="Q184" s="27">
        <v>7620</v>
      </c>
      <c r="R184" s="27">
        <v>7980</v>
      </c>
      <c r="S184" s="27">
        <v>7690</v>
      </c>
      <c r="T184" s="27">
        <v>8100</v>
      </c>
      <c r="U184" s="27">
        <v>8890</v>
      </c>
      <c r="V184" s="27">
        <v>9200</v>
      </c>
      <c r="W184" s="27">
        <v>9190</v>
      </c>
      <c r="X184" s="27">
        <v>9190</v>
      </c>
      <c r="Y184" s="27">
        <v>10390</v>
      </c>
      <c r="Z184" s="27">
        <v>11750</v>
      </c>
      <c r="AA184" s="27">
        <v>12650</v>
      </c>
      <c r="AB184" s="27">
        <v>13350</v>
      </c>
      <c r="AC184" s="27">
        <v>15980</v>
      </c>
      <c r="AD184" s="27">
        <v>15840</v>
      </c>
      <c r="AE184" s="27">
        <v>15970</v>
      </c>
      <c r="AF184" s="27">
        <v>16760</v>
      </c>
      <c r="AG184" s="27">
        <v>17010</v>
      </c>
      <c r="AH184" s="27">
        <v>18460</v>
      </c>
      <c r="AI184" s="27">
        <v>18850</v>
      </c>
      <c r="AJ184" s="27">
        <v>18670</v>
      </c>
      <c r="AK184" s="27">
        <v>19640</v>
      </c>
      <c r="AL184" s="27">
        <v>20420</v>
      </c>
      <c r="AM184" s="27">
        <v>21930</v>
      </c>
      <c r="AN184" s="27">
        <v>23670</v>
      </c>
      <c r="AO184" s="27">
        <v>19340</v>
      </c>
      <c r="AP184" s="27">
        <v>19070</v>
      </c>
      <c r="AQ184" s="27">
        <v>21420</v>
      </c>
      <c r="AR184" s="27">
        <v>21870</v>
      </c>
      <c r="AS184" s="27">
        <v>21960</v>
      </c>
      <c r="AT184" s="27">
        <v>24530</v>
      </c>
      <c r="AU184" s="29">
        <f>$E184*(1+$D184)</f>
        <v>25654.331024864267</v>
      </c>
      <c r="AV184" s="29">
        <f t="shared" ref="AV184:BS184" si="175">AU184*(1+$D184)</f>
        <v>26830.195692348687</v>
      </c>
      <c r="AW184" s="29">
        <f t="shared" si="175"/>
        <v>28059.956043758684</v>
      </c>
      <c r="AX184" s="29">
        <f t="shared" si="175"/>
        <v>29346.082384416062</v>
      </c>
      <c r="AY184" s="29">
        <f t="shared" si="175"/>
        <v>30691.158245933457</v>
      </c>
      <c r="AZ184" s="29">
        <f t="shared" si="175"/>
        <v>32097.885575934342</v>
      </c>
      <c r="BA184" s="29">
        <f t="shared" si="175"/>
        <v>33569.090165643524</v>
      </c>
      <c r="BB184" s="29">
        <f t="shared" si="175"/>
        <v>35107.727326250897</v>
      </c>
      <c r="BC184" s="29">
        <f t="shared" si="175"/>
        <v>36716.887825451013</v>
      </c>
      <c r="BD184" s="29">
        <f t="shared" si="175"/>
        <v>38399.804096083528</v>
      </c>
      <c r="BE184" s="29">
        <f t="shared" si="175"/>
        <v>40159.856729346335</v>
      </c>
      <c r="BF184" s="29">
        <f t="shared" si="175"/>
        <v>42000.581265624693</v>
      </c>
      <c r="BG184" s="29">
        <f t="shared" si="175"/>
        <v>43925.675296577596</v>
      </c>
      <c r="BH184" s="29">
        <f t="shared" si="175"/>
        <v>45939.005892747839</v>
      </c>
      <c r="BI184" s="29">
        <f t="shared" si="175"/>
        <v>48044.617371616114</v>
      </c>
      <c r="BJ184" s="29">
        <f t="shared" si="175"/>
        <v>50246.73942170338</v>
      </c>
      <c r="BK184" s="29">
        <f t="shared" si="175"/>
        <v>52549.79559904099</v>
      </c>
      <c r="BL184" s="29">
        <f t="shared" si="175"/>
        <v>54958.41221307595</v>
      </c>
      <c r="BM184" s="29">
        <f t="shared" si="175"/>
        <v>57477.427619861133</v>
      </c>
      <c r="BN184" s="29">
        <f t="shared" si="175"/>
        <v>60111.901941198281</v>
      </c>
      <c r="BO184" s="29">
        <f t="shared" si="175"/>
        <v>62867.127229257298</v>
      </c>
      <c r="BP184" s="29">
        <f t="shared" si="175"/>
        <v>65748.638097090283</v>
      </c>
      <c r="BQ184" s="29">
        <f t="shared" si="175"/>
        <v>68762.222836394445</v>
      </c>
      <c r="BR184" s="29">
        <f t="shared" si="175"/>
        <v>71913.935044857077</v>
      </c>
      <c r="BS184" s="29">
        <f t="shared" si="175"/>
        <v>75210.105786439075</v>
      </c>
    </row>
    <row r="185" spans="1:71" x14ac:dyDescent="0.2">
      <c r="A185" s="2" t="s">
        <v>596</v>
      </c>
      <c r="B185" s="2" t="s">
        <v>597</v>
      </c>
      <c r="C185" s="11" t="s">
        <v>82</v>
      </c>
      <c r="D185" s="26">
        <f>'Growth calculation'!G186</f>
        <v>6.0855564803972695E-2</v>
      </c>
      <c r="E185" s="27">
        <v>13410</v>
      </c>
      <c r="F185" s="12">
        <v>2025</v>
      </c>
      <c r="G185" s="2" t="s">
        <v>162</v>
      </c>
      <c r="H185" s="27">
        <v>2780</v>
      </c>
      <c r="I185" s="27">
        <v>3290</v>
      </c>
      <c r="J185" s="27">
        <v>3550</v>
      </c>
      <c r="K185" s="27">
        <v>3740</v>
      </c>
      <c r="L185" s="27">
        <v>3870</v>
      </c>
      <c r="M185" s="27">
        <v>4410</v>
      </c>
      <c r="N185" s="27">
        <v>4410</v>
      </c>
      <c r="O185" s="27">
        <v>4480</v>
      </c>
      <c r="P185" s="27">
        <v>4610</v>
      </c>
      <c r="Q185" s="27">
        <v>4800</v>
      </c>
      <c r="R185" s="27">
        <v>4710</v>
      </c>
      <c r="S185" s="27">
        <v>4870</v>
      </c>
      <c r="T185" s="27">
        <v>5100</v>
      </c>
      <c r="U185" s="27">
        <v>5500</v>
      </c>
      <c r="V185" s="27">
        <v>5270</v>
      </c>
      <c r="W185" s="27">
        <v>5280</v>
      </c>
      <c r="X185" s="27">
        <v>5650</v>
      </c>
      <c r="Y185" s="27">
        <v>6300</v>
      </c>
      <c r="Z185" s="27">
        <v>6550</v>
      </c>
      <c r="AA185" s="27">
        <v>7210</v>
      </c>
      <c r="AB185" s="27">
        <v>7500</v>
      </c>
      <c r="AC185" s="27">
        <v>8150</v>
      </c>
      <c r="AD185" s="27">
        <v>8130</v>
      </c>
      <c r="AE185" s="27">
        <v>8240</v>
      </c>
      <c r="AF185" s="27">
        <v>8890</v>
      </c>
      <c r="AG185" s="27">
        <v>9000</v>
      </c>
      <c r="AH185" s="27">
        <v>8710</v>
      </c>
      <c r="AI185" s="27">
        <v>9040</v>
      </c>
      <c r="AJ185" s="27">
        <v>9020</v>
      </c>
      <c r="AK185" s="27">
        <v>9710</v>
      </c>
      <c r="AL185" s="27">
        <v>10260</v>
      </c>
      <c r="AM185" s="27">
        <v>11060</v>
      </c>
      <c r="AN185" s="27">
        <v>11060</v>
      </c>
      <c r="AO185" s="27">
        <v>8700</v>
      </c>
      <c r="AP185" s="27">
        <v>10030</v>
      </c>
      <c r="AQ185" s="27">
        <v>11680</v>
      </c>
      <c r="AR185" s="27">
        <v>12440</v>
      </c>
      <c r="AS185" s="27">
        <v>12840</v>
      </c>
      <c r="AT185" s="27">
        <v>13410</v>
      </c>
      <c r="AU185" s="29">
        <f>$E185*(1+$D185)</f>
        <v>14226.073124021272</v>
      </c>
      <c r="AV185" s="29">
        <f t="shared" ref="AV185:BS185" si="176">AU185*(1+$D185)</f>
        <v>15091.808838926201</v>
      </c>
      <c r="AW185" s="29">
        <f t="shared" si="176"/>
        <v>16010.22938973264</v>
      </c>
      <c r="AX185" s="29">
        <f t="shared" si="176"/>
        <v>16984.540941885982</v>
      </c>
      <c r="AY185" s="29">
        <f t="shared" si="176"/>
        <v>18018.14477384065</v>
      </c>
      <c r="AZ185" s="29">
        <f t="shared" si="176"/>
        <v>19114.649150772468</v>
      </c>
      <c r="BA185" s="29">
        <f t="shared" si="176"/>
        <v>20277.8819208725</v>
      </c>
      <c r="BB185" s="29">
        <f t="shared" si="176"/>
        <v>21511.903878195459</v>
      </c>
      <c r="BC185" s="29">
        <f t="shared" si="176"/>
        <v>22821.022938711812</v>
      </c>
      <c r="BD185" s="29">
        <f t="shared" si="176"/>
        <v>24209.809179051535</v>
      </c>
      <c r="BE185" s="29">
        <f t="shared" si="176"/>
        <v>25683.110790439117</v>
      </c>
      <c r="BF185" s="29">
        <f t="shared" si="176"/>
        <v>27246.071003514291</v>
      </c>
      <c r="BG185" s="29">
        <f t="shared" si="176"/>
        <v>28904.146043122295</v>
      </c>
      <c r="BH185" s="29">
        <f t="shared" si="176"/>
        <v>30663.124175753012</v>
      </c>
      <c r="BI185" s="29">
        <f t="shared" si="176"/>
        <v>32529.145916122809</v>
      </c>
      <c r="BJ185" s="29">
        <f t="shared" si="176"/>
        <v>34508.725463439303</v>
      </c>
      <c r="BK185" s="29">
        <f t="shared" si="176"/>
        <v>36608.77344218213</v>
      </c>
      <c r="BL185" s="29">
        <f t="shared" si="176"/>
        <v>38836.621026786794</v>
      </c>
      <c r="BM185" s="29">
        <f t="shared" si="176"/>
        <v>41200.045534449739</v>
      </c>
      <c r="BN185" s="29">
        <f t="shared" si="176"/>
        <v>43707.297575398065</v>
      </c>
      <c r="BO185" s="29">
        <f t="shared" si="176"/>
        <v>46367.129855404215</v>
      </c>
      <c r="BP185" s="29">
        <f t="shared" si="176"/>
        <v>49188.827731093981</v>
      </c>
      <c r="BQ185" s="29">
        <f t="shared" si="176"/>
        <v>52182.241624715018</v>
      </c>
      <c r="BR185" s="29">
        <f t="shared" si="176"/>
        <v>55357.821411524419</v>
      </c>
      <c r="BS185" s="29">
        <f t="shared" si="176"/>
        <v>58726.652899840185</v>
      </c>
    </row>
    <row r="186" spans="1:71" x14ac:dyDescent="0.2">
      <c r="A186" s="2" t="s">
        <v>598</v>
      </c>
      <c r="B186" s="2" t="s">
        <v>599</v>
      </c>
      <c r="C186" s="11" t="s">
        <v>79</v>
      </c>
      <c r="G186" s="28" t="s">
        <v>204</v>
      </c>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row>
    <row r="187" spans="1:71" x14ac:dyDescent="0.2">
      <c r="A187" s="2" t="s">
        <v>600</v>
      </c>
      <c r="B187" s="2" t="s">
        <v>601</v>
      </c>
      <c r="C187" s="11" t="s">
        <v>82</v>
      </c>
      <c r="D187" s="26">
        <f>'Growth calculation'!G188</f>
        <v>6.1256086651585773E-2</v>
      </c>
      <c r="E187" s="27">
        <v>12000</v>
      </c>
      <c r="F187" s="12">
        <v>2025</v>
      </c>
      <c r="G187" s="2" t="s">
        <v>162</v>
      </c>
      <c r="H187" s="27">
        <v>1600</v>
      </c>
      <c r="I187" s="27">
        <v>1880</v>
      </c>
      <c r="J187" s="27">
        <v>1960</v>
      </c>
      <c r="K187" s="27">
        <v>2030</v>
      </c>
      <c r="L187" s="27">
        <v>2140</v>
      </c>
      <c r="M187" s="27">
        <v>2440</v>
      </c>
      <c r="N187" s="27">
        <v>2570</v>
      </c>
      <c r="O187" s="27">
        <v>2530</v>
      </c>
      <c r="P187" s="27">
        <v>2760</v>
      </c>
      <c r="Q187" s="27">
        <v>2860</v>
      </c>
      <c r="R187" s="27">
        <v>2930</v>
      </c>
      <c r="S187" s="27">
        <v>3040</v>
      </c>
      <c r="T187" s="27">
        <v>3140</v>
      </c>
      <c r="U187" s="27">
        <v>3390</v>
      </c>
      <c r="V187" s="27">
        <v>3660</v>
      </c>
      <c r="W187" s="27">
        <v>4010</v>
      </c>
      <c r="X187" s="27">
        <v>4430</v>
      </c>
      <c r="Y187" s="27">
        <v>4800</v>
      </c>
      <c r="Z187" s="27">
        <v>5060</v>
      </c>
      <c r="AA187" s="27">
        <v>5580</v>
      </c>
      <c r="AB187" s="27">
        <v>6030</v>
      </c>
      <c r="AC187" s="27">
        <v>6380</v>
      </c>
      <c r="AD187" s="27">
        <v>6530</v>
      </c>
      <c r="AE187" s="27">
        <v>6310</v>
      </c>
      <c r="AF187" s="27">
        <v>6390</v>
      </c>
      <c r="AG187" s="27">
        <v>6720</v>
      </c>
      <c r="AH187" s="27">
        <v>6980</v>
      </c>
      <c r="AI187" s="27">
        <v>6860</v>
      </c>
      <c r="AJ187" s="27">
        <v>7110</v>
      </c>
      <c r="AK187" s="27">
        <v>7480</v>
      </c>
      <c r="AL187" s="27">
        <v>7730</v>
      </c>
      <c r="AM187" s="27">
        <v>8370</v>
      </c>
      <c r="AN187" s="27">
        <v>8700</v>
      </c>
      <c r="AO187" s="27">
        <v>8360</v>
      </c>
      <c r="AP187" s="27">
        <v>8720</v>
      </c>
      <c r="AQ187" s="27">
        <v>9520</v>
      </c>
      <c r="AR187" s="27">
        <v>10210</v>
      </c>
      <c r="AS187" s="27">
        <v>11210</v>
      </c>
      <c r="AT187" s="27">
        <v>12000</v>
      </c>
      <c r="AU187" s="29">
        <f>$E187*(1+$D187)</f>
        <v>12735.073039819028</v>
      </c>
      <c r="AV187" s="29">
        <f t="shared" ref="AV187:BS187" si="177">AU187*(1+$D187)</f>
        <v>13515.173777460455</v>
      </c>
      <c r="AW187" s="29">
        <f t="shared" si="177"/>
        <v>14343.060433483812</v>
      </c>
      <c r="AX187" s="29">
        <f t="shared" si="177"/>
        <v>15221.660186246227</v>
      </c>
      <c r="AY187" s="29">
        <f t="shared" si="177"/>
        <v>16154.079521595917</v>
      </c>
      <c r="AZ187" s="29">
        <f t="shared" si="177"/>
        <v>17143.615216547401</v>
      </c>
      <c r="BA187" s="29">
        <f t="shared" si="177"/>
        <v>18193.765995773672</v>
      </c>
      <c r="BB187" s="29">
        <f t="shared" si="177"/>
        <v>19308.244902129456</v>
      </c>
      <c r="BC187" s="29">
        <f t="shared" si="177"/>
        <v>20490.992424944336</v>
      </c>
      <c r="BD187" s="29">
        <f t="shared" si="177"/>
        <v>21746.19043250371</v>
      </c>
      <c r="BE187" s="29">
        <f t="shared" si="177"/>
        <v>23078.27695797904</v>
      </c>
      <c r="BF187" s="29">
        <f t="shared" si="177"/>
        <v>24491.961891086296</v>
      </c>
      <c r="BG187" s="29">
        <f t="shared" si="177"/>
        <v>25992.24363095401</v>
      </c>
      <c r="BH187" s="29">
        <f t="shared" si="177"/>
        <v>27584.426759080856</v>
      </c>
      <c r="BI187" s="29">
        <f t="shared" si="177"/>
        <v>29274.140794869432</v>
      </c>
      <c r="BJ187" s="29">
        <f t="shared" si="177"/>
        <v>31067.360100050671</v>
      </c>
      <c r="BK187" s="29">
        <f t="shared" si="177"/>
        <v>32970.425002375392</v>
      </c>
      <c r="BL187" s="29">
        <f t="shared" si="177"/>
        <v>34990.064213260506</v>
      </c>
      <c r="BM187" s="29">
        <f t="shared" si="177"/>
        <v>37133.41861865254</v>
      </c>
      <c r="BN187" s="29">
        <f t="shared" si="177"/>
        <v>39408.066527226321</v>
      </c>
      <c r="BO187" s="29">
        <f t="shared" si="177"/>
        <v>41822.050465189546</v>
      </c>
      <c r="BP187" s="29">
        <f t="shared" si="177"/>
        <v>44383.905612432187</v>
      </c>
      <c r="BQ187" s="29">
        <f t="shared" si="177"/>
        <v>47102.689980563133</v>
      </c>
      <c r="BR187" s="29">
        <f t="shared" si="177"/>
        <v>49988.016439535284</v>
      </c>
      <c r="BS187" s="29">
        <f t="shared" si="177"/>
        <v>53050.086706096343</v>
      </c>
    </row>
    <row r="188" spans="1:71" x14ac:dyDescent="0.2">
      <c r="A188" s="2" t="s">
        <v>602</v>
      </c>
      <c r="B188" s="2" t="s">
        <v>603</v>
      </c>
      <c r="C188" s="11" t="s">
        <v>75</v>
      </c>
      <c r="D188" s="26">
        <f>'Growth calculation'!G189</f>
        <v>1.244E-2</v>
      </c>
      <c r="E188" s="27">
        <v>900</v>
      </c>
      <c r="F188" s="12">
        <v>2025</v>
      </c>
      <c r="G188" s="28" t="s">
        <v>604</v>
      </c>
      <c r="H188" s="27">
        <v>460</v>
      </c>
      <c r="I188" s="27">
        <v>530</v>
      </c>
      <c r="J188" s="27">
        <v>640</v>
      </c>
      <c r="K188" s="27">
        <v>750</v>
      </c>
      <c r="L188" s="27">
        <v>1030</v>
      </c>
      <c r="M188" s="27">
        <v>510</v>
      </c>
      <c r="N188" s="27">
        <v>360</v>
      </c>
      <c r="O188" s="27">
        <v>310</v>
      </c>
      <c r="P188" s="27">
        <v>390</v>
      </c>
      <c r="Q188" s="27">
        <v>390</v>
      </c>
      <c r="R188" s="27">
        <v>400</v>
      </c>
      <c r="S188" s="27">
        <v>340</v>
      </c>
      <c r="T188" s="27">
        <v>330</v>
      </c>
      <c r="U188" s="27">
        <v>330</v>
      </c>
      <c r="V188" s="27">
        <v>370</v>
      </c>
      <c r="W188" s="27">
        <v>420</v>
      </c>
      <c r="X188" s="27">
        <v>510</v>
      </c>
      <c r="Y188" s="27">
        <v>620</v>
      </c>
      <c r="Z188" s="27">
        <v>750</v>
      </c>
      <c r="AA188" s="27">
        <v>920</v>
      </c>
      <c r="AB188" s="27">
        <v>1160</v>
      </c>
      <c r="AC188" s="27">
        <v>1350</v>
      </c>
      <c r="AD188" s="27">
        <v>1310</v>
      </c>
      <c r="AE188" s="27">
        <v>1230</v>
      </c>
      <c r="AF188" s="27">
        <v>1250</v>
      </c>
      <c r="AG188" s="27">
        <v>1120</v>
      </c>
      <c r="AH188" s="27">
        <v>1060</v>
      </c>
      <c r="AI188" s="27">
        <v>1130</v>
      </c>
      <c r="AJ188" s="27">
        <v>1180</v>
      </c>
      <c r="AK188" s="27">
        <v>1140</v>
      </c>
      <c r="AL188" s="27">
        <v>1010</v>
      </c>
      <c r="AM188" s="27">
        <v>810</v>
      </c>
      <c r="AN188" s="27">
        <v>720</v>
      </c>
      <c r="AO188" s="27">
        <v>600</v>
      </c>
      <c r="AP188" s="27">
        <v>620</v>
      </c>
      <c r="AQ188" s="27">
        <v>720</v>
      </c>
      <c r="AR188" s="27">
        <v>660</v>
      </c>
      <c r="AS188" s="27">
        <v>710</v>
      </c>
      <c r="AT188" s="27">
        <v>900</v>
      </c>
      <c r="AU188" s="29">
        <f>$E188*(1+$D188)</f>
        <v>911.19600000000003</v>
      </c>
      <c r="AV188" s="29">
        <f t="shared" ref="AV188:BS188" si="178">AU188*(1+$D188)</f>
        <v>922.53127824000001</v>
      </c>
      <c r="AW188" s="29">
        <f t="shared" si="178"/>
        <v>934.00756734130562</v>
      </c>
      <c r="AX188" s="29">
        <f t="shared" si="178"/>
        <v>945.62662147903143</v>
      </c>
      <c r="AY188" s="29">
        <f t="shared" si="178"/>
        <v>957.39021665023063</v>
      </c>
      <c r="AZ188" s="29">
        <f t="shared" si="178"/>
        <v>969.30015094535952</v>
      </c>
      <c r="BA188" s="29">
        <f t="shared" si="178"/>
        <v>981.35824482311978</v>
      </c>
      <c r="BB188" s="29">
        <f t="shared" si="178"/>
        <v>993.56634138871937</v>
      </c>
      <c r="BC188" s="29">
        <f t="shared" si="178"/>
        <v>1005.926306675595</v>
      </c>
      <c r="BD188" s="29">
        <f t="shared" si="178"/>
        <v>1018.4400299306394</v>
      </c>
      <c r="BE188" s="29">
        <f t="shared" si="178"/>
        <v>1031.1094239029765</v>
      </c>
      <c r="BF188" s="29">
        <f t="shared" si="178"/>
        <v>1043.9364251363295</v>
      </c>
      <c r="BG188" s="29">
        <f t="shared" si="178"/>
        <v>1056.9229942650254</v>
      </c>
      <c r="BH188" s="29">
        <f t="shared" si="178"/>
        <v>1070.0711163136823</v>
      </c>
      <c r="BI188" s="29">
        <f t="shared" si="178"/>
        <v>1083.3828010006246</v>
      </c>
      <c r="BJ188" s="29">
        <f t="shared" si="178"/>
        <v>1096.8600830450723</v>
      </c>
      <c r="BK188" s="29">
        <f t="shared" si="178"/>
        <v>1110.505022478153</v>
      </c>
      <c r="BL188" s="29">
        <f t="shared" si="178"/>
        <v>1124.3197049577811</v>
      </c>
      <c r="BM188" s="29">
        <f t="shared" si="178"/>
        <v>1138.306242087456</v>
      </c>
      <c r="BN188" s="29">
        <f t="shared" si="178"/>
        <v>1152.4667717390239</v>
      </c>
      <c r="BO188" s="29">
        <f t="shared" si="178"/>
        <v>1166.8034583794574</v>
      </c>
      <c r="BP188" s="29">
        <f t="shared" si="178"/>
        <v>1181.3184934016979</v>
      </c>
      <c r="BQ188" s="29">
        <f t="shared" si="178"/>
        <v>1196.014095459615</v>
      </c>
      <c r="BR188" s="29">
        <f t="shared" si="178"/>
        <v>1210.8925108071326</v>
      </c>
      <c r="BS188" s="29">
        <f t="shared" si="178"/>
        <v>1225.9560136415732</v>
      </c>
    </row>
    <row r="189" spans="1:71" x14ac:dyDescent="0.2">
      <c r="A189" s="2" t="s">
        <v>605</v>
      </c>
      <c r="B189" s="2" t="s">
        <v>606</v>
      </c>
      <c r="C189" s="11" t="s">
        <v>82</v>
      </c>
      <c r="D189" s="26">
        <f>'Growth calculation'!G190</f>
        <v>1.9496658312447845E-2</v>
      </c>
      <c r="E189" s="27">
        <v>6140</v>
      </c>
      <c r="F189" s="12">
        <v>2025</v>
      </c>
      <c r="G189" s="2" t="s">
        <v>162</v>
      </c>
      <c r="H189" s="27">
        <v>2420</v>
      </c>
      <c r="I189" s="27">
        <v>2890</v>
      </c>
      <c r="J189" s="27">
        <v>2170</v>
      </c>
      <c r="K189" s="27">
        <v>1400</v>
      </c>
      <c r="L189" s="27">
        <v>1130</v>
      </c>
      <c r="M189" s="27">
        <v>1050</v>
      </c>
      <c r="N189" s="27">
        <v>990</v>
      </c>
      <c r="O189" s="27">
        <v>1130</v>
      </c>
      <c r="P189" s="27">
        <v>1360</v>
      </c>
      <c r="Q189" s="27">
        <v>1660</v>
      </c>
      <c r="R189" s="27">
        <v>1860</v>
      </c>
      <c r="S189" s="27">
        <v>2070</v>
      </c>
      <c r="T189" s="27">
        <v>1950</v>
      </c>
      <c r="U189" s="27">
        <v>1950</v>
      </c>
      <c r="V189" s="27">
        <v>1640</v>
      </c>
      <c r="W189" s="27">
        <v>1870</v>
      </c>
      <c r="X189" s="27">
        <v>2120</v>
      </c>
      <c r="Y189" s="27">
        <v>2710</v>
      </c>
      <c r="Z189" s="27">
        <v>3190</v>
      </c>
      <c r="AA189" s="27">
        <v>3880</v>
      </c>
      <c r="AB189" s="27">
        <v>4860</v>
      </c>
      <c r="AC189" s="27">
        <v>6090</v>
      </c>
      <c r="AD189" s="27">
        <v>6700</v>
      </c>
      <c r="AE189" s="27">
        <v>7330</v>
      </c>
      <c r="AF189" s="27">
        <v>7620</v>
      </c>
      <c r="AG189" s="27">
        <v>8220</v>
      </c>
      <c r="AH189" s="27">
        <v>8610</v>
      </c>
      <c r="AI189" s="27">
        <v>8900</v>
      </c>
      <c r="AJ189" s="27">
        <v>8550</v>
      </c>
      <c r="AK189" s="27">
        <v>6660</v>
      </c>
      <c r="AL189" s="27">
        <v>5700</v>
      </c>
      <c r="AM189" s="27">
        <v>5730</v>
      </c>
      <c r="AN189" s="27">
        <v>6000</v>
      </c>
      <c r="AO189" s="27">
        <v>4710</v>
      </c>
      <c r="AP189" s="27">
        <v>4490</v>
      </c>
      <c r="AQ189" s="27">
        <v>5040</v>
      </c>
      <c r="AR189" s="27">
        <v>5210</v>
      </c>
      <c r="AS189" s="27">
        <v>5690</v>
      </c>
      <c r="AT189" s="27">
        <v>6140</v>
      </c>
      <c r="AU189" s="29">
        <f>$E189*(1+$D189)</f>
        <v>6259.70948203843</v>
      </c>
      <c r="AV189" s="29">
        <f t="shared" ref="AV189:BS189" si="179">AU189*(1+$D189)</f>
        <v>6381.7528989449229</v>
      </c>
      <c r="AW189" s="29">
        <f t="shared" si="179"/>
        <v>6506.1757546501258</v>
      </c>
      <c r="AX189" s="29">
        <f t="shared" si="179"/>
        <v>6633.0244402592716</v>
      </c>
      <c r="AY189" s="29">
        <f t="shared" si="179"/>
        <v>6762.3462513491222</v>
      </c>
      <c r="AZ189" s="29">
        <f t="shared" si="179"/>
        <v>6894.1894056021383</v>
      </c>
      <c r="BA189" s="29">
        <f t="shared" si="179"/>
        <v>7028.6030607844614</v>
      </c>
      <c r="BB189" s="29">
        <f t="shared" si="179"/>
        <v>7165.6373330744009</v>
      </c>
      <c r="BC189" s="29">
        <f t="shared" si="179"/>
        <v>7305.3433157482723</v>
      </c>
      <c r="BD189" s="29">
        <f t="shared" si="179"/>
        <v>7447.7730982305411</v>
      </c>
      <c r="BE189" s="29">
        <f t="shared" si="179"/>
        <v>7592.9797855153829</v>
      </c>
      <c r="BF189" s="29">
        <f t="shared" si="179"/>
        <v>7741.0175179668995</v>
      </c>
      <c r="BG189" s="29">
        <f t="shared" si="179"/>
        <v>7891.9414915053731</v>
      </c>
      <c r="BH189" s="29">
        <f t="shared" si="179"/>
        <v>8045.8079781870829</v>
      </c>
      <c r="BI189" s="29">
        <f t="shared" si="179"/>
        <v>8202.6743471853624</v>
      </c>
      <c r="BJ189" s="29">
        <f t="shared" si="179"/>
        <v>8362.5990861807168</v>
      </c>
      <c r="BK189" s="29">
        <f t="shared" si="179"/>
        <v>8525.6418231679709</v>
      </c>
      <c r="BL189" s="29">
        <f t="shared" si="179"/>
        <v>8691.8633486885919</v>
      </c>
      <c r="BM189" s="29">
        <f t="shared" si="179"/>
        <v>8861.3256384964625</v>
      </c>
      <c r="BN189" s="29">
        <f t="shared" si="179"/>
        <v>9034.0918766655614</v>
      </c>
      <c r="BO189" s="29">
        <f t="shared" si="179"/>
        <v>9210.2264791481703</v>
      </c>
      <c r="BP189" s="29">
        <f t="shared" si="179"/>
        <v>9389.7951177923824</v>
      </c>
      <c r="BQ189" s="29">
        <f t="shared" si="179"/>
        <v>9572.8647448278716</v>
      </c>
      <c r="BR189" s="29">
        <f t="shared" si="179"/>
        <v>9759.5036178290593</v>
      </c>
      <c r="BS189" s="29">
        <f t="shared" si="179"/>
        <v>9949.7813251649713</v>
      </c>
    </row>
    <row r="190" spans="1:71" x14ac:dyDescent="0.2">
      <c r="A190" s="2" t="s">
        <v>607</v>
      </c>
      <c r="B190" s="2" t="s">
        <v>608</v>
      </c>
      <c r="C190" s="11" t="s">
        <v>79</v>
      </c>
      <c r="D190" s="26">
        <f>'Growth calculation'!G191</f>
        <v>1.244E-2</v>
      </c>
      <c r="E190" s="27">
        <v>63010</v>
      </c>
      <c r="F190" s="12">
        <v>2025</v>
      </c>
      <c r="G190" s="28" t="s">
        <v>510</v>
      </c>
      <c r="H190" s="27">
        <v>19360</v>
      </c>
      <c r="I190" s="27">
        <v>24190</v>
      </c>
      <c r="J190" s="27">
        <v>26090</v>
      </c>
      <c r="K190" s="27">
        <v>27760</v>
      </c>
      <c r="L190" s="27">
        <v>29110</v>
      </c>
      <c r="M190" s="27">
        <v>31340</v>
      </c>
      <c r="N190" s="27">
        <v>28200</v>
      </c>
      <c r="O190" s="27">
        <v>27700</v>
      </c>
      <c r="P190" s="27">
        <v>28090</v>
      </c>
      <c r="Q190" s="27">
        <v>30400</v>
      </c>
      <c r="R190" s="27">
        <v>31400</v>
      </c>
      <c r="S190" s="27">
        <v>31100</v>
      </c>
      <c r="T190" s="27">
        <v>31310</v>
      </c>
      <c r="U190" s="27">
        <v>31600</v>
      </c>
      <c r="V190" s="27">
        <v>29710</v>
      </c>
      <c r="W190" s="27">
        <v>29130</v>
      </c>
      <c r="X190" s="27">
        <v>32690</v>
      </c>
      <c r="Y190" s="27">
        <v>39690</v>
      </c>
      <c r="Z190" s="27">
        <v>45690</v>
      </c>
      <c r="AA190" s="27">
        <v>49090</v>
      </c>
      <c r="AB190" s="27">
        <v>52180</v>
      </c>
      <c r="AC190" s="27">
        <v>55370</v>
      </c>
      <c r="AD190" s="27">
        <v>52390</v>
      </c>
      <c r="AE190" s="27">
        <v>54380</v>
      </c>
      <c r="AF190" s="27">
        <v>56450</v>
      </c>
      <c r="AG190" s="27">
        <v>58840</v>
      </c>
      <c r="AH190" s="27">
        <v>61530</v>
      </c>
      <c r="AI190" s="27">
        <v>61350</v>
      </c>
      <c r="AJ190" s="27">
        <v>57900</v>
      </c>
      <c r="AK190" s="27">
        <v>53850</v>
      </c>
      <c r="AL190" s="27">
        <v>52240</v>
      </c>
      <c r="AM190" s="27">
        <v>54930</v>
      </c>
      <c r="AN190" s="27">
        <v>56100</v>
      </c>
      <c r="AO190" s="27">
        <v>54590</v>
      </c>
      <c r="AP190" s="27">
        <v>59840</v>
      </c>
      <c r="AQ190" s="27">
        <v>61930</v>
      </c>
      <c r="AR190" s="27">
        <v>60540</v>
      </c>
      <c r="AS190" s="27">
        <v>58510</v>
      </c>
      <c r="AT190" s="27">
        <v>63010</v>
      </c>
      <c r="AU190" s="29">
        <f>$E190*(1+$D190)</f>
        <v>63793.844400000002</v>
      </c>
      <c r="AV190" s="29">
        <f t="shared" ref="AV190:BS190" si="180">AU190*(1+$D190)</f>
        <v>64587.439824336005</v>
      </c>
      <c r="AW190" s="29">
        <f t="shared" si="180"/>
        <v>65390.907575750745</v>
      </c>
      <c r="AX190" s="29">
        <f t="shared" si="180"/>
        <v>66204.370465993081</v>
      </c>
      <c r="AY190" s="29">
        <f t="shared" si="180"/>
        <v>67027.952834590033</v>
      </c>
      <c r="AZ190" s="29">
        <f t="shared" si="180"/>
        <v>67861.780567852329</v>
      </c>
      <c r="BA190" s="29">
        <f t="shared" si="180"/>
        <v>68705.981118116411</v>
      </c>
      <c r="BB190" s="29">
        <f t="shared" si="180"/>
        <v>69560.683523225787</v>
      </c>
      <c r="BC190" s="29">
        <f t="shared" si="180"/>
        <v>70426.018426254712</v>
      </c>
      <c r="BD190" s="29">
        <f t="shared" si="180"/>
        <v>71302.118095477315</v>
      </c>
      <c r="BE190" s="29">
        <f t="shared" si="180"/>
        <v>72189.116444585059</v>
      </c>
      <c r="BF190" s="29">
        <f t="shared" si="180"/>
        <v>73087.149053155692</v>
      </c>
      <c r="BG190" s="29">
        <f t="shared" si="180"/>
        <v>73996.353187376953</v>
      </c>
      <c r="BH190" s="29">
        <f t="shared" si="180"/>
        <v>74916.867821027918</v>
      </c>
      <c r="BI190" s="29">
        <f t="shared" si="180"/>
        <v>75848.833656721501</v>
      </c>
      <c r="BJ190" s="29">
        <f t="shared" si="180"/>
        <v>76792.393147411116</v>
      </c>
      <c r="BK190" s="29">
        <f t="shared" si="180"/>
        <v>77747.690518164905</v>
      </c>
      <c r="BL190" s="29">
        <f t="shared" si="180"/>
        <v>78714.871788210876</v>
      </c>
      <c r="BM190" s="29">
        <f t="shared" si="180"/>
        <v>79694.084793256217</v>
      </c>
      <c r="BN190" s="29">
        <f t="shared" si="180"/>
        <v>80685.479208084318</v>
      </c>
      <c r="BO190" s="29">
        <f t="shared" si="180"/>
        <v>81689.206569432892</v>
      </c>
      <c r="BP190" s="29">
        <f t="shared" si="180"/>
        <v>82705.420299156642</v>
      </c>
      <c r="BQ190" s="29">
        <f t="shared" si="180"/>
        <v>83734.275727678149</v>
      </c>
      <c r="BR190" s="29">
        <f t="shared" si="180"/>
        <v>84775.930117730459</v>
      </c>
      <c r="BS190" s="29">
        <f t="shared" si="180"/>
        <v>85830.542688395028</v>
      </c>
    </row>
    <row r="191" spans="1:71" x14ac:dyDescent="0.2">
      <c r="A191" s="2" t="s">
        <v>609</v>
      </c>
      <c r="B191" s="2" t="s">
        <v>610</v>
      </c>
      <c r="C191" s="11" t="s">
        <v>79</v>
      </c>
      <c r="D191" s="26">
        <f>'Growth calculation'!G192</f>
        <v>1.244E-2</v>
      </c>
      <c r="E191" s="27">
        <v>110330</v>
      </c>
      <c r="F191" s="12">
        <v>2025</v>
      </c>
      <c r="G191" s="28" t="s">
        <v>412</v>
      </c>
      <c r="H191" s="27">
        <v>27180</v>
      </c>
      <c r="I191" s="27">
        <v>35140</v>
      </c>
      <c r="J191" s="27">
        <v>36320</v>
      </c>
      <c r="K191" s="27">
        <v>37570</v>
      </c>
      <c r="L191" s="27">
        <v>38680</v>
      </c>
      <c r="M191" s="27">
        <v>42330</v>
      </c>
      <c r="N191" s="27">
        <v>41880</v>
      </c>
      <c r="O191" s="27">
        <v>44200</v>
      </c>
      <c r="P191" s="27">
        <v>49030</v>
      </c>
      <c r="Q191" s="27">
        <v>51070</v>
      </c>
      <c r="R191" s="27">
        <v>49970</v>
      </c>
      <c r="S191" s="27">
        <v>46650</v>
      </c>
      <c r="T191" s="27">
        <v>44710</v>
      </c>
      <c r="U191" s="27">
        <v>45030</v>
      </c>
      <c r="V191" s="27">
        <v>42520</v>
      </c>
      <c r="W191" s="27">
        <v>41320</v>
      </c>
      <c r="X191" s="27">
        <v>47270</v>
      </c>
      <c r="Y191" s="27">
        <v>55630</v>
      </c>
      <c r="Z191" s="27">
        <v>63630</v>
      </c>
      <c r="AA191" s="27">
        <v>66250</v>
      </c>
      <c r="AB191" s="27">
        <v>65160</v>
      </c>
      <c r="AC191" s="27">
        <v>65820</v>
      </c>
      <c r="AD191" s="27">
        <v>73030</v>
      </c>
      <c r="AE191" s="27">
        <v>80400</v>
      </c>
      <c r="AF191" s="27">
        <v>82540</v>
      </c>
      <c r="AG191" s="27">
        <v>88060</v>
      </c>
      <c r="AH191" s="27">
        <v>92160</v>
      </c>
      <c r="AI191" s="27">
        <v>90030</v>
      </c>
      <c r="AJ191" s="27">
        <v>88150</v>
      </c>
      <c r="AK191" s="27">
        <v>84250</v>
      </c>
      <c r="AL191" s="27">
        <v>81790</v>
      </c>
      <c r="AM191" s="27">
        <v>84760</v>
      </c>
      <c r="AN191" s="27">
        <v>84160</v>
      </c>
      <c r="AO191" s="27">
        <v>83150</v>
      </c>
      <c r="AP191" s="27">
        <v>91900</v>
      </c>
      <c r="AQ191" s="27">
        <v>97920</v>
      </c>
      <c r="AR191" s="27">
        <v>98160</v>
      </c>
      <c r="AS191" s="27">
        <v>99920</v>
      </c>
      <c r="AT191" s="27">
        <v>110330</v>
      </c>
      <c r="AU191" s="29">
        <f>$E191*(1+$D191)</f>
        <v>111702.5052</v>
      </c>
      <c r="AV191" s="29">
        <f t="shared" ref="AV191:BS191" si="181">AU191*(1+$D191)</f>
        <v>113092.08436468799</v>
      </c>
      <c r="AW191" s="29">
        <f t="shared" si="181"/>
        <v>114498.94989418471</v>
      </c>
      <c r="AX191" s="29">
        <f t="shared" si="181"/>
        <v>115923.31683086837</v>
      </c>
      <c r="AY191" s="29">
        <f t="shared" si="181"/>
        <v>117365.40289224437</v>
      </c>
      <c r="AZ191" s="29">
        <f t="shared" si="181"/>
        <v>118825.42850422389</v>
      </c>
      <c r="BA191" s="29">
        <f t="shared" si="181"/>
        <v>120303.61683481644</v>
      </c>
      <c r="BB191" s="29">
        <f t="shared" si="181"/>
        <v>121800.19382824155</v>
      </c>
      <c r="BC191" s="29">
        <f t="shared" si="181"/>
        <v>123315.38823946488</v>
      </c>
      <c r="BD191" s="29">
        <f t="shared" si="181"/>
        <v>124849.43166916382</v>
      </c>
      <c r="BE191" s="29">
        <f t="shared" si="181"/>
        <v>126402.55859912823</v>
      </c>
      <c r="BF191" s="29">
        <f t="shared" si="181"/>
        <v>127975.00642810138</v>
      </c>
      <c r="BG191" s="29">
        <f t="shared" si="181"/>
        <v>129567.01550806696</v>
      </c>
      <c r="BH191" s="29">
        <f t="shared" si="181"/>
        <v>131178.82918098732</v>
      </c>
      <c r="BI191" s="29">
        <f t="shared" si="181"/>
        <v>132810.69381599879</v>
      </c>
      <c r="BJ191" s="29">
        <f t="shared" si="181"/>
        <v>134462.85884706982</v>
      </c>
      <c r="BK191" s="29">
        <f t="shared" si="181"/>
        <v>136135.57681112736</v>
      </c>
      <c r="BL191" s="29">
        <f t="shared" si="181"/>
        <v>137829.10338665778</v>
      </c>
      <c r="BM191" s="29">
        <f t="shared" si="181"/>
        <v>139543.6974327878</v>
      </c>
      <c r="BN191" s="29">
        <f t="shared" si="181"/>
        <v>141279.62102885169</v>
      </c>
      <c r="BO191" s="29">
        <f t="shared" si="181"/>
        <v>143037.1395144506</v>
      </c>
      <c r="BP191" s="29">
        <f t="shared" si="181"/>
        <v>144816.52153001036</v>
      </c>
      <c r="BQ191" s="29">
        <f t="shared" si="181"/>
        <v>146618.03905784368</v>
      </c>
      <c r="BR191" s="29">
        <f t="shared" si="181"/>
        <v>148441.96746372327</v>
      </c>
      <c r="BS191" s="29">
        <f t="shared" si="181"/>
        <v>150288.58553897199</v>
      </c>
    </row>
    <row r="192" spans="1:71" x14ac:dyDescent="0.2">
      <c r="A192" s="2" t="s">
        <v>611</v>
      </c>
      <c r="B192" s="2" t="s">
        <v>612</v>
      </c>
      <c r="C192" s="11" t="s">
        <v>75</v>
      </c>
      <c r="G192" s="28" t="s">
        <v>613</v>
      </c>
      <c r="H192" s="27">
        <v>1170</v>
      </c>
      <c r="I192" s="27">
        <v>1130</v>
      </c>
      <c r="J192" s="27">
        <v>800</v>
      </c>
      <c r="K192" s="27">
        <v>810</v>
      </c>
      <c r="L192" s="27">
        <v>900</v>
      </c>
      <c r="M192" s="27">
        <v>1010</v>
      </c>
      <c r="N192" s="27">
        <v>990</v>
      </c>
      <c r="O192" s="27">
        <v>890</v>
      </c>
      <c r="P192" s="27">
        <v>830</v>
      </c>
      <c r="Q192" s="27">
        <v>810</v>
      </c>
      <c r="R192" s="27">
        <v>820</v>
      </c>
      <c r="S192" s="27">
        <v>860</v>
      </c>
      <c r="T192" s="27">
        <v>820</v>
      </c>
      <c r="U192" s="27">
        <v>890</v>
      </c>
      <c r="V192" s="27">
        <v>1000</v>
      </c>
      <c r="W192" s="27">
        <v>1100</v>
      </c>
      <c r="X192" s="27">
        <v>1120</v>
      </c>
      <c r="Y192" s="27">
        <v>1260</v>
      </c>
      <c r="Z192" s="27">
        <v>1390</v>
      </c>
      <c r="AA192" s="27">
        <v>1520</v>
      </c>
      <c r="AB192" s="27">
        <v>1670</v>
      </c>
      <c r="AC192" s="27">
        <v>1950</v>
      </c>
      <c r="AD192" s="27">
        <v>2250</v>
      </c>
      <c r="AE192" s="27">
        <v>2480</v>
      </c>
      <c r="AF192" s="27">
        <v>2600</v>
      </c>
      <c r="AG192" s="27">
        <v>1980</v>
      </c>
      <c r="AH192" s="27">
        <v>1270</v>
      </c>
      <c r="AI192" s="27">
        <v>1070</v>
      </c>
      <c r="AJ192" s="27">
        <v>900</v>
      </c>
      <c r="AK192" s="27">
        <v>750</v>
      </c>
      <c r="AL192" s="27">
        <v>720</v>
      </c>
      <c r="AM192" s="27">
        <v>810</v>
      </c>
      <c r="AN192" s="27">
        <v>970</v>
      </c>
      <c r="AO192" s="27">
        <v>820</v>
      </c>
      <c r="AP192" s="27">
        <v>730</v>
      </c>
      <c r="AQ192" s="27">
        <v>720</v>
      </c>
      <c r="AR192" s="27"/>
      <c r="AS192" s="27"/>
      <c r="AT192" s="27"/>
    </row>
    <row r="193" spans="1:71" x14ac:dyDescent="0.2">
      <c r="A193" s="2" t="s">
        <v>614</v>
      </c>
      <c r="B193" s="2" t="s">
        <v>615</v>
      </c>
      <c r="C193" s="11" t="s">
        <v>210</v>
      </c>
      <c r="D193" s="26">
        <f>'Growth calculation'!G194</f>
        <v>7.4680999999999997E-2</v>
      </c>
      <c r="E193" s="27">
        <v>3800</v>
      </c>
      <c r="F193" s="12">
        <v>2025</v>
      </c>
      <c r="G193" s="28" t="s">
        <v>616</v>
      </c>
      <c r="H193" s="27">
        <v>900</v>
      </c>
      <c r="I193" s="27">
        <v>980</v>
      </c>
      <c r="J193" s="27">
        <v>890</v>
      </c>
      <c r="K193" s="27">
        <v>820</v>
      </c>
      <c r="L193" s="27">
        <v>800</v>
      </c>
      <c r="M193" s="27">
        <v>780</v>
      </c>
      <c r="N193" s="27">
        <v>780</v>
      </c>
      <c r="O193" s="27">
        <v>820</v>
      </c>
      <c r="P193" s="27">
        <v>830</v>
      </c>
      <c r="Q193" s="27">
        <v>840</v>
      </c>
      <c r="R193" s="27">
        <v>710</v>
      </c>
      <c r="S193" s="27">
        <v>590</v>
      </c>
      <c r="T193" s="27">
        <v>510</v>
      </c>
      <c r="U193" s="27">
        <v>480</v>
      </c>
      <c r="V193" s="27">
        <v>510</v>
      </c>
      <c r="W193" s="27">
        <v>520</v>
      </c>
      <c r="X193" s="27">
        <v>600</v>
      </c>
      <c r="Y193" s="27">
        <v>690</v>
      </c>
      <c r="Z193" s="27">
        <v>800</v>
      </c>
      <c r="AA193" s="27">
        <v>910</v>
      </c>
      <c r="AB193" s="27">
        <v>940</v>
      </c>
      <c r="AC193" s="27">
        <v>1000</v>
      </c>
      <c r="AD193" s="27">
        <v>1070</v>
      </c>
      <c r="AE193" s="27">
        <v>1090</v>
      </c>
      <c r="AF193" s="27">
        <v>1140</v>
      </c>
      <c r="AG193" s="27">
        <v>1170</v>
      </c>
      <c r="AH193" s="27">
        <v>1330</v>
      </c>
      <c r="AI193" s="27">
        <v>1440</v>
      </c>
      <c r="AJ193" s="27">
        <v>1400</v>
      </c>
      <c r="AK193" s="27">
        <v>1420</v>
      </c>
      <c r="AL193" s="27">
        <v>1440</v>
      </c>
      <c r="AM193" s="27">
        <v>1660</v>
      </c>
      <c r="AN193" s="27">
        <v>1810</v>
      </c>
      <c r="AO193" s="27">
        <v>2030</v>
      </c>
      <c r="AP193" s="27">
        <v>2220</v>
      </c>
      <c r="AQ193" s="27">
        <v>2820</v>
      </c>
      <c r="AR193" s="27">
        <v>2810</v>
      </c>
      <c r="AS193" s="27">
        <v>2910</v>
      </c>
      <c r="AT193" s="27">
        <v>3800</v>
      </c>
      <c r="AU193" s="29">
        <f>$E193*(1+$D193)</f>
        <v>4083.7878000000001</v>
      </c>
      <c r="AV193" s="29">
        <f t="shared" ref="AV193:BS193" si="182">AU193*(1+$D193)</f>
        <v>4388.7691566918002</v>
      </c>
      <c r="AW193" s="29">
        <f t="shared" si="182"/>
        <v>4716.5268260827006</v>
      </c>
      <c r="AX193" s="29">
        <f t="shared" si="182"/>
        <v>5068.7617659813832</v>
      </c>
      <c r="AY193" s="29">
        <f t="shared" si="182"/>
        <v>5447.3019634266384</v>
      </c>
      <c r="AZ193" s="29">
        <f t="shared" si="182"/>
        <v>5854.1119213573029</v>
      </c>
      <c r="BA193" s="29">
        <f t="shared" si="182"/>
        <v>6291.3028537561877</v>
      </c>
      <c r="BB193" s="29">
        <f t="shared" si="182"/>
        <v>6761.1436421775534</v>
      </c>
      <c r="BC193" s="29">
        <f t="shared" si="182"/>
        <v>7266.0726105190151</v>
      </c>
      <c r="BD193" s="29">
        <f t="shared" si="182"/>
        <v>7808.710179145186</v>
      </c>
      <c r="BE193" s="29">
        <f t="shared" si="182"/>
        <v>8391.8724640339278</v>
      </c>
      <c r="BF193" s="29">
        <f t="shared" si="182"/>
        <v>9018.5858915204462</v>
      </c>
      <c r="BG193" s="29">
        <f t="shared" si="182"/>
        <v>9692.1029044850839</v>
      </c>
      <c r="BH193" s="29">
        <f t="shared" si="182"/>
        <v>10415.918841494935</v>
      </c>
      <c r="BI193" s="29">
        <f t="shared" si="182"/>
        <v>11193.790076496618</v>
      </c>
      <c r="BJ193" s="29">
        <f t="shared" si="182"/>
        <v>12029.753513199463</v>
      </c>
      <c r="BK193" s="29">
        <f t="shared" si="182"/>
        <v>12928.147535318712</v>
      </c>
      <c r="BL193" s="29">
        <f t="shared" si="182"/>
        <v>13893.634521403848</v>
      </c>
      <c r="BM193" s="29">
        <f t="shared" si="182"/>
        <v>14931.22504109681</v>
      </c>
      <c r="BN193" s="29">
        <f t="shared" si="182"/>
        <v>16046.30385839096</v>
      </c>
      <c r="BO193" s="29">
        <f t="shared" si="182"/>
        <v>17244.657876839454</v>
      </c>
      <c r="BP193" s="29">
        <f t="shared" si="182"/>
        <v>18532.5061717397</v>
      </c>
      <c r="BQ193" s="29">
        <f t="shared" si="182"/>
        <v>19916.532265151392</v>
      </c>
      <c r="BR193" s="29">
        <f t="shared" si="182"/>
        <v>21403.918811245163</v>
      </c>
      <c r="BS193" s="29">
        <f t="shared" si="182"/>
        <v>23002.384871987764</v>
      </c>
    </row>
    <row r="194" spans="1:71" x14ac:dyDescent="0.2">
      <c r="A194" s="2" t="s">
        <v>617</v>
      </c>
      <c r="B194" s="2" t="s">
        <v>618</v>
      </c>
      <c r="C194" s="11" t="s">
        <v>79</v>
      </c>
      <c r="G194" s="28" t="s">
        <v>204</v>
      </c>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row>
    <row r="195" spans="1:71" x14ac:dyDescent="0.2">
      <c r="A195" s="2" t="s">
        <v>619</v>
      </c>
      <c r="B195" s="2" t="s">
        <v>620</v>
      </c>
      <c r="C195" s="11" t="s">
        <v>210</v>
      </c>
      <c r="D195" s="26">
        <f>'Growth calculation'!G196</f>
        <v>3.9705882352941146E-2</v>
      </c>
      <c r="E195" s="27">
        <v>2080</v>
      </c>
      <c r="F195" s="12">
        <v>2025</v>
      </c>
      <c r="G195" s="2" t="s">
        <v>162</v>
      </c>
      <c r="H195" s="27"/>
      <c r="I195" s="27"/>
      <c r="J195" s="27"/>
      <c r="K195" s="27"/>
      <c r="L195" s="27"/>
      <c r="M195" s="27">
        <v>340</v>
      </c>
      <c r="N195" s="27">
        <v>290</v>
      </c>
      <c r="O195" s="27">
        <v>210</v>
      </c>
      <c r="P195" s="27">
        <v>210</v>
      </c>
      <c r="Q195" s="27">
        <v>170</v>
      </c>
      <c r="R195" s="27">
        <v>160</v>
      </c>
      <c r="S195" s="27">
        <v>170</v>
      </c>
      <c r="T195" s="27">
        <v>170</v>
      </c>
      <c r="U195" s="27">
        <v>170</v>
      </c>
      <c r="V195" s="27">
        <v>160</v>
      </c>
      <c r="W195" s="27">
        <v>170</v>
      </c>
      <c r="X195" s="27">
        <v>210</v>
      </c>
      <c r="Y195" s="27">
        <v>260</v>
      </c>
      <c r="Z195" s="27">
        <v>370</v>
      </c>
      <c r="AA195" s="27">
        <v>460</v>
      </c>
      <c r="AB195" s="27">
        <v>570</v>
      </c>
      <c r="AC195" s="27">
        <v>730</v>
      </c>
      <c r="AD195" s="27">
        <v>790</v>
      </c>
      <c r="AE195" s="27">
        <v>910</v>
      </c>
      <c r="AF195" s="27">
        <v>1000</v>
      </c>
      <c r="AG195" s="27">
        <v>1130</v>
      </c>
      <c r="AH195" s="27">
        <v>1300</v>
      </c>
      <c r="AI195" s="27">
        <v>1320</v>
      </c>
      <c r="AJ195" s="27">
        <v>1230</v>
      </c>
      <c r="AK195" s="27">
        <v>1090</v>
      </c>
      <c r="AL195" s="27">
        <v>1000</v>
      </c>
      <c r="AM195" s="27">
        <v>1000</v>
      </c>
      <c r="AN195" s="27">
        <v>1050</v>
      </c>
      <c r="AO195" s="27">
        <v>1030</v>
      </c>
      <c r="AP195" s="27">
        <v>1130</v>
      </c>
      <c r="AQ195" s="27">
        <v>1360</v>
      </c>
      <c r="AR195" s="27">
        <v>1400</v>
      </c>
      <c r="AS195" s="27">
        <v>1650</v>
      </c>
      <c r="AT195" s="27">
        <v>2080</v>
      </c>
      <c r="AU195" s="29">
        <f t="shared" ref="AU195:AU216" si="183">$E195*(1+$D195)</f>
        <v>2162.5882352941176</v>
      </c>
      <c r="AV195" s="29">
        <f t="shared" ref="AV195:BS195" si="184">AU195*(1+$D195)</f>
        <v>2248.4557093425601</v>
      </c>
      <c r="AW195" s="29">
        <f t="shared" si="184"/>
        <v>2337.7326272135142</v>
      </c>
      <c r="AX195" s="29">
        <f t="shared" si="184"/>
        <v>2430.5543638822855</v>
      </c>
      <c r="AY195" s="29">
        <f t="shared" si="184"/>
        <v>2527.061669507023</v>
      </c>
      <c r="AZ195" s="29">
        <f t="shared" si="184"/>
        <v>2627.4008828550955</v>
      </c>
      <c r="BA195" s="29">
        <f t="shared" si="184"/>
        <v>2731.7241532037533</v>
      </c>
      <c r="BB195" s="29">
        <f t="shared" si="184"/>
        <v>2840.1896710515489</v>
      </c>
      <c r="BC195" s="29">
        <f t="shared" si="184"/>
        <v>2952.96190799036</v>
      </c>
      <c r="BD195" s="29">
        <f t="shared" si="184"/>
        <v>3070.2118661017416</v>
      </c>
      <c r="BE195" s="29">
        <f t="shared" si="184"/>
        <v>3192.117337255781</v>
      </c>
      <c r="BF195" s="29">
        <f t="shared" si="184"/>
        <v>3318.8631727056422</v>
      </c>
      <c r="BG195" s="29">
        <f t="shared" si="184"/>
        <v>3450.6415633866009</v>
      </c>
      <c r="BH195" s="29">
        <f t="shared" si="184"/>
        <v>3587.6523313445978</v>
      </c>
      <c r="BI195" s="29">
        <f t="shared" si="184"/>
        <v>3730.1032327362209</v>
      </c>
      <c r="BJ195" s="29">
        <f t="shared" si="184"/>
        <v>3878.2102728595705</v>
      </c>
      <c r="BK195" s="29">
        <f t="shared" si="184"/>
        <v>4032.1980336936999</v>
      </c>
      <c r="BL195" s="29">
        <f t="shared" si="184"/>
        <v>4192.3000144433017</v>
      </c>
      <c r="BM195" s="29">
        <f t="shared" si="184"/>
        <v>4358.7589856050208</v>
      </c>
      <c r="BN195" s="29">
        <f t="shared" si="184"/>
        <v>4531.8273570922784</v>
      </c>
      <c r="BO195" s="29">
        <f t="shared" si="184"/>
        <v>4711.7675609768239</v>
      </c>
      <c r="BP195" s="29">
        <f t="shared" si="184"/>
        <v>4898.8524494273734</v>
      </c>
      <c r="BQ195" s="29">
        <f t="shared" si="184"/>
        <v>5093.365708448754</v>
      </c>
      <c r="BR195" s="29">
        <f t="shared" si="184"/>
        <v>5295.6022880489245</v>
      </c>
      <c r="BS195" s="29">
        <f t="shared" si="184"/>
        <v>5505.8688494861608</v>
      </c>
    </row>
    <row r="196" spans="1:71" x14ac:dyDescent="0.2">
      <c r="A196" s="2" t="s">
        <v>621</v>
      </c>
      <c r="B196" s="2" t="s">
        <v>622</v>
      </c>
      <c r="C196" s="11" t="s">
        <v>210</v>
      </c>
      <c r="D196" s="26">
        <f>'Growth calculation'!G197</f>
        <v>2.4563884959924565E-2</v>
      </c>
      <c r="E196" s="27">
        <v>1270</v>
      </c>
      <c r="F196" s="12">
        <v>2025</v>
      </c>
      <c r="G196" s="2" t="s">
        <v>162</v>
      </c>
      <c r="H196" s="27">
        <v>500</v>
      </c>
      <c r="I196" s="27">
        <v>400</v>
      </c>
      <c r="J196" s="27">
        <v>320</v>
      </c>
      <c r="K196" s="27">
        <v>280</v>
      </c>
      <c r="L196" s="27">
        <v>270</v>
      </c>
      <c r="M196" s="27">
        <v>260</v>
      </c>
      <c r="N196" s="27">
        <v>250</v>
      </c>
      <c r="O196" s="27">
        <v>230</v>
      </c>
      <c r="P196" s="27">
        <v>240</v>
      </c>
      <c r="Q196" s="27">
        <v>280</v>
      </c>
      <c r="R196" s="27">
        <v>310</v>
      </c>
      <c r="S196" s="27">
        <v>350</v>
      </c>
      <c r="T196" s="27">
        <v>380</v>
      </c>
      <c r="U196" s="27">
        <v>400</v>
      </c>
      <c r="V196" s="27">
        <v>400</v>
      </c>
      <c r="W196" s="27">
        <v>410</v>
      </c>
      <c r="X196" s="27">
        <v>430</v>
      </c>
      <c r="Y196" s="27">
        <v>460</v>
      </c>
      <c r="Z196" s="27">
        <v>490</v>
      </c>
      <c r="AA196" s="27">
        <v>510</v>
      </c>
      <c r="AB196" s="27">
        <v>530</v>
      </c>
      <c r="AC196" s="27">
        <v>590</v>
      </c>
      <c r="AD196" s="27">
        <v>660</v>
      </c>
      <c r="AE196" s="27">
        <v>720</v>
      </c>
      <c r="AF196" s="27">
        <v>760</v>
      </c>
      <c r="AG196" s="27">
        <v>810</v>
      </c>
      <c r="AH196" s="27">
        <v>880</v>
      </c>
      <c r="AI196" s="27">
        <v>970</v>
      </c>
      <c r="AJ196" s="27">
        <v>970</v>
      </c>
      <c r="AK196" s="27">
        <v>960</v>
      </c>
      <c r="AL196" s="27">
        <v>960</v>
      </c>
      <c r="AM196" s="27">
        <v>1010</v>
      </c>
      <c r="AN196" s="27">
        <v>1050</v>
      </c>
      <c r="AO196" s="27">
        <v>1060</v>
      </c>
      <c r="AP196" s="27">
        <v>1130</v>
      </c>
      <c r="AQ196" s="27">
        <v>1210</v>
      </c>
      <c r="AR196" s="27">
        <v>1220</v>
      </c>
      <c r="AS196" s="27">
        <v>1210</v>
      </c>
      <c r="AT196" s="27">
        <v>1270</v>
      </c>
      <c r="AU196" s="29">
        <f t="shared" si="183"/>
        <v>1301.1961338991041</v>
      </c>
      <c r="AV196" s="29">
        <f t="shared" ref="AV196:BS196" si="185">AU196*(1+$D196)</f>
        <v>1333.1585660425003</v>
      </c>
      <c r="AW196" s="29">
        <f t="shared" si="185"/>
        <v>1365.9061196921064</v>
      </c>
      <c r="AX196" s="29">
        <f t="shared" si="185"/>
        <v>1399.4580804822801</v>
      </c>
      <c r="AY196" s="29">
        <f t="shared" si="185"/>
        <v>1433.8342077774837</v>
      </c>
      <c r="AZ196" s="29">
        <f t="shared" si="185"/>
        <v>1469.0547463089345</v>
      </c>
      <c r="BA196" s="29">
        <f t="shared" si="185"/>
        <v>1505.1404380970982</v>
      </c>
      <c r="BB196" s="29">
        <f t="shared" si="185"/>
        <v>1542.1125346670458</v>
      </c>
      <c r="BC196" s="29">
        <f t="shared" si="185"/>
        <v>1579.9928095638647</v>
      </c>
      <c r="BD196" s="29">
        <f t="shared" si="185"/>
        <v>1618.8035711754994</v>
      </c>
      <c r="BE196" s="29">
        <f t="shared" si="185"/>
        <v>1658.5676758705695</v>
      </c>
      <c r="BF196" s="29">
        <f t="shared" si="185"/>
        <v>1699.3085414589036</v>
      </c>
      <c r="BG196" s="29">
        <f t="shared" si="185"/>
        <v>1741.0501609827174</v>
      </c>
      <c r="BH196" s="29">
        <f t="shared" si="185"/>
        <v>1783.8171168465551</v>
      </c>
      <c r="BI196" s="29">
        <f t="shared" si="185"/>
        <v>1827.6345952943182</v>
      </c>
      <c r="BJ196" s="29">
        <f t="shared" si="185"/>
        <v>1872.5284012419061</v>
      </c>
      <c r="BK196" s="29">
        <f t="shared" si="185"/>
        <v>1918.5249734742038</v>
      </c>
      <c r="BL196" s="29">
        <f t="shared" si="185"/>
        <v>1965.6514002153665</v>
      </c>
      <c r="BM196" s="29">
        <f t="shared" si="185"/>
        <v>2013.9354350815713</v>
      </c>
      <c r="BN196" s="29">
        <f t="shared" si="185"/>
        <v>2063.4055134256305</v>
      </c>
      <c r="BO196" s="29">
        <f t="shared" si="185"/>
        <v>2114.0907690830918</v>
      </c>
      <c r="BP196" s="29">
        <f t="shared" si="185"/>
        <v>2166.0210515296872</v>
      </c>
      <c r="BQ196" s="29">
        <f t="shared" si="185"/>
        <v>2219.2269434602372</v>
      </c>
      <c r="BR196" s="29">
        <f t="shared" si="185"/>
        <v>2273.7397787993596</v>
      </c>
      <c r="BS196" s="29">
        <f t="shared" si="185"/>
        <v>2329.5916611545913</v>
      </c>
    </row>
    <row r="197" spans="1:71" x14ac:dyDescent="0.2">
      <c r="A197" s="2" t="s">
        <v>623</v>
      </c>
      <c r="B197" s="2" t="s">
        <v>624</v>
      </c>
      <c r="C197" s="11" t="s">
        <v>82</v>
      </c>
      <c r="D197" s="26">
        <f>'Growth calculation'!G198</f>
        <v>2.2198895252848461E-2</v>
      </c>
      <c r="E197" s="27">
        <v>7690</v>
      </c>
      <c r="F197" s="12">
        <v>2025</v>
      </c>
      <c r="G197" s="2" t="s">
        <v>162</v>
      </c>
      <c r="H197" s="27">
        <v>990</v>
      </c>
      <c r="I197" s="27">
        <v>1200</v>
      </c>
      <c r="J197" s="27">
        <v>1370</v>
      </c>
      <c r="K197" s="27">
        <v>1540</v>
      </c>
      <c r="L197" s="27">
        <v>1710</v>
      </c>
      <c r="M197" s="27">
        <v>1930</v>
      </c>
      <c r="N197" s="27">
        <v>2170</v>
      </c>
      <c r="O197" s="27">
        <v>2420</v>
      </c>
      <c r="P197" s="27">
        <v>2750</v>
      </c>
      <c r="Q197" s="27">
        <v>2960</v>
      </c>
      <c r="R197" s="27">
        <v>2680</v>
      </c>
      <c r="S197" s="27">
        <v>2080</v>
      </c>
      <c r="T197" s="27">
        <v>1980</v>
      </c>
      <c r="U197" s="27">
        <v>1980</v>
      </c>
      <c r="V197" s="27">
        <v>1960</v>
      </c>
      <c r="W197" s="27">
        <v>1980</v>
      </c>
      <c r="X197" s="27">
        <v>2170</v>
      </c>
      <c r="Y197" s="27">
        <v>2520</v>
      </c>
      <c r="Z197" s="27">
        <v>2770</v>
      </c>
      <c r="AA197" s="27">
        <v>3070</v>
      </c>
      <c r="AB197" s="27">
        <v>3480</v>
      </c>
      <c r="AC197" s="27">
        <v>3900</v>
      </c>
      <c r="AD197" s="27">
        <v>4060</v>
      </c>
      <c r="AE197" s="27">
        <v>4490</v>
      </c>
      <c r="AF197" s="27">
        <v>4840</v>
      </c>
      <c r="AG197" s="27">
        <v>5400</v>
      </c>
      <c r="AH197" s="27">
        <v>5580</v>
      </c>
      <c r="AI197" s="27">
        <v>5620</v>
      </c>
      <c r="AJ197" s="27">
        <v>5560</v>
      </c>
      <c r="AK197" s="27">
        <v>5550</v>
      </c>
      <c r="AL197" s="27">
        <v>5800</v>
      </c>
      <c r="AM197" s="27">
        <v>6430</v>
      </c>
      <c r="AN197" s="27">
        <v>7070</v>
      </c>
      <c r="AO197" s="27">
        <v>6910</v>
      </c>
      <c r="AP197" s="27">
        <v>7100</v>
      </c>
      <c r="AQ197" s="27">
        <v>7220</v>
      </c>
      <c r="AR197" s="27">
        <v>7210</v>
      </c>
      <c r="AS197" s="27">
        <v>7130</v>
      </c>
      <c r="AT197" s="27">
        <v>7690</v>
      </c>
      <c r="AU197" s="29">
        <f t="shared" si="183"/>
        <v>7860.7095044944044</v>
      </c>
      <c r="AV197" s="29">
        <f t="shared" ref="AV197:BS197" si="186">AU197*(1+$D197)</f>
        <v>8035.2085713977458</v>
      </c>
      <c r="AW197" s="29">
        <f t="shared" si="186"/>
        <v>8213.5813248089944</v>
      </c>
      <c r="AX197" s="29">
        <f t="shared" si="186"/>
        <v>8395.913756289181</v>
      </c>
      <c r="AY197" s="29">
        <f t="shared" si="186"/>
        <v>8582.2937663169942</v>
      </c>
      <c r="AZ197" s="29">
        <f t="shared" si="186"/>
        <v>8772.811206664639</v>
      </c>
      <c r="BA197" s="29">
        <f t="shared" si="186"/>
        <v>8967.5579237144029</v>
      </c>
      <c r="BB197" s="29">
        <f t="shared" si="186"/>
        <v>9166.6278027367898</v>
      </c>
      <c r="BC197" s="29">
        <f t="shared" si="186"/>
        <v>9370.1168131515915</v>
      </c>
      <c r="BD197" s="29">
        <f t="shared" si="186"/>
        <v>9578.1230547936975</v>
      </c>
      <c r="BE197" s="29">
        <f t="shared" si="186"/>
        <v>9790.7468052059558</v>
      </c>
      <c r="BF197" s="29">
        <f t="shared" si="186"/>
        <v>10008.090567981884</v>
      </c>
      <c r="BG197" s="29">
        <f t="shared" si="186"/>
        <v>10230.259122181535</v>
      </c>
      <c r="BH197" s="29">
        <f t="shared" si="186"/>
        <v>10457.35957284434</v>
      </c>
      <c r="BI197" s="29">
        <f t="shared" si="186"/>
        <v>10689.501402623284</v>
      </c>
      <c r="BJ197" s="29">
        <f t="shared" si="186"/>
        <v>10926.796524565294</v>
      </c>
      <c r="BK197" s="29">
        <f t="shared" si="186"/>
        <v>11169.359336063308</v>
      </c>
      <c r="BL197" s="29">
        <f t="shared" si="186"/>
        <v>11417.306774006001</v>
      </c>
      <c r="BM197" s="29">
        <f t="shared" si="186"/>
        <v>11670.758371151798</v>
      </c>
      <c r="BN197" s="29">
        <f t="shared" si="186"/>
        <v>11929.836313754302</v>
      </c>
      <c r="BO197" s="29">
        <f t="shared" si="186"/>
        <v>12194.665500466961</v>
      </c>
      <c r="BP197" s="29">
        <f t="shared" si="186"/>
        <v>12465.373602555352</v>
      </c>
      <c r="BQ197" s="29">
        <f t="shared" si="186"/>
        <v>12742.091125446101</v>
      </c>
      <c r="BR197" s="29">
        <f t="shared" si="186"/>
        <v>13024.951471642129</v>
      </c>
      <c r="BS197" s="29">
        <f t="shared" si="186"/>
        <v>13314.091005034546</v>
      </c>
    </row>
    <row r="198" spans="1:71" x14ac:dyDescent="0.2">
      <c r="A198" s="2" t="s">
        <v>625</v>
      </c>
      <c r="B198" s="2" t="s">
        <v>626</v>
      </c>
      <c r="C198" s="11" t="s">
        <v>210</v>
      </c>
      <c r="D198" s="26">
        <f>'Growth calculation'!G199</f>
        <v>1.244E-2</v>
      </c>
      <c r="E198" s="27">
        <v>1510</v>
      </c>
      <c r="F198" s="12">
        <v>2025</v>
      </c>
      <c r="G198" s="28" t="s">
        <v>627</v>
      </c>
      <c r="H198" s="27"/>
      <c r="I198" s="27"/>
      <c r="J198" s="27"/>
      <c r="K198" s="27"/>
      <c r="L198" s="27"/>
      <c r="M198" s="27">
        <v>450</v>
      </c>
      <c r="N198" s="27">
        <v>510</v>
      </c>
      <c r="O198" s="27">
        <v>570</v>
      </c>
      <c r="P198" s="27">
        <v>620</v>
      </c>
      <c r="Q198" s="27">
        <v>670</v>
      </c>
      <c r="R198" s="27">
        <v>690</v>
      </c>
      <c r="S198" s="27">
        <v>660</v>
      </c>
      <c r="T198" s="27">
        <v>500</v>
      </c>
      <c r="U198" s="27">
        <v>660</v>
      </c>
      <c r="V198" s="27">
        <v>710</v>
      </c>
      <c r="W198" s="27">
        <v>790</v>
      </c>
      <c r="X198" s="27">
        <v>690</v>
      </c>
      <c r="Y198" s="27">
        <v>820</v>
      </c>
      <c r="Z198" s="27">
        <v>970</v>
      </c>
      <c r="AA198" s="27">
        <v>1360</v>
      </c>
      <c r="AB198" s="27">
        <v>1900</v>
      </c>
      <c r="AC198" s="27">
        <v>3040</v>
      </c>
      <c r="AD198" s="27">
        <v>2370</v>
      </c>
      <c r="AE198" s="27">
        <v>2870</v>
      </c>
      <c r="AF198" s="27">
        <v>3740</v>
      </c>
      <c r="AG198" s="27">
        <v>3570</v>
      </c>
      <c r="AH198" s="27">
        <v>3190</v>
      </c>
      <c r="AI198" s="27">
        <v>2700</v>
      </c>
      <c r="AJ198" s="27">
        <v>2180</v>
      </c>
      <c r="AK198" s="27">
        <v>1730</v>
      </c>
      <c r="AL198" s="27">
        <v>1780</v>
      </c>
      <c r="AM198" s="27">
        <v>1790</v>
      </c>
      <c r="AN198" s="27">
        <v>2180</v>
      </c>
      <c r="AO198" s="27">
        <v>2040</v>
      </c>
      <c r="AP198" s="27">
        <v>2050</v>
      </c>
      <c r="AQ198" s="27">
        <v>1820</v>
      </c>
      <c r="AR198" s="27">
        <v>1900</v>
      </c>
      <c r="AS198" s="27">
        <v>1650</v>
      </c>
      <c r="AT198" s="27">
        <v>1510</v>
      </c>
      <c r="AU198" s="29">
        <f t="shared" si="183"/>
        <v>1528.7844</v>
      </c>
      <c r="AV198" s="29">
        <f t="shared" ref="AV198:BS198" si="187">AU198*(1+$D198)</f>
        <v>1547.8024779360001</v>
      </c>
      <c r="AW198" s="29">
        <f t="shared" si="187"/>
        <v>1567.0571407615239</v>
      </c>
      <c r="AX198" s="29">
        <f t="shared" si="187"/>
        <v>1586.5513315925973</v>
      </c>
      <c r="AY198" s="29">
        <f t="shared" si="187"/>
        <v>1606.2880301576092</v>
      </c>
      <c r="AZ198" s="29">
        <f t="shared" si="187"/>
        <v>1626.2702532527699</v>
      </c>
      <c r="BA198" s="29">
        <f t="shared" si="187"/>
        <v>1646.5010552032343</v>
      </c>
      <c r="BB198" s="29">
        <f t="shared" si="187"/>
        <v>1666.9835283299626</v>
      </c>
      <c r="BC198" s="29">
        <f t="shared" si="187"/>
        <v>1687.7208034223875</v>
      </c>
      <c r="BD198" s="29">
        <f t="shared" si="187"/>
        <v>1708.716050216962</v>
      </c>
      <c r="BE198" s="29">
        <f t="shared" si="187"/>
        <v>1729.972477881661</v>
      </c>
      <c r="BF198" s="29">
        <f t="shared" si="187"/>
        <v>1751.4933355065089</v>
      </c>
      <c r="BG198" s="29">
        <f t="shared" si="187"/>
        <v>1773.2819126002098</v>
      </c>
      <c r="BH198" s="29">
        <f t="shared" si="187"/>
        <v>1795.3415395929565</v>
      </c>
      <c r="BI198" s="29">
        <f t="shared" si="187"/>
        <v>1817.6755883454928</v>
      </c>
      <c r="BJ198" s="29">
        <f t="shared" si="187"/>
        <v>1840.2874726645107</v>
      </c>
      <c r="BK198" s="29">
        <f t="shared" si="187"/>
        <v>1863.1806488244572</v>
      </c>
      <c r="BL198" s="29">
        <f t="shared" si="187"/>
        <v>1886.3586160958334</v>
      </c>
      <c r="BM198" s="29">
        <f t="shared" si="187"/>
        <v>1909.8249172800656</v>
      </c>
      <c r="BN198" s="29">
        <f t="shared" si="187"/>
        <v>1933.5831392510297</v>
      </c>
      <c r="BO198" s="29">
        <f t="shared" si="187"/>
        <v>1957.6369135033126</v>
      </c>
      <c r="BP198" s="29">
        <f t="shared" si="187"/>
        <v>1981.9899167072938</v>
      </c>
      <c r="BQ198" s="29">
        <f t="shared" si="187"/>
        <v>2006.6458712711326</v>
      </c>
      <c r="BR198" s="29">
        <f t="shared" si="187"/>
        <v>2031.6085459097455</v>
      </c>
      <c r="BS198" s="29">
        <f t="shared" si="187"/>
        <v>2056.8817562208628</v>
      </c>
    </row>
    <row r="199" spans="1:71" x14ac:dyDescent="0.2">
      <c r="A199" s="2" t="s">
        <v>628</v>
      </c>
      <c r="B199" s="2" t="s">
        <v>629</v>
      </c>
      <c r="C199" s="11" t="s">
        <v>210</v>
      </c>
      <c r="D199" s="26">
        <f>'Growth calculation'!G200</f>
        <v>4.2853020392458641E-2</v>
      </c>
      <c r="E199" s="27">
        <v>1350</v>
      </c>
      <c r="F199" s="12">
        <v>2025</v>
      </c>
      <c r="G199" s="2" t="s">
        <v>162</v>
      </c>
      <c r="H199" s="27">
        <v>450</v>
      </c>
      <c r="I199" s="27">
        <v>570</v>
      </c>
      <c r="J199" s="27">
        <v>580</v>
      </c>
      <c r="K199" s="27">
        <v>580</v>
      </c>
      <c r="L199" s="27">
        <v>570</v>
      </c>
      <c r="M199" s="27">
        <v>590</v>
      </c>
      <c r="N199" s="27">
        <v>500</v>
      </c>
      <c r="O199" s="27">
        <v>460</v>
      </c>
      <c r="P199" s="27">
        <v>450</v>
      </c>
      <c r="Q199" s="27">
        <v>450</v>
      </c>
      <c r="R199" s="27">
        <v>510</v>
      </c>
      <c r="S199" s="27">
        <v>470</v>
      </c>
      <c r="T199" s="27">
        <v>460</v>
      </c>
      <c r="U199" s="27">
        <v>450</v>
      </c>
      <c r="V199" s="27">
        <v>430</v>
      </c>
      <c r="W199" s="27">
        <v>440</v>
      </c>
      <c r="X199" s="27">
        <v>510</v>
      </c>
      <c r="Y199" s="27">
        <v>570</v>
      </c>
      <c r="Z199" s="27">
        <v>590</v>
      </c>
      <c r="AA199" s="27">
        <v>600</v>
      </c>
      <c r="AB199" s="27">
        <v>610</v>
      </c>
      <c r="AC199" s="27">
        <v>680</v>
      </c>
      <c r="AD199" s="27">
        <v>760</v>
      </c>
      <c r="AE199" s="27">
        <v>790</v>
      </c>
      <c r="AF199" s="27">
        <v>850</v>
      </c>
      <c r="AG199" s="27">
        <v>840</v>
      </c>
      <c r="AH199" s="27">
        <v>890</v>
      </c>
      <c r="AI199" s="27">
        <v>910</v>
      </c>
      <c r="AJ199" s="27">
        <v>910</v>
      </c>
      <c r="AK199" s="27">
        <v>870</v>
      </c>
      <c r="AL199" s="27">
        <v>850</v>
      </c>
      <c r="AM199" s="27">
        <v>920</v>
      </c>
      <c r="AN199" s="27">
        <v>950</v>
      </c>
      <c r="AO199" s="27">
        <v>970</v>
      </c>
      <c r="AP199" s="27">
        <v>1040</v>
      </c>
      <c r="AQ199" s="27">
        <v>1130</v>
      </c>
      <c r="AR199" s="27">
        <v>1190</v>
      </c>
      <c r="AS199" s="27">
        <v>1220</v>
      </c>
      <c r="AT199" s="27">
        <v>1350</v>
      </c>
      <c r="AU199" s="29">
        <f t="shared" si="183"/>
        <v>1407.8515775298192</v>
      </c>
      <c r="AV199" s="29">
        <f t="shared" ref="AV199:BS199" si="188">AU199*(1+$D199)</f>
        <v>1468.1822698912597</v>
      </c>
      <c r="AW199" s="29">
        <f t="shared" si="188"/>
        <v>1531.0983146427561</v>
      </c>
      <c r="AX199" s="29">
        <f t="shared" si="188"/>
        <v>1596.7105019430012</v>
      </c>
      <c r="AY199" s="29">
        <f t="shared" si="188"/>
        <v>1665.1343696436174</v>
      </c>
      <c r="AZ199" s="29">
        <f t="shared" si="188"/>
        <v>1736.4904067421392</v>
      </c>
      <c r="BA199" s="29">
        <f t="shared" si="188"/>
        <v>1810.9042655535688</v>
      </c>
      <c r="BB199" s="29">
        <f t="shared" si="188"/>
        <v>1888.5069829741262</v>
      </c>
      <c r="BC199" s="29">
        <f t="shared" si="188"/>
        <v>1969.435211226817</v>
      </c>
      <c r="BD199" s="29">
        <f t="shared" si="188"/>
        <v>2053.8314584951459</v>
      </c>
      <c r="BE199" s="29">
        <f t="shared" si="188"/>
        <v>2141.8443398687114</v>
      </c>
      <c r="BF199" s="29">
        <f t="shared" si="188"/>
        <v>2233.6288390425775</v>
      </c>
      <c r="BG199" s="29">
        <f t="shared" si="188"/>
        <v>2329.3465812312529</v>
      </c>
      <c r="BH199" s="29">
        <f t="shared" si="188"/>
        <v>2429.1661177778597</v>
      </c>
      <c r="BI199" s="29">
        <f t="shared" si="188"/>
        <v>2533.2632229596638</v>
      </c>
      <c r="BJ199" s="29">
        <f t="shared" si="188"/>
        <v>2641.8212035126198</v>
      </c>
      <c r="BK199" s="29">
        <f t="shared" si="188"/>
        <v>2755.0312214199757</v>
      </c>
      <c r="BL199" s="29">
        <f t="shared" si="188"/>
        <v>2873.092630533346</v>
      </c>
      <c r="BM199" s="29">
        <f t="shared" si="188"/>
        <v>2996.2133276190143</v>
      </c>
      <c r="BN199" s="29">
        <f t="shared" si="188"/>
        <v>3124.6101184476283</v>
      </c>
      <c r="BO199" s="29">
        <f t="shared" si="188"/>
        <v>3258.509099571947</v>
      </c>
      <c r="BP199" s="29">
        <f t="shared" si="188"/>
        <v>3398.1460564649155</v>
      </c>
      <c r="BQ199" s="29">
        <f t="shared" si="188"/>
        <v>3543.7668787191596</v>
      </c>
      <c r="BR199" s="29">
        <f t="shared" si="188"/>
        <v>3695.6279930390315</v>
      </c>
      <c r="BS199" s="29">
        <f t="shared" si="188"/>
        <v>3853.9968147876739</v>
      </c>
    </row>
    <row r="200" spans="1:71" x14ac:dyDescent="0.2">
      <c r="A200" s="2" t="s">
        <v>630</v>
      </c>
      <c r="B200" s="2" t="s">
        <v>631</v>
      </c>
      <c r="C200" s="11" t="s">
        <v>82</v>
      </c>
      <c r="D200" s="26">
        <f>'Growth calculation'!G201</f>
        <v>4.5564279590271206E-2</v>
      </c>
      <c r="E200" s="27">
        <v>6840</v>
      </c>
      <c r="F200" s="12">
        <v>2025</v>
      </c>
      <c r="G200" s="2" t="s">
        <v>162</v>
      </c>
      <c r="H200" s="27">
        <v>830</v>
      </c>
      <c r="I200" s="27">
        <v>1020</v>
      </c>
      <c r="J200" s="27">
        <v>1100</v>
      </c>
      <c r="K200" s="27">
        <v>1170</v>
      </c>
      <c r="L200" s="27">
        <v>1280</v>
      </c>
      <c r="M200" s="27">
        <v>1380</v>
      </c>
      <c r="N200" s="27">
        <v>1460</v>
      </c>
      <c r="O200" s="27">
        <v>1740</v>
      </c>
      <c r="P200" s="27">
        <v>1980</v>
      </c>
      <c r="Q200" s="27">
        <v>2240</v>
      </c>
      <c r="R200" s="27">
        <v>2200</v>
      </c>
      <c r="S200" s="27">
        <v>2130</v>
      </c>
      <c r="T200" s="27">
        <v>2050</v>
      </c>
      <c r="U200" s="27">
        <v>2010</v>
      </c>
      <c r="V200" s="27">
        <v>1920</v>
      </c>
      <c r="W200" s="27">
        <v>1890</v>
      </c>
      <c r="X200" s="27">
        <v>1870</v>
      </c>
      <c r="Y200" s="27">
        <v>2050</v>
      </c>
      <c r="Z200" s="27">
        <v>2290</v>
      </c>
      <c r="AA200" s="27">
        <v>2560</v>
      </c>
      <c r="AB200" s="27">
        <v>2720</v>
      </c>
      <c r="AC200" s="27">
        <v>3130</v>
      </c>
      <c r="AD200" s="27">
        <v>3090</v>
      </c>
      <c r="AE200" s="27">
        <v>3270</v>
      </c>
      <c r="AF200" s="27">
        <v>3660</v>
      </c>
      <c r="AG200" s="27">
        <v>4130</v>
      </c>
      <c r="AH200" s="27">
        <v>4330</v>
      </c>
      <c r="AI200" s="27">
        <v>4360</v>
      </c>
      <c r="AJ200" s="27">
        <v>4220</v>
      </c>
      <c r="AK200" s="27">
        <v>4280</v>
      </c>
      <c r="AL200" s="27">
        <v>4450</v>
      </c>
      <c r="AM200" s="27">
        <v>4650</v>
      </c>
      <c r="AN200" s="27">
        <v>4980</v>
      </c>
      <c r="AO200" s="27">
        <v>5210</v>
      </c>
      <c r="AP200" s="27">
        <v>5240</v>
      </c>
      <c r="AQ200" s="27">
        <v>5390</v>
      </c>
      <c r="AR200" s="27">
        <v>5910</v>
      </c>
      <c r="AS200" s="27">
        <v>6270</v>
      </c>
      <c r="AT200" s="27">
        <v>6840</v>
      </c>
      <c r="AU200" s="29">
        <f t="shared" si="183"/>
        <v>7151.6596723974544</v>
      </c>
      <c r="AV200" s="29">
        <f t="shared" ref="AV200:BS200" si="189">AU200*(1+$D200)</f>
        <v>7477.5198932450385</v>
      </c>
      <c r="AW200" s="29">
        <f t="shared" si="189"/>
        <v>7818.2277003026693</v>
      </c>
      <c r="AX200" s="29">
        <f t="shared" si="189"/>
        <v>8174.459613139662</v>
      </c>
      <c r="AY200" s="29">
        <f t="shared" si="189"/>
        <v>8546.9229764521369</v>
      </c>
      <c r="AZ200" s="29">
        <f t="shared" si="189"/>
        <v>8936.357364587715</v>
      </c>
      <c r="BA200" s="29">
        <f t="shared" si="189"/>
        <v>9343.5360500663683</v>
      </c>
      <c r="BB200" s="29">
        <f t="shared" si="189"/>
        <v>9769.26753901337</v>
      </c>
      <c r="BC200" s="29">
        <f t="shared" si="189"/>
        <v>10214.397176553135</v>
      </c>
      <c r="BD200" s="29">
        <f t="shared" si="189"/>
        <v>10679.808825351678</v>
      </c>
      <c r="BE200" s="29">
        <f t="shared" si="189"/>
        <v>11166.426620640646</v>
      </c>
      <c r="BF200" s="29">
        <f t="shared" si="189"/>
        <v>11675.216805207763</v>
      </c>
      <c r="BG200" s="29">
        <f t="shared" si="189"/>
        <v>12207.189647997282</v>
      </c>
      <c r="BH200" s="29">
        <f t="shared" si="189"/>
        <v>12763.401450130094</v>
      </c>
      <c r="BI200" s="29">
        <f t="shared" si="189"/>
        <v>13344.956642326693</v>
      </c>
      <c r="BJ200" s="29">
        <f t="shared" si="189"/>
        <v>13953.009977897713</v>
      </c>
      <c r="BK200" s="29">
        <f t="shared" si="189"/>
        <v>14588.768825656487</v>
      </c>
      <c r="BL200" s="29">
        <f t="shared" si="189"/>
        <v>15253.495567306531</v>
      </c>
      <c r="BM200" s="29">
        <f t="shared" si="189"/>
        <v>15948.510104064246</v>
      </c>
      <c r="BN200" s="29">
        <f t="shared" si="189"/>
        <v>16675.192477494093</v>
      </c>
      <c r="BO200" s="29">
        <f t="shared" si="189"/>
        <v>17434.985609760221</v>
      </c>
      <c r="BP200" s="29">
        <f t="shared" si="189"/>
        <v>18229.39816873569</v>
      </c>
      <c r="BQ200" s="29">
        <f t="shared" si="189"/>
        <v>19060.007563658339</v>
      </c>
      <c r="BR200" s="29">
        <f t="shared" si="189"/>
        <v>19928.463077281551</v>
      </c>
      <c r="BS200" s="29">
        <f t="shared" si="189"/>
        <v>20836.489140739202</v>
      </c>
    </row>
    <row r="201" spans="1:71" x14ac:dyDescent="0.2">
      <c r="A201" s="2" t="s">
        <v>632</v>
      </c>
      <c r="B201" s="2" t="s">
        <v>633</v>
      </c>
      <c r="C201" s="11" t="s">
        <v>79</v>
      </c>
      <c r="D201" s="26">
        <f>'Growth calculation'!G202</f>
        <v>1.244E-2</v>
      </c>
      <c r="E201" s="27">
        <v>18550</v>
      </c>
      <c r="F201" s="12">
        <v>2025</v>
      </c>
      <c r="G201" s="28" t="s">
        <v>634</v>
      </c>
      <c r="H201" s="27">
        <v>4200</v>
      </c>
      <c r="I201" s="27">
        <v>3840</v>
      </c>
      <c r="J201" s="27">
        <v>3540</v>
      </c>
      <c r="K201" s="27">
        <v>3610</v>
      </c>
      <c r="L201" s="27">
        <v>3790</v>
      </c>
      <c r="M201" s="27">
        <v>4290</v>
      </c>
      <c r="N201" s="27">
        <v>3960</v>
      </c>
      <c r="O201" s="27">
        <v>3760</v>
      </c>
      <c r="P201" s="27">
        <v>3850</v>
      </c>
      <c r="Q201" s="27">
        <v>4090</v>
      </c>
      <c r="R201" s="27">
        <v>4340</v>
      </c>
      <c r="S201" s="27">
        <v>4450</v>
      </c>
      <c r="T201" s="27">
        <v>4700</v>
      </c>
      <c r="U201" s="27">
        <v>5180</v>
      </c>
      <c r="V201" s="27">
        <v>5830</v>
      </c>
      <c r="W201" s="27">
        <v>6480</v>
      </c>
      <c r="X201" s="27">
        <v>7740</v>
      </c>
      <c r="Y201" s="27">
        <v>9300</v>
      </c>
      <c r="Z201" s="27">
        <v>11200</v>
      </c>
      <c r="AA201" s="27">
        <v>13320</v>
      </c>
      <c r="AB201" s="27">
        <v>15060</v>
      </c>
      <c r="AC201" s="27">
        <v>17420</v>
      </c>
      <c r="AD201" s="27">
        <v>16330</v>
      </c>
      <c r="AE201" s="27">
        <v>16590</v>
      </c>
      <c r="AF201" s="27">
        <v>15060</v>
      </c>
      <c r="AG201" s="27">
        <v>17960</v>
      </c>
      <c r="AH201" s="27">
        <v>20110</v>
      </c>
      <c r="AI201" s="27">
        <v>20620</v>
      </c>
      <c r="AJ201" s="27">
        <v>20650</v>
      </c>
      <c r="AK201" s="27">
        <v>17870</v>
      </c>
      <c r="AL201" s="27">
        <v>16930</v>
      </c>
      <c r="AM201" s="27">
        <v>16800</v>
      </c>
      <c r="AN201" s="27">
        <v>17240</v>
      </c>
      <c r="AO201" s="27">
        <v>15040</v>
      </c>
      <c r="AP201" s="27">
        <v>16310</v>
      </c>
      <c r="AQ201" s="27">
        <v>16100</v>
      </c>
      <c r="AR201" s="27">
        <v>19880</v>
      </c>
      <c r="AS201" s="27">
        <v>19290</v>
      </c>
      <c r="AT201" s="27">
        <v>18550</v>
      </c>
      <c r="AU201" s="29">
        <f t="shared" si="183"/>
        <v>18780.761999999999</v>
      </c>
      <c r="AV201" s="29">
        <f t="shared" ref="AV201:BS201" si="190">AU201*(1+$D201)</f>
        <v>19014.394679279998</v>
      </c>
      <c r="AW201" s="29">
        <f t="shared" si="190"/>
        <v>19250.93374909024</v>
      </c>
      <c r="AX201" s="29">
        <f t="shared" si="190"/>
        <v>19490.415364928922</v>
      </c>
      <c r="AY201" s="29">
        <f t="shared" si="190"/>
        <v>19732.876132068639</v>
      </c>
      <c r="AZ201" s="29">
        <f t="shared" si="190"/>
        <v>19978.353111151573</v>
      </c>
      <c r="BA201" s="29">
        <f t="shared" si="190"/>
        <v>20226.883823854299</v>
      </c>
      <c r="BB201" s="29">
        <f t="shared" si="190"/>
        <v>20478.506258623049</v>
      </c>
      <c r="BC201" s="29">
        <f t="shared" si="190"/>
        <v>20733.258876480319</v>
      </c>
      <c r="BD201" s="29">
        <f t="shared" si="190"/>
        <v>20991.180616903734</v>
      </c>
      <c r="BE201" s="29">
        <f t="shared" si="190"/>
        <v>21252.310903778016</v>
      </c>
      <c r="BF201" s="29">
        <f t="shared" si="190"/>
        <v>21516.689651421013</v>
      </c>
      <c r="BG201" s="29">
        <f t="shared" si="190"/>
        <v>21784.35727068469</v>
      </c>
      <c r="BH201" s="29">
        <f t="shared" si="190"/>
        <v>22055.354675132006</v>
      </c>
      <c r="BI201" s="29">
        <f t="shared" si="190"/>
        <v>22329.72328729065</v>
      </c>
      <c r="BJ201" s="29">
        <f t="shared" si="190"/>
        <v>22607.505044984544</v>
      </c>
      <c r="BK201" s="29">
        <f t="shared" si="190"/>
        <v>22888.74240774415</v>
      </c>
      <c r="BL201" s="29">
        <f t="shared" si="190"/>
        <v>23173.478363296486</v>
      </c>
      <c r="BM201" s="29">
        <f t="shared" si="190"/>
        <v>23461.756434135896</v>
      </c>
      <c r="BN201" s="29">
        <f t="shared" si="190"/>
        <v>23753.620684176545</v>
      </c>
      <c r="BO201" s="29">
        <f t="shared" si="190"/>
        <v>24049.1157254877</v>
      </c>
      <c r="BP201" s="29">
        <f t="shared" si="190"/>
        <v>24348.286725112768</v>
      </c>
      <c r="BQ201" s="29">
        <f t="shared" si="190"/>
        <v>24651.179411973171</v>
      </c>
      <c r="BR201" s="29">
        <f t="shared" si="190"/>
        <v>24957.840083858118</v>
      </c>
      <c r="BS201" s="29">
        <f t="shared" si="190"/>
        <v>25268.315614501313</v>
      </c>
    </row>
    <row r="202" spans="1:71" x14ac:dyDescent="0.2">
      <c r="A202" s="2" t="s">
        <v>635</v>
      </c>
      <c r="B202" s="2" t="s">
        <v>636</v>
      </c>
      <c r="C202" s="11" t="s">
        <v>210</v>
      </c>
      <c r="D202" s="26">
        <f>'Growth calculation'!G203</f>
        <v>1.244E-2</v>
      </c>
      <c r="E202" s="27">
        <v>4300</v>
      </c>
      <c r="F202" s="12">
        <v>2025</v>
      </c>
      <c r="G202" s="28" t="s">
        <v>637</v>
      </c>
      <c r="H202" s="27">
        <v>1260</v>
      </c>
      <c r="I202" s="27">
        <v>1320</v>
      </c>
      <c r="J202" s="27">
        <v>1280</v>
      </c>
      <c r="K202" s="27">
        <v>1400</v>
      </c>
      <c r="L202" s="27">
        <v>1450</v>
      </c>
      <c r="M202" s="27">
        <v>1660</v>
      </c>
      <c r="N202" s="27">
        <v>1640</v>
      </c>
      <c r="O202" s="27">
        <v>1700</v>
      </c>
      <c r="P202" s="27">
        <v>1780</v>
      </c>
      <c r="Q202" s="27">
        <v>1960</v>
      </c>
      <c r="R202" s="27">
        <v>2110</v>
      </c>
      <c r="S202" s="27">
        <v>2140</v>
      </c>
      <c r="T202" s="27">
        <v>2250</v>
      </c>
      <c r="U202" s="27">
        <v>2260</v>
      </c>
      <c r="V202" s="27">
        <v>2220</v>
      </c>
      <c r="W202" s="27">
        <v>2150</v>
      </c>
      <c r="X202" s="27">
        <v>2420</v>
      </c>
      <c r="Y202" s="27">
        <v>2860</v>
      </c>
      <c r="Z202" s="27">
        <v>3120</v>
      </c>
      <c r="AA202" s="27">
        <v>3290</v>
      </c>
      <c r="AB202" s="27">
        <v>3490</v>
      </c>
      <c r="AC202" s="27">
        <v>3820</v>
      </c>
      <c r="AD202" s="27">
        <v>4020</v>
      </c>
      <c r="AE202" s="27">
        <v>4140</v>
      </c>
      <c r="AF202" s="27">
        <v>4060</v>
      </c>
      <c r="AG202" s="27">
        <v>4250</v>
      </c>
      <c r="AH202" s="27">
        <v>4300</v>
      </c>
      <c r="AI202" s="27">
        <v>4310</v>
      </c>
      <c r="AJ202" s="27">
        <v>4130</v>
      </c>
      <c r="AK202" s="27">
        <v>3930</v>
      </c>
      <c r="AL202" s="27">
        <v>3700</v>
      </c>
      <c r="AM202" s="27">
        <v>3700</v>
      </c>
      <c r="AN202" s="27">
        <v>3590</v>
      </c>
      <c r="AO202" s="27">
        <v>3270</v>
      </c>
      <c r="AP202" s="27">
        <v>3640</v>
      </c>
      <c r="AQ202" s="27">
        <v>3890</v>
      </c>
      <c r="AR202" s="27">
        <v>3850</v>
      </c>
      <c r="AS202" s="27">
        <v>3880</v>
      </c>
      <c r="AT202" s="27">
        <v>4300</v>
      </c>
      <c r="AU202" s="29">
        <f t="shared" si="183"/>
        <v>4353.4920000000002</v>
      </c>
      <c r="AV202" s="29">
        <f t="shared" ref="AV202:BS202" si="191">AU202*(1+$D202)</f>
        <v>4407.6494404800005</v>
      </c>
      <c r="AW202" s="29">
        <f t="shared" si="191"/>
        <v>4462.480599519572</v>
      </c>
      <c r="AX202" s="29">
        <f t="shared" si="191"/>
        <v>4517.9938581775959</v>
      </c>
      <c r="AY202" s="29">
        <f t="shared" si="191"/>
        <v>4574.1977017733252</v>
      </c>
      <c r="AZ202" s="29">
        <f t="shared" si="191"/>
        <v>4631.1007211833858</v>
      </c>
      <c r="BA202" s="29">
        <f t="shared" si="191"/>
        <v>4688.7116141549068</v>
      </c>
      <c r="BB202" s="29">
        <f t="shared" si="191"/>
        <v>4747.0391866349937</v>
      </c>
      <c r="BC202" s="29">
        <f t="shared" si="191"/>
        <v>4806.0923541167331</v>
      </c>
      <c r="BD202" s="29">
        <f t="shared" si="191"/>
        <v>4865.8801430019448</v>
      </c>
      <c r="BE202" s="29">
        <f t="shared" si="191"/>
        <v>4926.4116919808894</v>
      </c>
      <c r="BF202" s="29">
        <f t="shared" si="191"/>
        <v>4987.6962534291315</v>
      </c>
      <c r="BG202" s="29">
        <f t="shared" si="191"/>
        <v>5049.74319482179</v>
      </c>
      <c r="BH202" s="29">
        <f t="shared" si="191"/>
        <v>5112.5620001653733</v>
      </c>
      <c r="BI202" s="29">
        <f t="shared" si="191"/>
        <v>5176.1622714474306</v>
      </c>
      <c r="BJ202" s="29">
        <f t="shared" si="191"/>
        <v>5240.5537301042368</v>
      </c>
      <c r="BK202" s="29">
        <f t="shared" si="191"/>
        <v>5305.7462185067334</v>
      </c>
      <c r="BL202" s="29">
        <f t="shared" si="191"/>
        <v>5371.7497014649571</v>
      </c>
      <c r="BM202" s="29">
        <f t="shared" si="191"/>
        <v>5438.5742677511807</v>
      </c>
      <c r="BN202" s="29">
        <f t="shared" si="191"/>
        <v>5506.2301316420053</v>
      </c>
      <c r="BO202" s="29">
        <f t="shared" si="191"/>
        <v>5574.7276344796319</v>
      </c>
      <c r="BP202" s="29">
        <f t="shared" si="191"/>
        <v>5644.0772462525583</v>
      </c>
      <c r="BQ202" s="29">
        <f t="shared" si="191"/>
        <v>5714.2895671959404</v>
      </c>
      <c r="BR202" s="29">
        <f t="shared" si="191"/>
        <v>5785.3753294118578</v>
      </c>
      <c r="BS202" s="29">
        <f t="shared" si="191"/>
        <v>5857.3453985097412</v>
      </c>
    </row>
    <row r="203" spans="1:71" x14ac:dyDescent="0.2">
      <c r="A203" s="2" t="s">
        <v>638</v>
      </c>
      <c r="B203" s="2" t="s">
        <v>639</v>
      </c>
      <c r="C203" s="11" t="s">
        <v>82</v>
      </c>
      <c r="D203" s="26">
        <f>'Growth calculation'!G204</f>
        <v>1.244E-2</v>
      </c>
      <c r="E203" s="27">
        <v>6340</v>
      </c>
      <c r="F203" s="12">
        <v>2025</v>
      </c>
      <c r="G203" s="28" t="s">
        <v>640</v>
      </c>
      <c r="H203" s="27"/>
      <c r="I203" s="27"/>
      <c r="J203" s="27"/>
      <c r="K203" s="27">
        <v>1040</v>
      </c>
      <c r="L203" s="27">
        <v>900</v>
      </c>
      <c r="M203" s="27">
        <v>750</v>
      </c>
      <c r="N203" s="27">
        <v>800</v>
      </c>
      <c r="O203" s="27">
        <v>680</v>
      </c>
      <c r="P203" s="27">
        <v>610</v>
      </c>
      <c r="Q203" s="27">
        <v>610</v>
      </c>
      <c r="R203" s="27">
        <v>550</v>
      </c>
      <c r="S203" s="27">
        <v>560</v>
      </c>
      <c r="T203" s="27">
        <v>620</v>
      </c>
      <c r="U203" s="27">
        <v>590</v>
      </c>
      <c r="V203" s="27">
        <v>630</v>
      </c>
      <c r="W203" s="27">
        <v>720</v>
      </c>
      <c r="X203" s="27">
        <v>940</v>
      </c>
      <c r="Y203" s="27">
        <v>1240</v>
      </c>
      <c r="Z203" s="27">
        <v>1500</v>
      </c>
      <c r="AA203" s="27">
        <v>1770</v>
      </c>
      <c r="AB203" s="27">
        <v>2160</v>
      </c>
      <c r="AC203" s="27">
        <v>2800</v>
      </c>
      <c r="AD203" s="27">
        <v>3260</v>
      </c>
      <c r="AE203" s="27">
        <v>3720</v>
      </c>
      <c r="AF203" s="27">
        <v>4300</v>
      </c>
      <c r="AG203" s="27">
        <v>5040</v>
      </c>
      <c r="AH203" s="27">
        <v>5880</v>
      </c>
      <c r="AI203" s="27">
        <v>6480</v>
      </c>
      <c r="AJ203" s="27">
        <v>6300</v>
      </c>
      <c r="AK203" s="27">
        <v>5890</v>
      </c>
      <c r="AL203" s="27">
        <v>5250</v>
      </c>
      <c r="AM203" s="27">
        <v>4690</v>
      </c>
      <c r="AN203" s="27">
        <v>4350</v>
      </c>
      <c r="AO203" s="27">
        <v>4180</v>
      </c>
      <c r="AP203" s="27">
        <v>4160</v>
      </c>
      <c r="AQ203" s="27">
        <v>4490</v>
      </c>
      <c r="AR203" s="27">
        <v>4830</v>
      </c>
      <c r="AS203" s="27">
        <v>5640</v>
      </c>
      <c r="AT203" s="27">
        <v>6340</v>
      </c>
      <c r="AU203" s="29">
        <f t="shared" si="183"/>
        <v>6418.8696</v>
      </c>
      <c r="AV203" s="29">
        <f t="shared" ref="AV203:BS203" si="192">AU203*(1+$D203)</f>
        <v>6498.7203378240001</v>
      </c>
      <c r="AW203" s="29">
        <f t="shared" si="192"/>
        <v>6579.5644188265305</v>
      </c>
      <c r="AX203" s="29">
        <f t="shared" si="192"/>
        <v>6661.414200196733</v>
      </c>
      <c r="AY203" s="29">
        <f t="shared" si="192"/>
        <v>6744.2821928471803</v>
      </c>
      <c r="AZ203" s="29">
        <f t="shared" si="192"/>
        <v>6828.1810633261994</v>
      </c>
      <c r="BA203" s="29">
        <f t="shared" si="192"/>
        <v>6913.1236357539774</v>
      </c>
      <c r="BB203" s="29">
        <f t="shared" si="192"/>
        <v>6999.1228937827573</v>
      </c>
      <c r="BC203" s="29">
        <f t="shared" si="192"/>
        <v>7086.1919825814148</v>
      </c>
      <c r="BD203" s="29">
        <f t="shared" si="192"/>
        <v>7174.344210844728</v>
      </c>
      <c r="BE203" s="29">
        <f t="shared" si="192"/>
        <v>7263.5930528276367</v>
      </c>
      <c r="BF203" s="29">
        <f t="shared" si="192"/>
        <v>7353.9521504048125</v>
      </c>
      <c r="BG203" s="29">
        <f t="shared" si="192"/>
        <v>7445.435315155848</v>
      </c>
      <c r="BH203" s="29">
        <f t="shared" si="192"/>
        <v>7538.0565304763868</v>
      </c>
      <c r="BI203" s="29">
        <f t="shared" si="192"/>
        <v>7631.8299537155135</v>
      </c>
      <c r="BJ203" s="29">
        <f t="shared" si="192"/>
        <v>7726.7699183397344</v>
      </c>
      <c r="BK203" s="29">
        <f t="shared" si="192"/>
        <v>7822.8909361238811</v>
      </c>
      <c r="BL203" s="29">
        <f t="shared" si="192"/>
        <v>7920.2076993692626</v>
      </c>
      <c r="BM203" s="29">
        <f t="shared" si="192"/>
        <v>8018.7350831494159</v>
      </c>
      <c r="BN203" s="29">
        <f t="shared" si="192"/>
        <v>8118.4881475837947</v>
      </c>
      <c r="BO203" s="29">
        <f t="shared" si="192"/>
        <v>8219.4821401397367</v>
      </c>
      <c r="BP203" s="29">
        <f t="shared" si="192"/>
        <v>8321.7324979630757</v>
      </c>
      <c r="BQ203" s="29">
        <f t="shared" si="192"/>
        <v>8425.2548502377358</v>
      </c>
      <c r="BR203" s="29">
        <f t="shared" si="192"/>
        <v>8530.0650205746933</v>
      </c>
      <c r="BS203" s="29">
        <f t="shared" si="192"/>
        <v>8636.1790294306429</v>
      </c>
    </row>
    <row r="204" spans="1:71" x14ac:dyDescent="0.2">
      <c r="A204" s="2" t="s">
        <v>641</v>
      </c>
      <c r="B204" s="2" t="s">
        <v>642</v>
      </c>
      <c r="C204" s="11" t="s">
        <v>79</v>
      </c>
      <c r="D204" s="26">
        <f>'Growth calculation'!G205</f>
        <v>6.9413511507052661E-2</v>
      </c>
      <c r="E204" s="27">
        <v>36760</v>
      </c>
      <c r="F204" s="12">
        <v>2024</v>
      </c>
      <c r="G204" s="2" t="s">
        <v>162</v>
      </c>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v>25350</v>
      </c>
      <c r="AJ204" s="27">
        <v>26940</v>
      </c>
      <c r="AK204" s="27">
        <v>28810</v>
      </c>
      <c r="AL204" s="27">
        <v>41130</v>
      </c>
      <c r="AM204" s="27">
        <v>36690</v>
      </c>
      <c r="AN204" s="27">
        <v>31510</v>
      </c>
      <c r="AO204" s="27">
        <v>20840</v>
      </c>
      <c r="AP204" s="27">
        <v>27480</v>
      </c>
      <c r="AQ204" s="27">
        <v>31590</v>
      </c>
      <c r="AR204" s="27">
        <v>36060</v>
      </c>
      <c r="AS204" s="27">
        <v>36760</v>
      </c>
      <c r="AT204" s="27"/>
      <c r="AU204" s="29">
        <f t="shared" si="183"/>
        <v>39311.640682999256</v>
      </c>
      <c r="AV204" s="29">
        <f t="shared" ref="AV204:BS204" si="193">AU204*(1+$D204)</f>
        <v>42040.399705909746</v>
      </c>
      <c r="AW204" s="29">
        <f t="shared" si="193"/>
        <v>44958.571474657008</v>
      </c>
      <c r="AX204" s="29">
        <f t="shared" si="193"/>
        <v>48079.303793053761</v>
      </c>
      <c r="AY204" s="29">
        <f t="shared" si="193"/>
        <v>51416.657100143981</v>
      </c>
      <c r="AZ204" s="29">
        <f t="shared" si="193"/>
        <v>54985.667819419003</v>
      </c>
      <c r="BA204" s="29">
        <f t="shared" si="193"/>
        <v>58802.416105325217</v>
      </c>
      <c r="BB204" s="29">
        <f t="shared" si="193"/>
        <v>62884.098292294708</v>
      </c>
      <c r="BC204" s="29">
        <f t="shared" si="193"/>
        <v>67249.104372717542</v>
      </c>
      <c r="BD204" s="29">
        <f t="shared" si="193"/>
        <v>71917.100852932155</v>
      </c>
      <c r="BE204" s="29">
        <f t="shared" si="193"/>
        <v>76909.119360541023</v>
      </c>
      <c r="BF204" s="29">
        <f t="shared" si="193"/>
        <v>82247.651402271222</v>
      </c>
      <c r="BG204" s="29">
        <f t="shared" si="193"/>
        <v>87956.749699310836</v>
      </c>
      <c r="BH204" s="29">
        <f t="shared" si="193"/>
        <v>94062.136556686906</v>
      </c>
      <c r="BI204" s="29">
        <f t="shared" si="193"/>
        <v>100591.31975494245</v>
      </c>
      <c r="BJ204" s="29">
        <f t="shared" si="193"/>
        <v>107573.71648626176</v>
      </c>
      <c r="BK204" s="29">
        <f t="shared" si="193"/>
        <v>115040.78589343732</v>
      </c>
      <c r="BL204" s="29">
        <f t="shared" si="193"/>
        <v>123026.17080883181</v>
      </c>
      <c r="BM204" s="29">
        <f t="shared" si="193"/>
        <v>131565.84933193927</v>
      </c>
      <c r="BN204" s="29">
        <f t="shared" si="193"/>
        <v>140698.29692847701</v>
      </c>
      <c r="BO204" s="29">
        <f t="shared" si="193"/>
        <v>150464.65978134456</v>
      </c>
      <c r="BP204" s="29">
        <f t="shared" si="193"/>
        <v>160908.94017448169</v>
      </c>
      <c r="BQ204" s="29">
        <f t="shared" si="193"/>
        <v>172078.19474487071</v>
      </c>
      <c r="BR204" s="29">
        <f t="shared" si="193"/>
        <v>184022.74649590664</v>
      </c>
      <c r="BS204" s="29">
        <f t="shared" si="193"/>
        <v>196796.41152735968</v>
      </c>
    </row>
    <row r="205" spans="1:71" x14ac:dyDescent="0.2">
      <c r="A205" s="2" t="s">
        <v>643</v>
      </c>
      <c r="B205" s="2" t="s">
        <v>644</v>
      </c>
      <c r="C205" s="11" t="s">
        <v>82</v>
      </c>
      <c r="D205" s="26">
        <f>'Growth calculation'!G206</f>
        <v>3.42933906085231E-2</v>
      </c>
      <c r="E205" s="27">
        <v>9780</v>
      </c>
      <c r="F205" s="12">
        <v>2025</v>
      </c>
      <c r="G205" s="2" t="s">
        <v>162</v>
      </c>
      <c r="H205" s="27">
        <v>1320</v>
      </c>
      <c r="I205" s="27">
        <v>1660</v>
      </c>
      <c r="J205" s="27">
        <v>1720</v>
      </c>
      <c r="K205" s="27">
        <v>2130</v>
      </c>
      <c r="L205" s="27">
        <v>2300</v>
      </c>
      <c r="M205" s="27">
        <v>2410</v>
      </c>
      <c r="N205" s="27">
        <v>2220</v>
      </c>
      <c r="O205" s="27">
        <v>2520</v>
      </c>
      <c r="P205" s="27">
        <v>2450</v>
      </c>
      <c r="Q205" s="27">
        <v>2350</v>
      </c>
      <c r="R205" s="27">
        <v>2860</v>
      </c>
      <c r="S205" s="27">
        <v>2940</v>
      </c>
      <c r="T205" s="27">
        <v>2710</v>
      </c>
      <c r="U205" s="27">
        <v>2350</v>
      </c>
      <c r="V205" s="27">
        <v>2780</v>
      </c>
      <c r="W205" s="27">
        <v>3420</v>
      </c>
      <c r="X205" s="27">
        <v>2610</v>
      </c>
      <c r="Y205" s="27">
        <v>3380</v>
      </c>
      <c r="Z205" s="27">
        <v>3800</v>
      </c>
      <c r="AA205" s="27">
        <v>3900</v>
      </c>
      <c r="AB205" s="27">
        <v>4650</v>
      </c>
      <c r="AC205" s="27">
        <v>4790</v>
      </c>
      <c r="AD205" s="27">
        <v>4890</v>
      </c>
      <c r="AE205" s="27">
        <v>4460</v>
      </c>
      <c r="AF205" s="27">
        <v>4740</v>
      </c>
      <c r="AG205" s="27">
        <v>4460</v>
      </c>
      <c r="AH205" s="27">
        <v>5580</v>
      </c>
      <c r="AI205" s="27">
        <v>4790</v>
      </c>
      <c r="AJ205" s="27">
        <v>5650</v>
      </c>
      <c r="AK205" s="27">
        <v>5390</v>
      </c>
      <c r="AL205" s="27">
        <v>5320</v>
      </c>
      <c r="AM205" s="27">
        <v>6230</v>
      </c>
      <c r="AN205" s="27">
        <v>6860</v>
      </c>
      <c r="AO205" s="27">
        <v>6920</v>
      </c>
      <c r="AP205" s="27">
        <v>7460</v>
      </c>
      <c r="AQ205" s="27">
        <v>7460</v>
      </c>
      <c r="AR205" s="27">
        <v>7520</v>
      </c>
      <c r="AS205" s="27">
        <v>7970</v>
      </c>
      <c r="AT205" s="27">
        <v>9780</v>
      </c>
      <c r="AU205" s="29">
        <f t="shared" si="183"/>
        <v>10115.389360151357</v>
      </c>
      <c r="AV205" s="29">
        <f t="shared" ref="AV205:BS205" si="194">AU205*(1+$D205)</f>
        <v>10462.280358636328</v>
      </c>
      <c r="AW205" s="29">
        <f t="shared" si="194"/>
        <v>10821.067425630923</v>
      </c>
      <c r="AX205" s="29">
        <f t="shared" si="194"/>
        <v>11192.158517659251</v>
      </c>
      <c r="AY205" s="29">
        <f t="shared" si="194"/>
        <v>11575.975581457849</v>
      </c>
      <c r="AZ205" s="29">
        <f t="shared" si="194"/>
        <v>11972.95503374751</v>
      </c>
      <c r="BA205" s="29">
        <f t="shared" si="194"/>
        <v>12383.548257458098</v>
      </c>
      <c r="BB205" s="29">
        <f t="shared" si="194"/>
        <v>12808.222114970606</v>
      </c>
      <c r="BC205" s="29">
        <f t="shared" si="194"/>
        <v>13247.459478960018</v>
      </c>
      <c r="BD205" s="29">
        <f t="shared" si="194"/>
        <v>13701.759781442577</v>
      </c>
      <c r="BE205" s="29">
        <f t="shared" si="194"/>
        <v>14171.639581651742</v>
      </c>
      <c r="BF205" s="29">
        <f t="shared" si="194"/>
        <v>14657.633153388533</v>
      </c>
      <c r="BG205" s="29">
        <f t="shared" si="194"/>
        <v>15160.293092514126</v>
      </c>
      <c r="BH205" s="29">
        <f t="shared" si="194"/>
        <v>15680.19094527541</v>
      </c>
      <c r="BI205" s="29">
        <f t="shared" si="194"/>
        <v>16217.917858177969</v>
      </c>
      <c r="BJ205" s="29">
        <f t="shared" si="194"/>
        <v>16774.08525014541</v>
      </c>
      <c r="BK205" s="29">
        <f t="shared" si="194"/>
        <v>17349.325507729314</v>
      </c>
      <c r="BL205" s="29">
        <f t="shared" si="194"/>
        <v>17944.292704160292</v>
      </c>
      <c r="BM205" s="29">
        <f t="shared" si="194"/>
        <v>18559.663343057735</v>
      </c>
      <c r="BN205" s="29">
        <f t="shared" si="194"/>
        <v>19196.137127643902</v>
      </c>
      <c r="BO205" s="29">
        <f t="shared" si="194"/>
        <v>19854.437756336971</v>
      </c>
      <c r="BP205" s="29">
        <f t="shared" si="194"/>
        <v>20535.313745627645</v>
      </c>
      <c r="BQ205" s="29">
        <f t="shared" si="194"/>
        <v>21239.539281175032</v>
      </c>
      <c r="BR205" s="29">
        <f t="shared" si="194"/>
        <v>21967.915098089441</v>
      </c>
      <c r="BS205" s="29">
        <f t="shared" si="194"/>
        <v>22721.269391403097</v>
      </c>
    </row>
    <row r="206" spans="1:71" x14ac:dyDescent="0.2">
      <c r="A206" s="2" t="s">
        <v>645</v>
      </c>
      <c r="B206" s="2" t="s">
        <v>646</v>
      </c>
      <c r="C206" s="11" t="s">
        <v>82</v>
      </c>
      <c r="D206" s="26">
        <f>'Growth calculation'!G207</f>
        <v>2.2029446087993731E-2</v>
      </c>
      <c r="E206" s="27">
        <v>16300</v>
      </c>
      <c r="F206" s="12">
        <v>2025</v>
      </c>
      <c r="G206" s="2" t="s">
        <v>162</v>
      </c>
      <c r="H206" s="27">
        <v>1680</v>
      </c>
      <c r="I206" s="27">
        <v>1800</v>
      </c>
      <c r="J206" s="27">
        <v>1850</v>
      </c>
      <c r="K206" s="27">
        <v>2220</v>
      </c>
      <c r="L206" s="27">
        <v>2490</v>
      </c>
      <c r="M206" s="27">
        <v>2830</v>
      </c>
      <c r="N206" s="27">
        <v>3030</v>
      </c>
      <c r="O206" s="27">
        <v>2570</v>
      </c>
      <c r="P206" s="27">
        <v>3030</v>
      </c>
      <c r="Q206" s="27">
        <v>3410</v>
      </c>
      <c r="R206" s="27">
        <v>4250</v>
      </c>
      <c r="S206" s="27">
        <v>4150</v>
      </c>
      <c r="T206" s="27">
        <v>3930</v>
      </c>
      <c r="U206" s="27">
        <v>4180</v>
      </c>
      <c r="V206" s="27">
        <v>3480</v>
      </c>
      <c r="W206" s="27">
        <v>3500</v>
      </c>
      <c r="X206" s="27">
        <v>3860</v>
      </c>
      <c r="Y206" s="27">
        <v>5170</v>
      </c>
      <c r="Z206" s="27">
        <v>6710</v>
      </c>
      <c r="AA206" s="27">
        <v>7780</v>
      </c>
      <c r="AB206" s="27">
        <v>8930</v>
      </c>
      <c r="AC206" s="27">
        <v>9830</v>
      </c>
      <c r="AD206" s="27">
        <v>9610</v>
      </c>
      <c r="AE206" s="27">
        <v>10460</v>
      </c>
      <c r="AF206" s="27">
        <v>11260</v>
      </c>
      <c r="AG206" s="27">
        <v>11950</v>
      </c>
      <c r="AH206" s="27">
        <v>12640</v>
      </c>
      <c r="AI206" s="27">
        <v>12670</v>
      </c>
      <c r="AJ206" s="27">
        <v>12080</v>
      </c>
      <c r="AK206" s="27">
        <v>11350</v>
      </c>
      <c r="AL206" s="27">
        <v>11140</v>
      </c>
      <c r="AM206" s="27">
        <v>10760</v>
      </c>
      <c r="AN206" s="27">
        <v>9970</v>
      </c>
      <c r="AO206" s="27">
        <v>9330</v>
      </c>
      <c r="AP206" s="27">
        <v>10230</v>
      </c>
      <c r="AQ206" s="27">
        <v>10870</v>
      </c>
      <c r="AR206" s="27">
        <v>11980</v>
      </c>
      <c r="AS206" s="27">
        <v>13430</v>
      </c>
      <c r="AT206" s="27">
        <v>16300</v>
      </c>
      <c r="AU206" s="29">
        <f t="shared" si="183"/>
        <v>16659.0799712343</v>
      </c>
      <c r="AV206" s="29">
        <f t="shared" ref="AV206:BS206" si="195">AU206*(1+$D206)</f>
        <v>17026.07027533618</v>
      </c>
      <c r="AW206" s="29">
        <f t="shared" si="195"/>
        <v>17401.145172557091</v>
      </c>
      <c r="AX206" s="29">
        <f t="shared" si="195"/>
        <v>17784.482762005289</v>
      </c>
      <c r="AY206" s="29">
        <f t="shared" si="195"/>
        <v>18176.265066213738</v>
      </c>
      <c r="AZ206" s="29">
        <f t="shared" si="195"/>
        <v>18576.678117570977</v>
      </c>
      <c r="BA206" s="29">
        <f t="shared" si="195"/>
        <v>18985.91204665602</v>
      </c>
      <c r="BB206" s="29">
        <f t="shared" si="195"/>
        <v>19404.16117251922</v>
      </c>
      <c r="BC206" s="29">
        <f t="shared" si="195"/>
        <v>19831.624094951974</v>
      </c>
      <c r="BD206" s="29">
        <f t="shared" si="195"/>
        <v>20268.503788789076</v>
      </c>
      <c r="BE206" s="29">
        <f t="shared" si="195"/>
        <v>20715.007700288501</v>
      </c>
      <c r="BF206" s="29">
        <f t="shared" si="195"/>
        <v>21171.34784563438</v>
      </c>
      <c r="BG206" s="29">
        <f t="shared" si="195"/>
        <v>21637.740911609944</v>
      </c>
      <c r="BH206" s="29">
        <f t="shared" si="195"/>
        <v>22114.408358488232</v>
      </c>
      <c r="BI206" s="29">
        <f t="shared" si="195"/>
        <v>22601.576525189426</v>
      </c>
      <c r="BJ206" s="29">
        <f t="shared" si="195"/>
        <v>23099.47673675475</v>
      </c>
      <c r="BK206" s="29">
        <f t="shared" si="195"/>
        <v>23608.345414187956</v>
      </c>
      <c r="BL206" s="29">
        <f t="shared" si="195"/>
        <v>24128.424186716544</v>
      </c>
      <c r="BM206" s="29">
        <f t="shared" si="195"/>
        <v>24659.96000652606</v>
      </c>
      <c r="BN206" s="29">
        <f t="shared" si="195"/>
        <v>25203.205266021909</v>
      </c>
      <c r="BO206" s="29">
        <f t="shared" si="195"/>
        <v>25758.417917674378</v>
      </c>
      <c r="BP206" s="29">
        <f t="shared" si="195"/>
        <v>26325.861596503797</v>
      </c>
      <c r="BQ206" s="29">
        <f t="shared" si="195"/>
        <v>26905.805745263962</v>
      </c>
      <c r="BR206" s="29">
        <f t="shared" si="195"/>
        <v>27498.525742383288</v>
      </c>
      <c r="BS206" s="29">
        <f t="shared" si="195"/>
        <v>28104.303032724427</v>
      </c>
    </row>
    <row r="207" spans="1:71" x14ac:dyDescent="0.2">
      <c r="A207" s="2" t="s">
        <v>647</v>
      </c>
      <c r="B207" s="2" t="s">
        <v>648</v>
      </c>
      <c r="C207" s="11" t="s">
        <v>75</v>
      </c>
      <c r="D207" s="26">
        <f>'Growth calculation'!G208</f>
        <v>4.2123933045116968E-2</v>
      </c>
      <c r="E207" s="27">
        <v>1120</v>
      </c>
      <c r="F207" s="12">
        <v>2025</v>
      </c>
      <c r="G207" s="2" t="s">
        <v>162</v>
      </c>
      <c r="H207" s="27">
        <v>310</v>
      </c>
      <c r="I207" s="27">
        <v>390</v>
      </c>
      <c r="J207" s="27">
        <v>400</v>
      </c>
      <c r="K207" s="27">
        <v>320</v>
      </c>
      <c r="L207" s="27">
        <v>240</v>
      </c>
      <c r="M207" s="27">
        <v>190</v>
      </c>
      <c r="N207" s="27">
        <v>180</v>
      </c>
      <c r="O207" s="27">
        <v>180</v>
      </c>
      <c r="P207" s="27">
        <v>230</v>
      </c>
      <c r="Q207" s="27">
        <v>270</v>
      </c>
      <c r="R207" s="27">
        <v>300</v>
      </c>
      <c r="S207" s="27">
        <v>290</v>
      </c>
      <c r="T207" s="27">
        <v>280</v>
      </c>
      <c r="U207" s="27">
        <v>270</v>
      </c>
      <c r="V207" s="27">
        <v>240</v>
      </c>
      <c r="W207" s="27">
        <v>250</v>
      </c>
      <c r="X207" s="27">
        <v>250</v>
      </c>
      <c r="Y207" s="27">
        <v>280</v>
      </c>
      <c r="Z207" s="27">
        <v>310</v>
      </c>
      <c r="AA207" s="27">
        <v>350</v>
      </c>
      <c r="AB207" s="27">
        <v>380</v>
      </c>
      <c r="AC207" s="27">
        <v>430</v>
      </c>
      <c r="AD207" s="27">
        <v>550</v>
      </c>
      <c r="AE207" s="27">
        <v>680</v>
      </c>
      <c r="AF207" s="27">
        <v>860</v>
      </c>
      <c r="AG207" s="27">
        <v>830</v>
      </c>
      <c r="AH207" s="27">
        <v>810</v>
      </c>
      <c r="AI207" s="27">
        <v>830</v>
      </c>
      <c r="AJ207" s="27">
        <v>850</v>
      </c>
      <c r="AK207" s="27">
        <v>810</v>
      </c>
      <c r="AL207" s="27">
        <v>760</v>
      </c>
      <c r="AM207" s="27">
        <v>770</v>
      </c>
      <c r="AN207" s="27">
        <v>810</v>
      </c>
      <c r="AO207" s="27">
        <v>820</v>
      </c>
      <c r="AP207" s="27">
        <v>860</v>
      </c>
      <c r="AQ207" s="27">
        <v>930</v>
      </c>
      <c r="AR207" s="27">
        <v>970</v>
      </c>
      <c r="AS207" s="27">
        <v>1010</v>
      </c>
      <c r="AT207" s="27">
        <v>1120</v>
      </c>
      <c r="AU207" s="29">
        <f t="shared" si="183"/>
        <v>1167.1788050105308</v>
      </c>
      <c r="AV207" s="29">
        <f t="shared" ref="AV207:BS207" si="196">AU207*(1+$D207)</f>
        <v>1216.3449668444739</v>
      </c>
      <c r="AW207" s="29">
        <f t="shared" si="196"/>
        <v>1267.5822007875954</v>
      </c>
      <c r="AX207" s="29">
        <f t="shared" si="196"/>
        <v>1320.9777485427539</v>
      </c>
      <c r="AY207" s="29">
        <f t="shared" si="196"/>
        <v>1376.622526776458</v>
      </c>
      <c r="AZ207" s="29">
        <f t="shared" si="196"/>
        <v>1434.6112819227892</v>
      </c>
      <c r="BA207" s="29">
        <f t="shared" si="196"/>
        <v>1495.042751508274</v>
      </c>
      <c r="BB207" s="29">
        <f t="shared" si="196"/>
        <v>1558.0198322723959</v>
      </c>
      <c r="BC207" s="29">
        <f t="shared" si="196"/>
        <v>1623.6497553700026</v>
      </c>
      <c r="BD207" s="29">
        <f t="shared" si="196"/>
        <v>1692.0442689539288</v>
      </c>
      <c r="BE207" s="29">
        <f t="shared" si="196"/>
        <v>1763.3198284487178</v>
      </c>
      <c r="BF207" s="29">
        <f t="shared" si="196"/>
        <v>1837.5977948394186</v>
      </c>
      <c r="BG207" s="29">
        <f t="shared" si="196"/>
        <v>1915.0046413130888</v>
      </c>
      <c r="BH207" s="29">
        <f t="shared" si="196"/>
        <v>1995.6721686048493</v>
      </c>
      <c r="BI207" s="29">
        <f t="shared" si="196"/>
        <v>2079.7377294151629</v>
      </c>
      <c r="BJ207" s="29">
        <f t="shared" si="196"/>
        <v>2167.3444622804504</v>
      </c>
      <c r="BK207" s="29">
        <f t="shared" si="196"/>
        <v>2258.6415352952567</v>
      </c>
      <c r="BL207" s="29">
        <f t="shared" si="196"/>
        <v>2353.7844001009539</v>
      </c>
      <c r="BM207" s="29">
        <f t="shared" si="196"/>
        <v>2452.9350565734471</v>
      </c>
      <c r="BN207" s="29">
        <f t="shared" si="196"/>
        <v>2556.2623286605672</v>
      </c>
      <c r="BO207" s="29">
        <f t="shared" si="196"/>
        <v>2663.9421518388194</v>
      </c>
      <c r="BP207" s="29">
        <f t="shared" si="196"/>
        <v>2776.1578726789426</v>
      </c>
      <c r="BQ207" s="29">
        <f t="shared" si="196"/>
        <v>2893.1005610303446</v>
      </c>
      <c r="BR207" s="29">
        <f t="shared" si="196"/>
        <v>3014.9693353559769</v>
      </c>
      <c r="BS207" s="29">
        <f t="shared" si="196"/>
        <v>3141.9717017715925</v>
      </c>
    </row>
    <row r="208" spans="1:71" x14ac:dyDescent="0.2">
      <c r="A208" s="2" t="s">
        <v>649</v>
      </c>
      <c r="B208" s="2" t="s">
        <v>650</v>
      </c>
      <c r="C208" s="11" t="s">
        <v>82</v>
      </c>
      <c r="D208" s="26">
        <f>'Growth calculation'!G209</f>
        <v>6.652399412937593E-2</v>
      </c>
      <c r="E208" s="27">
        <v>5510</v>
      </c>
      <c r="F208" s="12">
        <v>2025</v>
      </c>
      <c r="G208" s="2" t="s">
        <v>162</v>
      </c>
      <c r="H208" s="27"/>
      <c r="I208" s="27"/>
      <c r="J208" s="27">
        <v>1620</v>
      </c>
      <c r="K208" s="27">
        <v>1600</v>
      </c>
      <c r="L208" s="27">
        <v>1510</v>
      </c>
      <c r="M208" s="27">
        <v>1410</v>
      </c>
      <c r="N208" s="27">
        <v>1220</v>
      </c>
      <c r="O208" s="27">
        <v>1000</v>
      </c>
      <c r="P208" s="27">
        <v>920</v>
      </c>
      <c r="Q208" s="27">
        <v>860</v>
      </c>
      <c r="R208" s="27">
        <v>880</v>
      </c>
      <c r="S208" s="27">
        <v>840</v>
      </c>
      <c r="T208" s="27">
        <v>760</v>
      </c>
      <c r="U208" s="27">
        <v>680</v>
      </c>
      <c r="V208" s="27">
        <v>710</v>
      </c>
      <c r="W208" s="27">
        <v>780</v>
      </c>
      <c r="X208" s="27">
        <v>970</v>
      </c>
      <c r="Y208" s="27">
        <v>1250</v>
      </c>
      <c r="Z208" s="27">
        <v>1530</v>
      </c>
      <c r="AA208" s="27">
        <v>1930</v>
      </c>
      <c r="AB208" s="27">
        <v>2560</v>
      </c>
      <c r="AC208" s="27">
        <v>3170</v>
      </c>
      <c r="AD208" s="27">
        <v>2810</v>
      </c>
      <c r="AE208" s="27">
        <v>2990</v>
      </c>
      <c r="AF208" s="27">
        <v>3100</v>
      </c>
      <c r="AG208" s="27">
        <v>3600</v>
      </c>
      <c r="AH208" s="27">
        <v>3900</v>
      </c>
      <c r="AI208" s="27">
        <v>3500</v>
      </c>
      <c r="AJ208" s="27">
        <v>2760</v>
      </c>
      <c r="AK208" s="27">
        <v>2330</v>
      </c>
      <c r="AL208" s="27">
        <v>2330</v>
      </c>
      <c r="AM208" s="27">
        <v>2720</v>
      </c>
      <c r="AN208" s="27">
        <v>3270</v>
      </c>
      <c r="AO208" s="27">
        <v>3530</v>
      </c>
      <c r="AP208" s="27">
        <v>4060</v>
      </c>
      <c r="AQ208" s="27">
        <v>3930</v>
      </c>
      <c r="AR208" s="27">
        <v>4980</v>
      </c>
      <c r="AS208" s="27">
        <v>5230</v>
      </c>
      <c r="AT208" s="27">
        <v>5510</v>
      </c>
      <c r="AU208" s="29">
        <f t="shared" si="183"/>
        <v>5876.5472076528604</v>
      </c>
      <c r="AV208" s="29">
        <f t="shared" ref="AV208:BS208" si="197">AU208*(1+$D208)</f>
        <v>6267.4785995957591</v>
      </c>
      <c r="AW208" s="29">
        <f t="shared" si="197"/>
        <v>6684.4163091612563</v>
      </c>
      <c r="AX208" s="29">
        <f t="shared" si="197"/>
        <v>7129.0903804702039</v>
      </c>
      <c r="AY208" s="29">
        <f t="shared" si="197"/>
        <v>7603.3459470883936</v>
      </c>
      <c r="AZ208" s="29">
        <f t="shared" si="197"/>
        <v>8109.150888236115</v>
      </c>
      <c r="BA208" s="29">
        <f t="shared" si="197"/>
        <v>8648.6039943193573</v>
      </c>
      <c r="BB208" s="29">
        <f t="shared" si="197"/>
        <v>9223.9436756647538</v>
      </c>
      <c r="BC208" s="29">
        <f t="shared" si="197"/>
        <v>9837.5572505943692</v>
      </c>
      <c r="BD208" s="29">
        <f t="shared" si="197"/>
        <v>10491.990851380308</v>
      </c>
      <c r="BE208" s="29">
        <f t="shared" si="197"/>
        <v>11189.959989182997</v>
      </c>
      <c r="BF208" s="29">
        <f t="shared" si="197"/>
        <v>11934.360821811357</v>
      </c>
      <c r="BG208" s="29">
        <f t="shared" si="197"/>
        <v>12728.282171059389</v>
      </c>
      <c r="BH208" s="29">
        <f t="shared" si="197"/>
        <v>13575.018339483982</v>
      </c>
      <c r="BI208" s="29">
        <f t="shared" si="197"/>
        <v>14478.082779805984</v>
      </c>
      <c r="BJ208" s="29">
        <f t="shared" si="197"/>
        <v>15441.222673654414</v>
      </c>
      <c r="BK208" s="29">
        <f t="shared" si="197"/>
        <v>16468.434480146985</v>
      </c>
      <c r="BL208" s="29">
        <f t="shared" si="197"/>
        <v>17563.980518824294</v>
      </c>
      <c r="BM208" s="29">
        <f t="shared" si="197"/>
        <v>18732.406655747032</v>
      </c>
      <c r="BN208" s="29">
        <f t="shared" si="197"/>
        <v>19978.561166143027</v>
      </c>
      <c r="BO208" s="29">
        <f t="shared" si="197"/>
        <v>21307.614851872902</v>
      </c>
      <c r="BP208" s="29">
        <f t="shared" si="197"/>
        <v>22725.082497189895</v>
      </c>
      <c r="BQ208" s="29">
        <f t="shared" si="197"/>
        <v>24236.845751822537</v>
      </c>
      <c r="BR208" s="29">
        <f t="shared" si="197"/>
        <v>25849.177536331368</v>
      </c>
      <c r="BS208" s="29">
        <f t="shared" si="197"/>
        <v>27568.768071007471</v>
      </c>
    </row>
    <row r="209" spans="1:71" x14ac:dyDescent="0.2">
      <c r="A209" s="2" t="s">
        <v>651</v>
      </c>
      <c r="B209" s="2" t="s">
        <v>652</v>
      </c>
      <c r="C209" s="11" t="s">
        <v>79</v>
      </c>
      <c r="D209" s="26">
        <f>'Growth calculation'!G210</f>
        <v>4.6477850399418985E-2</v>
      </c>
      <c r="E209" s="27">
        <v>51550</v>
      </c>
      <c r="F209" s="12">
        <v>2024</v>
      </c>
      <c r="G209" s="2" t="s">
        <v>162</v>
      </c>
      <c r="H209" s="27">
        <v>24940</v>
      </c>
      <c r="I209" s="27">
        <v>24020</v>
      </c>
      <c r="J209" s="27">
        <v>25390</v>
      </c>
      <c r="K209" s="27">
        <v>29240</v>
      </c>
      <c r="L209" s="27">
        <v>27120</v>
      </c>
      <c r="M209" s="27">
        <v>27190</v>
      </c>
      <c r="N209" s="27">
        <v>26150</v>
      </c>
      <c r="O209" s="27">
        <v>26670</v>
      </c>
      <c r="P209" s="27">
        <v>28240</v>
      </c>
      <c r="Q209" s="27">
        <v>28320</v>
      </c>
      <c r="R209" s="27">
        <v>28830</v>
      </c>
      <c r="S209" s="27">
        <v>26620</v>
      </c>
      <c r="T209" s="27">
        <v>24390</v>
      </c>
      <c r="U209" s="27">
        <v>28170</v>
      </c>
      <c r="V209" s="27">
        <v>28360</v>
      </c>
      <c r="W209" s="27">
        <v>27200</v>
      </c>
      <c r="X209" s="27">
        <v>29030</v>
      </c>
      <c r="Y209" s="27">
        <v>33220</v>
      </c>
      <c r="Z209" s="27">
        <v>36880</v>
      </c>
      <c r="AA209" s="27">
        <v>41670</v>
      </c>
      <c r="AB209" s="27">
        <v>43420</v>
      </c>
      <c r="AC209" s="27">
        <v>44890</v>
      </c>
      <c r="AD209" s="27">
        <v>41310</v>
      </c>
      <c r="AE209" s="27">
        <v>42380</v>
      </c>
      <c r="AF209" s="27">
        <v>45610</v>
      </c>
      <c r="AG209" s="27">
        <v>51180</v>
      </c>
      <c r="AH209" s="27">
        <v>53780</v>
      </c>
      <c r="AI209" s="27">
        <v>53360</v>
      </c>
      <c r="AJ209" s="27">
        <v>49990</v>
      </c>
      <c r="AK209" s="27">
        <v>46180</v>
      </c>
      <c r="AL209" s="27">
        <v>42230</v>
      </c>
      <c r="AM209" s="27">
        <v>44570</v>
      </c>
      <c r="AN209" s="27">
        <v>46690</v>
      </c>
      <c r="AO209" s="27">
        <v>41310</v>
      </c>
      <c r="AP209" s="27">
        <v>43230</v>
      </c>
      <c r="AQ209" s="27">
        <v>46990</v>
      </c>
      <c r="AR209" s="27">
        <v>51100</v>
      </c>
      <c r="AS209" s="27">
        <v>51550</v>
      </c>
      <c r="AT209" s="27"/>
      <c r="AU209" s="29">
        <f t="shared" si="183"/>
        <v>53945.93318809005</v>
      </c>
      <c r="AV209" s="29">
        <f t="shared" ref="AV209:BS209" si="198">AU209*(1+$D209)</f>
        <v>56453.224200463148</v>
      </c>
      <c r="AW209" s="29">
        <f t="shared" si="198"/>
        <v>59077.048709417133</v>
      </c>
      <c r="AX209" s="29">
        <f t="shared" si="198"/>
        <v>61822.822941372608</v>
      </c>
      <c r="AY209" s="29">
        <f t="shared" si="198"/>
        <v>64696.21485731149</v>
      </c>
      <c r="AZ209" s="29">
        <f t="shared" si="198"/>
        <v>67703.155852858283</v>
      </c>
      <c r="BA209" s="29">
        <f t="shared" si="198"/>
        <v>70849.853002155971</v>
      </c>
      <c r="BB209" s="29">
        <f t="shared" si="198"/>
        <v>74142.801870811003</v>
      </c>
      <c r="BC209" s="29">
        <f t="shared" si="198"/>
        <v>77588.799924356324</v>
      </c>
      <c r="BD209" s="29">
        <f t="shared" si="198"/>
        <v>81194.960559911007</v>
      </c>
      <c r="BE209" s="29">
        <f t="shared" si="198"/>
        <v>84968.72779000127</v>
      </c>
      <c r="BF209" s="29">
        <f t="shared" si="198"/>
        <v>88917.891608853897</v>
      </c>
      <c r="BG209" s="29">
        <f t="shared" si="198"/>
        <v>93050.604072881964</v>
      </c>
      <c r="BH209" s="29">
        <f t="shared" si="198"/>
        <v>97375.396128556938</v>
      </c>
      <c r="BI209" s="29">
        <f t="shared" si="198"/>
        <v>101901.19522240417</v>
      </c>
      <c r="BJ209" s="29">
        <f t="shared" si="198"/>
        <v>106637.34372947307</v>
      </c>
      <c r="BK209" s="29">
        <f t="shared" si="198"/>
        <v>111593.61823832293</v>
      </c>
      <c r="BL209" s="29">
        <f t="shared" si="198"/>
        <v>116780.24973233358</v>
      </c>
      <c r="BM209" s="29">
        <f t="shared" si="198"/>
        <v>122207.94470899977</v>
      </c>
      <c r="BN209" s="29">
        <f t="shared" si="198"/>
        <v>127887.90728080513</v>
      </c>
      <c r="BO209" s="29">
        <f t="shared" si="198"/>
        <v>133831.86230329715</v>
      </c>
      <c r="BP209" s="29">
        <f t="shared" si="198"/>
        <v>140052.07957810545</v>
      </c>
      <c r="BQ209" s="29">
        <f t="shared" si="198"/>
        <v>146561.39918086416</v>
      </c>
      <c r="BR209" s="29">
        <f t="shared" si="198"/>
        <v>153373.25796632189</v>
      </c>
      <c r="BS209" s="29">
        <f t="shared" si="198"/>
        <v>160501.7173053521</v>
      </c>
    </row>
    <row r="210" spans="1:71" x14ac:dyDescent="0.2">
      <c r="A210" s="2" t="s">
        <v>653</v>
      </c>
      <c r="B210" s="2" t="s">
        <v>654</v>
      </c>
      <c r="C210" s="11" t="s">
        <v>79</v>
      </c>
      <c r="D210" s="26">
        <f>'Growth calculation'!G211</f>
        <v>1.244E-2</v>
      </c>
      <c r="E210" s="27">
        <v>54550</v>
      </c>
      <c r="F210" s="12">
        <v>2025</v>
      </c>
      <c r="G210" s="28" t="s">
        <v>412</v>
      </c>
      <c r="H210" s="27">
        <v>12730</v>
      </c>
      <c r="I210" s="27">
        <v>16120</v>
      </c>
      <c r="J210" s="27">
        <v>17390</v>
      </c>
      <c r="K210" s="27">
        <v>18640</v>
      </c>
      <c r="L210" s="27">
        <v>19450</v>
      </c>
      <c r="M210" s="27">
        <v>21690</v>
      </c>
      <c r="N210" s="27">
        <v>21650</v>
      </c>
      <c r="O210" s="27">
        <v>22210</v>
      </c>
      <c r="P210" s="27">
        <v>21360</v>
      </c>
      <c r="Q210" s="27">
        <v>22970</v>
      </c>
      <c r="R210" s="27">
        <v>25630</v>
      </c>
      <c r="S210" s="27">
        <v>27040</v>
      </c>
      <c r="T210" s="27">
        <v>28210</v>
      </c>
      <c r="U210" s="27">
        <v>29550</v>
      </c>
      <c r="V210" s="27">
        <v>29190</v>
      </c>
      <c r="W210" s="27">
        <v>29260</v>
      </c>
      <c r="X210" s="27">
        <v>32370</v>
      </c>
      <c r="Y210" s="27">
        <v>37910</v>
      </c>
      <c r="Z210" s="27">
        <v>42840</v>
      </c>
      <c r="AA210" s="27">
        <v>44960</v>
      </c>
      <c r="AB210" s="27">
        <v>47640</v>
      </c>
      <c r="AC210" s="27">
        <v>48720</v>
      </c>
      <c r="AD210" s="27">
        <v>44370</v>
      </c>
      <c r="AE210" s="27">
        <v>42010</v>
      </c>
      <c r="AF210" s="27">
        <v>41240</v>
      </c>
      <c r="AG210" s="27">
        <v>41940</v>
      </c>
      <c r="AH210" s="27">
        <v>42960</v>
      </c>
      <c r="AI210" s="27">
        <v>44780</v>
      </c>
      <c r="AJ210" s="27">
        <v>44630</v>
      </c>
      <c r="AK210" s="27">
        <v>43310</v>
      </c>
      <c r="AL210" s="27">
        <v>42140</v>
      </c>
      <c r="AM210" s="27">
        <v>42540</v>
      </c>
      <c r="AN210" s="27">
        <v>43640</v>
      </c>
      <c r="AO210" s="27">
        <v>39350</v>
      </c>
      <c r="AP210" s="27">
        <v>45880</v>
      </c>
      <c r="AQ210" s="27">
        <v>49690</v>
      </c>
      <c r="AR210" s="27">
        <v>48800</v>
      </c>
      <c r="AS210" s="27">
        <v>49320</v>
      </c>
      <c r="AT210" s="27">
        <v>54550</v>
      </c>
      <c r="AU210" s="29">
        <f t="shared" si="183"/>
        <v>55228.601999999999</v>
      </c>
      <c r="AV210" s="29">
        <f t="shared" ref="AV210:BS210" si="199">AU210*(1+$D210)</f>
        <v>55915.645808879999</v>
      </c>
      <c r="AW210" s="29">
        <f t="shared" si="199"/>
        <v>56611.236442742469</v>
      </c>
      <c r="AX210" s="29">
        <f t="shared" si="199"/>
        <v>57315.480224090184</v>
      </c>
      <c r="AY210" s="29">
        <f t="shared" si="199"/>
        <v>58028.484798077865</v>
      </c>
      <c r="AZ210" s="29">
        <f t="shared" si="199"/>
        <v>58750.359148965952</v>
      </c>
      <c r="BA210" s="29">
        <f t="shared" si="199"/>
        <v>59481.213616779089</v>
      </c>
      <c r="BB210" s="29">
        <f t="shared" si="199"/>
        <v>60221.159914171818</v>
      </c>
      <c r="BC210" s="29">
        <f t="shared" si="199"/>
        <v>60970.311143504114</v>
      </c>
      <c r="BD210" s="29">
        <f t="shared" si="199"/>
        <v>61728.781814129303</v>
      </c>
      <c r="BE210" s="29">
        <f t="shared" si="199"/>
        <v>62496.687859897072</v>
      </c>
      <c r="BF210" s="29">
        <f t="shared" si="199"/>
        <v>63274.146656874189</v>
      </c>
      <c r="BG210" s="29">
        <f t="shared" si="199"/>
        <v>64061.277041285706</v>
      </c>
      <c r="BH210" s="29">
        <f t="shared" si="199"/>
        <v>64858.1993276793</v>
      </c>
      <c r="BI210" s="29">
        <f t="shared" si="199"/>
        <v>65665.035327315636</v>
      </c>
      <c r="BJ210" s="29">
        <f t="shared" si="199"/>
        <v>66481.908366787437</v>
      </c>
      <c r="BK210" s="29">
        <f t="shared" si="199"/>
        <v>67308.943306870278</v>
      </c>
      <c r="BL210" s="29">
        <f t="shared" si="199"/>
        <v>68146.266561607743</v>
      </c>
      <c r="BM210" s="29">
        <f t="shared" si="199"/>
        <v>68994.006117634141</v>
      </c>
      <c r="BN210" s="29">
        <f t="shared" si="199"/>
        <v>69852.291553737508</v>
      </c>
      <c r="BO210" s="29">
        <f t="shared" si="199"/>
        <v>70721.254060666004</v>
      </c>
      <c r="BP210" s="29">
        <f t="shared" si="199"/>
        <v>71601.026461180692</v>
      </c>
      <c r="BQ210" s="29">
        <f t="shared" si="199"/>
        <v>72491.743230357781</v>
      </c>
      <c r="BR210" s="29">
        <f t="shared" si="199"/>
        <v>73393.540516143432</v>
      </c>
      <c r="BS210" s="29">
        <f t="shared" si="199"/>
        <v>74306.556160164255</v>
      </c>
    </row>
    <row r="211" spans="1:71" x14ac:dyDescent="0.2">
      <c r="A211" s="2" t="s">
        <v>655</v>
      </c>
      <c r="B211" s="2" t="s">
        <v>656</v>
      </c>
      <c r="C211" s="11" t="s">
        <v>79</v>
      </c>
      <c r="D211" s="26">
        <f>'Growth calculation'!G212</f>
        <v>4.0719691558493087E-2</v>
      </c>
      <c r="E211" s="27">
        <v>88810</v>
      </c>
      <c r="F211" s="12">
        <v>2025</v>
      </c>
      <c r="G211" s="2" t="s">
        <v>162</v>
      </c>
      <c r="H211" s="27">
        <v>21390</v>
      </c>
      <c r="I211" s="27">
        <v>23490</v>
      </c>
      <c r="J211" s="27">
        <v>23770</v>
      </c>
      <c r="K211" s="27">
        <v>24060</v>
      </c>
      <c r="L211" s="27">
        <v>24270</v>
      </c>
      <c r="M211" s="27">
        <v>25680</v>
      </c>
      <c r="N211" s="27">
        <v>26390</v>
      </c>
      <c r="O211" s="27">
        <v>27660</v>
      </c>
      <c r="P211" s="27">
        <v>29040</v>
      </c>
      <c r="Q211" s="27">
        <v>30270</v>
      </c>
      <c r="R211" s="27">
        <v>31280</v>
      </c>
      <c r="S211" s="27">
        <v>32040</v>
      </c>
      <c r="T211" s="27">
        <v>33680</v>
      </c>
      <c r="U211" s="27">
        <v>35960</v>
      </c>
      <c r="V211" s="27">
        <v>36710</v>
      </c>
      <c r="W211" s="27">
        <v>37320</v>
      </c>
      <c r="X211" s="27">
        <v>39770</v>
      </c>
      <c r="Y211" s="27">
        <v>43520</v>
      </c>
      <c r="Z211" s="27">
        <v>46190</v>
      </c>
      <c r="AA211" s="27">
        <v>47850</v>
      </c>
      <c r="AB211" s="27">
        <v>48530</v>
      </c>
      <c r="AC211" s="27">
        <v>49110</v>
      </c>
      <c r="AD211" s="27">
        <v>47910</v>
      </c>
      <c r="AE211" s="27">
        <v>49180</v>
      </c>
      <c r="AF211" s="27">
        <v>50620</v>
      </c>
      <c r="AG211" s="27">
        <v>52610</v>
      </c>
      <c r="AH211" s="27">
        <v>53750</v>
      </c>
      <c r="AI211" s="27">
        <v>55520</v>
      </c>
      <c r="AJ211" s="27">
        <v>56320</v>
      </c>
      <c r="AK211" s="27">
        <v>56830</v>
      </c>
      <c r="AL211" s="27">
        <v>58860</v>
      </c>
      <c r="AM211" s="27">
        <v>63040</v>
      </c>
      <c r="AN211" s="27">
        <v>65840</v>
      </c>
      <c r="AO211" s="27">
        <v>64630</v>
      </c>
      <c r="AP211" s="27">
        <v>71510</v>
      </c>
      <c r="AQ211" s="27">
        <v>77230</v>
      </c>
      <c r="AR211" s="27">
        <v>79950</v>
      </c>
      <c r="AS211" s="27">
        <v>82910</v>
      </c>
      <c r="AT211" s="27">
        <v>88810</v>
      </c>
      <c r="AU211" s="29">
        <f t="shared" si="183"/>
        <v>92426.315807309773</v>
      </c>
      <c r="AV211" s="29">
        <f t="shared" ref="AV211:BS211" si="200">AU211*(1+$D211)</f>
        <v>96189.886878871301</v>
      </c>
      <c r="AW211" s="29">
        <f t="shared" si="200"/>
        <v>100106.70940362528</v>
      </c>
      <c r="AX211" s="29">
        <f t="shared" si="200"/>
        <v>104183.0237334766</v>
      </c>
      <c r="AY211" s="29">
        <f t="shared" si="200"/>
        <v>108425.32432553494</v>
      </c>
      <c r="AZ211" s="29">
        <f t="shared" si="200"/>
        <v>112840.3700892003</v>
      </c>
      <c r="BA211" s="29">
        <f t="shared" si="200"/>
        <v>117435.19515457875</v>
      </c>
      <c r="BB211" s="29">
        <f t="shared" si="200"/>
        <v>122217.12007938464</v>
      </c>
      <c r="BC211" s="29">
        <f t="shared" si="200"/>
        <v>127193.76351218449</v>
      </c>
      <c r="BD211" s="29">
        <f t="shared" si="200"/>
        <v>132373.05433056457</v>
      </c>
      <c r="BE211" s="29">
        <f t="shared" si="200"/>
        <v>137763.24427356082</v>
      </c>
      <c r="BF211" s="29">
        <f t="shared" si="200"/>
        <v>143372.92108847757</v>
      </c>
      <c r="BG211" s="29">
        <f t="shared" si="200"/>
        <v>149211.02221304053</v>
      </c>
      <c r="BH211" s="29">
        <f t="shared" si="200"/>
        <v>155286.84901468302</v>
      </c>
      <c r="BI211" s="29">
        <f t="shared" si="200"/>
        <v>161610.08160965118</v>
      </c>
      <c r="BJ211" s="29">
        <f t="shared" si="200"/>
        <v>168190.79428553907</v>
      </c>
      <c r="BK211" s="29">
        <f t="shared" si="200"/>
        <v>175039.47155182419</v>
      </c>
      <c r="BL211" s="29">
        <f t="shared" si="200"/>
        <v>182167.02484397611</v>
      </c>
      <c r="BM211" s="29">
        <f t="shared" si="200"/>
        <v>189584.80990775116</v>
      </c>
      <c r="BN211" s="29">
        <f t="shared" si="200"/>
        <v>197304.64489137032</v>
      </c>
      <c r="BO211" s="29">
        <f t="shared" si="200"/>
        <v>205338.82917440493</v>
      </c>
      <c r="BP211" s="29">
        <f t="shared" si="200"/>
        <v>213700.16296336881</v>
      </c>
      <c r="BQ211" s="29">
        <f t="shared" si="200"/>
        <v>222401.96768523689</v>
      </c>
      <c r="BR211" s="29">
        <f t="shared" si="200"/>
        <v>231458.10721138169</v>
      </c>
      <c r="BS211" s="29">
        <f t="shared" si="200"/>
        <v>240883.00994574177</v>
      </c>
    </row>
    <row r="212" spans="1:71" x14ac:dyDescent="0.2">
      <c r="A212" s="2" t="s">
        <v>657</v>
      </c>
      <c r="B212" s="2" t="s">
        <v>658</v>
      </c>
      <c r="C212" s="11" t="s">
        <v>79</v>
      </c>
      <c r="D212" s="26">
        <f>'Growth calculation'!G213</f>
        <v>4.8797745519422508E-2</v>
      </c>
      <c r="E212" s="27">
        <v>24020</v>
      </c>
      <c r="F212" s="12">
        <v>2025</v>
      </c>
      <c r="G212" s="2" t="s">
        <v>162</v>
      </c>
      <c r="H212" s="27">
        <v>2210</v>
      </c>
      <c r="I212" s="27">
        <v>2600</v>
      </c>
      <c r="J212" s="27">
        <v>2730</v>
      </c>
      <c r="K212" s="27">
        <v>2850</v>
      </c>
      <c r="L212" s="27">
        <v>3190</v>
      </c>
      <c r="M212" s="27">
        <v>3850</v>
      </c>
      <c r="N212" s="27">
        <v>4380</v>
      </c>
      <c r="O212" s="27">
        <v>5080</v>
      </c>
      <c r="P212" s="27">
        <v>5590</v>
      </c>
      <c r="Q212" s="27">
        <v>6240</v>
      </c>
      <c r="R212" s="27">
        <v>7080</v>
      </c>
      <c r="S212" s="27">
        <v>7360</v>
      </c>
      <c r="T212" s="27">
        <v>7400</v>
      </c>
      <c r="U212" s="27">
        <v>7180</v>
      </c>
      <c r="V212" s="27">
        <v>6610</v>
      </c>
      <c r="W212" s="27">
        <v>5210</v>
      </c>
      <c r="X212" s="27">
        <v>4300</v>
      </c>
      <c r="Y212" s="27">
        <v>4180</v>
      </c>
      <c r="Z212" s="27">
        <v>4770</v>
      </c>
      <c r="AA212" s="27">
        <v>5470</v>
      </c>
      <c r="AB212" s="27">
        <v>6510</v>
      </c>
      <c r="AC212" s="27">
        <v>7930</v>
      </c>
      <c r="AD212" s="27">
        <v>9140</v>
      </c>
      <c r="AE212" s="27">
        <v>10930</v>
      </c>
      <c r="AF212" s="27">
        <v>12730</v>
      </c>
      <c r="AG212" s="27">
        <v>14230</v>
      </c>
      <c r="AH212" s="27">
        <v>16480</v>
      </c>
      <c r="AI212" s="27">
        <v>17140</v>
      </c>
      <c r="AJ212" s="27">
        <v>17070</v>
      </c>
      <c r="AK212" s="27">
        <v>16490</v>
      </c>
      <c r="AL212" s="27">
        <v>16720</v>
      </c>
      <c r="AM212" s="27">
        <v>17700</v>
      </c>
      <c r="AN212" s="27">
        <v>18390</v>
      </c>
      <c r="AO212" s="27">
        <v>16130</v>
      </c>
      <c r="AP212" s="27">
        <v>16220</v>
      </c>
      <c r="AQ212" s="27">
        <v>18050</v>
      </c>
      <c r="AR212" s="27">
        <v>20070</v>
      </c>
      <c r="AS212" s="27">
        <v>22000</v>
      </c>
      <c r="AT212" s="27">
        <v>24020</v>
      </c>
      <c r="AU212" s="29">
        <f t="shared" si="183"/>
        <v>25192.121847376533</v>
      </c>
      <c r="AV212" s="29">
        <f t="shared" ref="AV212:BS212" si="201">AU212*(1+$D212)</f>
        <v>26421.4405983791</v>
      </c>
      <c r="AW212" s="29">
        <f t="shared" si="201"/>
        <v>27710.747332955343</v>
      </c>
      <c r="AX212" s="29">
        <f t="shared" si="201"/>
        <v>29062.969329461917</v>
      </c>
      <c r="AY212" s="29">
        <f t="shared" si="201"/>
        <v>30481.176710839783</v>
      </c>
      <c r="AZ212" s="29">
        <f t="shared" si="201"/>
        <v>31968.589415107894</v>
      </c>
      <c r="BA212" s="29">
        <f t="shared" si="201"/>
        <v>33528.584506001236</v>
      </c>
      <c r="BB212" s="29">
        <f t="shared" si="201"/>
        <v>35164.70384035154</v>
      </c>
      <c r="BC212" s="29">
        <f t="shared" si="201"/>
        <v>36880.662109618876</v>
      </c>
      <c r="BD212" s="29">
        <f t="shared" si="201"/>
        <v>38680.355273831869</v>
      </c>
      <c r="BE212" s="29">
        <f t="shared" si="201"/>
        <v>40567.869407085171</v>
      </c>
      <c r="BF212" s="29">
        <f t="shared" si="201"/>
        <v>42547.489974677286</v>
      </c>
      <c r="BG212" s="29">
        <f t="shared" si="201"/>
        <v>44623.711562951772</v>
      </c>
      <c r="BH212" s="29">
        <f t="shared" si="201"/>
        <v>46801.248083932813</v>
      </c>
      <c r="BI212" s="29">
        <f t="shared" si="201"/>
        <v>49085.043477923929</v>
      </c>
      <c r="BJ212" s="29">
        <f t="shared" si="201"/>
        <v>51480.282938369455</v>
      </c>
      <c r="BK212" s="29">
        <f t="shared" si="201"/>
        <v>53992.40468446388</v>
      </c>
      <c r="BL212" s="29">
        <f t="shared" si="201"/>
        <v>56627.112308238029</v>
      </c>
      <c r="BM212" s="29">
        <f t="shared" si="201"/>
        <v>59390.387724155196</v>
      </c>
      <c r="BN212" s="29">
        <f t="shared" si="201"/>
        <v>62288.504750618362</v>
      </c>
      <c r="BO212" s="29">
        <f t="shared" si="201"/>
        <v>65328.043354224385</v>
      </c>
      <c r="BP212" s="29">
        <f t="shared" si="201"/>
        <v>68515.90458910563</v>
      </c>
      <c r="BQ212" s="29">
        <f t="shared" si="201"/>
        <v>71859.32626527785</v>
      </c>
      <c r="BR212" s="29">
        <f t="shared" si="201"/>
        <v>75365.899381568044</v>
      </c>
      <c r="BS212" s="29">
        <f t="shared" si="201"/>
        <v>79043.585360432218</v>
      </c>
    </row>
    <row r="213" spans="1:71" x14ac:dyDescent="0.2">
      <c r="A213" s="2" t="s">
        <v>659</v>
      </c>
      <c r="B213" s="2" t="s">
        <v>660</v>
      </c>
      <c r="C213" s="11" t="s">
        <v>210</v>
      </c>
      <c r="D213" s="26">
        <f>'Growth calculation'!G214</f>
        <v>5.9082043008163443E-2</v>
      </c>
      <c r="E213" s="27">
        <v>3670</v>
      </c>
      <c r="F213" s="12">
        <v>2025</v>
      </c>
      <c r="G213" s="2" t="s">
        <v>162</v>
      </c>
      <c r="H213" s="27"/>
      <c r="I213" s="27"/>
      <c r="J213" s="27"/>
      <c r="K213" s="27">
        <v>630</v>
      </c>
      <c r="L213" s="27">
        <v>650</v>
      </c>
      <c r="M213" s="27">
        <v>600</v>
      </c>
      <c r="N213" s="27">
        <v>590</v>
      </c>
      <c r="O213" s="27">
        <v>570</v>
      </c>
      <c r="P213" s="27">
        <v>580</v>
      </c>
      <c r="Q213" s="27">
        <v>590</v>
      </c>
      <c r="R213" s="27">
        <v>610</v>
      </c>
      <c r="S213" s="27">
        <v>610</v>
      </c>
      <c r="T213" s="27">
        <v>650</v>
      </c>
      <c r="U213" s="27">
        <v>620</v>
      </c>
      <c r="V213" s="27">
        <v>550</v>
      </c>
      <c r="W213" s="27">
        <v>450</v>
      </c>
      <c r="X213" s="27">
        <v>420</v>
      </c>
      <c r="Y213" s="27">
        <v>460</v>
      </c>
      <c r="Z213" s="27">
        <v>520</v>
      </c>
      <c r="AA213" s="27">
        <v>600</v>
      </c>
      <c r="AB213" s="27">
        <v>760</v>
      </c>
      <c r="AC213" s="27">
        <v>970</v>
      </c>
      <c r="AD213" s="27">
        <v>1150</v>
      </c>
      <c r="AE213" s="27">
        <v>1460</v>
      </c>
      <c r="AF213" s="27">
        <v>1880</v>
      </c>
      <c r="AG213" s="27">
        <v>2460</v>
      </c>
      <c r="AH213" s="27">
        <v>2780</v>
      </c>
      <c r="AI213" s="27">
        <v>3000</v>
      </c>
      <c r="AJ213" s="27">
        <v>3170</v>
      </c>
      <c r="AK213" s="27">
        <v>3230</v>
      </c>
      <c r="AL213" s="27">
        <v>2890</v>
      </c>
      <c r="AM213" s="27">
        <v>2490</v>
      </c>
      <c r="AN213" s="27">
        <v>2240</v>
      </c>
      <c r="AO213" s="27">
        <v>2090</v>
      </c>
      <c r="AP213" s="27">
        <v>2360</v>
      </c>
      <c r="AQ213" s="27">
        <v>2620</v>
      </c>
      <c r="AR213" s="27">
        <v>2880</v>
      </c>
      <c r="AS213" s="27">
        <v>3170</v>
      </c>
      <c r="AT213" s="27">
        <v>3670</v>
      </c>
      <c r="AU213" s="29">
        <f t="shared" si="183"/>
        <v>3886.8310978399595</v>
      </c>
      <c r="AV213" s="29">
        <f t="shared" ref="AV213:BS213" si="202">AU213*(1+$D213)</f>
        <v>4116.4730199280066</v>
      </c>
      <c r="AW213" s="29">
        <f t="shared" si="202"/>
        <v>4359.6826559333367</v>
      </c>
      <c r="AX213" s="29">
        <f t="shared" si="202"/>
        <v>4617.2616141131339</v>
      </c>
      <c r="AY213" s="29">
        <f t="shared" si="202"/>
        <v>4890.0588633781081</v>
      </c>
      <c r="AZ213" s="29">
        <f t="shared" si="202"/>
        <v>5178.9735314566642</v>
      </c>
      <c r="BA213" s="29">
        <f t="shared" si="202"/>
        <v>5484.9578683803265</v>
      </c>
      <c r="BB213" s="29">
        <f t="shared" si="202"/>
        <v>5809.0203850579364</v>
      </c>
      <c r="BC213" s="29">
        <f t="shared" si="202"/>
        <v>6152.2291772832268</v>
      </c>
      <c r="BD213" s="29">
        <f t="shared" si="202"/>
        <v>6515.7154461315513</v>
      </c>
      <c r="BE213" s="29">
        <f t="shared" si="202"/>
        <v>6900.6772263488501</v>
      </c>
      <c r="BF213" s="29">
        <f t="shared" si="202"/>
        <v>7308.3833350214463</v>
      </c>
      <c r="BG213" s="29">
        <f t="shared" si="202"/>
        <v>7740.1775535413271</v>
      </c>
      <c r="BH213" s="29">
        <f t="shared" si="202"/>
        <v>8197.483056650477</v>
      </c>
      <c r="BI213" s="29">
        <f t="shared" si="202"/>
        <v>8681.8071031621912</v>
      </c>
      <c r="BJ213" s="29">
        <f t="shared" si="202"/>
        <v>9194.7460038197969</v>
      </c>
      <c r="BK213" s="29">
        <f t="shared" si="202"/>
        <v>9737.9903826666159</v>
      </c>
      <c r="BL213" s="29">
        <f t="shared" si="202"/>
        <v>10313.330749268405</v>
      </c>
      <c r="BM213" s="29">
        <f t="shared" si="202"/>
        <v>10922.663400154095</v>
      </c>
      <c r="BN213" s="29">
        <f t="shared" si="202"/>
        <v>11567.996668925691</v>
      </c>
      <c r="BO213" s="29">
        <f t="shared" si="202"/>
        <v>12251.457545637448</v>
      </c>
      <c r="BP213" s="29">
        <f t="shared" si="202"/>
        <v>12975.298687261487</v>
      </c>
      <c r="BQ213" s="29">
        <f t="shared" si="202"/>
        <v>13741.905842346036</v>
      </c>
      <c r="BR213" s="29">
        <f t="shared" si="202"/>
        <v>14553.805714337655</v>
      </c>
      <c r="BS213" s="29">
        <f t="shared" si="202"/>
        <v>15413.674289484607</v>
      </c>
    </row>
    <row r="214" spans="1:71" x14ac:dyDescent="0.2">
      <c r="A214" s="2" t="s">
        <v>661</v>
      </c>
      <c r="B214" s="2" t="s">
        <v>662</v>
      </c>
      <c r="C214" s="11" t="s">
        <v>210</v>
      </c>
      <c r="D214" s="26">
        <f>'Growth calculation'!G215</f>
        <v>5.0453040007846117E-2</v>
      </c>
      <c r="E214" s="27">
        <v>4410</v>
      </c>
      <c r="F214" s="12">
        <v>2025</v>
      </c>
      <c r="G214" s="2" t="s">
        <v>162</v>
      </c>
      <c r="H214" s="27">
        <v>890</v>
      </c>
      <c r="I214" s="27">
        <v>980</v>
      </c>
      <c r="J214" s="27">
        <v>1100</v>
      </c>
      <c r="K214" s="27">
        <v>1220</v>
      </c>
      <c r="L214" s="27">
        <v>1110</v>
      </c>
      <c r="M214" s="27">
        <v>1140</v>
      </c>
      <c r="N214" s="27">
        <v>1160</v>
      </c>
      <c r="O214" s="27">
        <v>1210</v>
      </c>
      <c r="P214" s="27">
        <v>1250</v>
      </c>
      <c r="Q214" s="27">
        <v>1340</v>
      </c>
      <c r="R214" s="27">
        <v>1400</v>
      </c>
      <c r="S214" s="27">
        <v>1450</v>
      </c>
      <c r="T214" s="27">
        <v>1430</v>
      </c>
      <c r="U214" s="27">
        <v>1420</v>
      </c>
      <c r="V214" s="27">
        <v>1360</v>
      </c>
      <c r="W214" s="27">
        <v>1210</v>
      </c>
      <c r="X214" s="27">
        <v>1350</v>
      </c>
      <c r="Y214" s="27">
        <v>1580</v>
      </c>
      <c r="Z214" s="27">
        <v>1770</v>
      </c>
      <c r="AA214" s="27">
        <v>1980</v>
      </c>
      <c r="AB214" s="27">
        <v>2080</v>
      </c>
      <c r="AC214" s="27">
        <v>2430</v>
      </c>
      <c r="AD214" s="27">
        <v>2500</v>
      </c>
      <c r="AE214" s="27">
        <v>2580</v>
      </c>
      <c r="AF214" s="27">
        <v>2790</v>
      </c>
      <c r="AG214" s="27">
        <v>2840</v>
      </c>
      <c r="AH214" s="27">
        <v>3160</v>
      </c>
      <c r="AI214" s="27">
        <v>3330</v>
      </c>
      <c r="AJ214" s="27">
        <v>3400</v>
      </c>
      <c r="AK214" s="27">
        <v>3390</v>
      </c>
      <c r="AL214" s="27">
        <v>3550</v>
      </c>
      <c r="AM214" s="27">
        <v>3910</v>
      </c>
      <c r="AN214" s="27">
        <v>4120</v>
      </c>
      <c r="AO214" s="27">
        <v>3740</v>
      </c>
      <c r="AP214" s="27">
        <v>3990</v>
      </c>
      <c r="AQ214" s="27">
        <v>4340</v>
      </c>
      <c r="AR214" s="27">
        <v>4210</v>
      </c>
      <c r="AS214" s="27">
        <v>4130</v>
      </c>
      <c r="AT214" s="27">
        <v>4410</v>
      </c>
      <c r="AU214" s="29">
        <f t="shared" si="183"/>
        <v>4632.4979064346007</v>
      </c>
      <c r="AV214" s="29">
        <f t="shared" ref="AV214:BS214" si="203">AU214*(1+$D214)</f>
        <v>4866.2215086442084</v>
      </c>
      <c r="AW214" s="29">
        <f t="shared" si="203"/>
        <v>5111.7371771068756</v>
      </c>
      <c r="AX214" s="29">
        <f t="shared" si="203"/>
        <v>5369.6398574130426</v>
      </c>
      <c r="AY214" s="29">
        <f t="shared" si="203"/>
        <v>5640.5545119668277</v>
      </c>
      <c r="AZ214" s="29">
        <f t="shared" si="203"/>
        <v>5925.1376344255268</v>
      </c>
      <c r="BA214" s="29">
        <f t="shared" si="203"/>
        <v>6224.0788405471922</v>
      </c>
      <c r="BB214" s="29">
        <f t="shared" si="203"/>
        <v>6538.1025393013078</v>
      </c>
      <c r="BC214" s="29">
        <f t="shared" si="203"/>
        <v>6867.9696882920762</v>
      </c>
      <c r="BD214" s="29">
        <f t="shared" si="203"/>
        <v>7214.4796377481498</v>
      </c>
      <c r="BE214" s="29">
        <f t="shared" si="203"/>
        <v>7578.4720675472472</v>
      </c>
      <c r="BF214" s="29">
        <f t="shared" si="203"/>
        <v>7960.8290219695518</v>
      </c>
      <c r="BG214" s="29">
        <f t="shared" si="203"/>
        <v>8362.477047110604</v>
      </c>
      <c r="BH214" s="29">
        <f t="shared" si="203"/>
        <v>8784.3894361331695</v>
      </c>
      <c r="BI214" s="29">
        <f t="shared" si="203"/>
        <v>9227.5885877988967</v>
      </c>
      <c r="BJ214" s="29">
        <f t="shared" si="203"/>
        <v>9693.1484839950572</v>
      </c>
      <c r="BK214" s="29">
        <f t="shared" si="203"/>
        <v>10182.197292260053</v>
      </c>
      <c r="BL214" s="29">
        <f t="shared" si="203"/>
        <v>10695.92009961423</v>
      </c>
      <c r="BM214" s="29">
        <f t="shared" si="203"/>
        <v>11235.561784320791</v>
      </c>
      <c r="BN214" s="29">
        <f t="shared" si="203"/>
        <v>11802.430032535754</v>
      </c>
      <c r="BO214" s="29">
        <f t="shared" si="203"/>
        <v>12397.898507157084</v>
      </c>
      <c r="BP214" s="29">
        <f t="shared" si="203"/>
        <v>13023.410176551895</v>
      </c>
      <c r="BQ214" s="29">
        <f t="shared" si="203"/>
        <v>13680.480811228057</v>
      </c>
      <c r="BR214" s="29">
        <f t="shared" si="203"/>
        <v>14370.702656923515</v>
      </c>
      <c r="BS214" s="29">
        <f t="shared" si="203"/>
        <v>15095.748293014136</v>
      </c>
    </row>
    <row r="215" spans="1:71" x14ac:dyDescent="0.2">
      <c r="A215" s="2" t="s">
        <v>663</v>
      </c>
      <c r="B215" s="2" t="s">
        <v>664</v>
      </c>
      <c r="C215" s="11" t="s">
        <v>210</v>
      </c>
      <c r="D215" s="26">
        <f>'Growth calculation'!G216</f>
        <v>1.244E-2</v>
      </c>
      <c r="E215" s="27">
        <v>3860</v>
      </c>
      <c r="F215" s="12">
        <v>2025</v>
      </c>
      <c r="G215" s="28" t="s">
        <v>665</v>
      </c>
      <c r="H215" s="27">
        <v>3350</v>
      </c>
      <c r="I215" s="27">
        <v>3390</v>
      </c>
      <c r="J215" s="27">
        <v>2450</v>
      </c>
      <c r="K215" s="27">
        <v>2600</v>
      </c>
      <c r="L215" s="27">
        <v>2670</v>
      </c>
      <c r="M215" s="27">
        <v>2840</v>
      </c>
      <c r="N215" s="27">
        <v>2820</v>
      </c>
      <c r="O215" s="27">
        <v>2710</v>
      </c>
      <c r="P215" s="27">
        <v>3010</v>
      </c>
      <c r="Q215" s="27">
        <v>3060</v>
      </c>
      <c r="R215" s="27">
        <v>3420</v>
      </c>
      <c r="S215" s="27">
        <v>3380</v>
      </c>
      <c r="T215" s="27">
        <v>3530</v>
      </c>
      <c r="U215" s="27">
        <v>4060</v>
      </c>
      <c r="V215" s="27">
        <v>4540</v>
      </c>
      <c r="W215" s="27">
        <v>3940</v>
      </c>
      <c r="X215" s="27">
        <v>3450</v>
      </c>
      <c r="Y215" s="27">
        <v>4050</v>
      </c>
      <c r="Z215" s="27">
        <v>4910</v>
      </c>
      <c r="AA215" s="27">
        <v>6040</v>
      </c>
      <c r="AB215" s="27">
        <v>7520</v>
      </c>
      <c r="AC215" s="27">
        <v>9260</v>
      </c>
      <c r="AD215" s="27">
        <v>10240</v>
      </c>
      <c r="AE215" s="27">
        <v>11650</v>
      </c>
      <c r="AF215" s="27">
        <v>11850</v>
      </c>
      <c r="AG215" s="27">
        <v>12480</v>
      </c>
      <c r="AH215" s="27">
        <v>10330</v>
      </c>
      <c r="AI215" s="27">
        <v>8380</v>
      </c>
      <c r="AJ215" s="27">
        <v>5280</v>
      </c>
      <c r="AK215" s="27">
        <v>3680</v>
      </c>
      <c r="AL215" s="27">
        <v>2950</v>
      </c>
      <c r="AM215" s="27">
        <v>2800</v>
      </c>
      <c r="AN215" s="27">
        <v>2370</v>
      </c>
      <c r="AO215" s="27">
        <v>1670</v>
      </c>
      <c r="AP215" s="27">
        <v>1790</v>
      </c>
      <c r="AQ215" s="27">
        <v>2260</v>
      </c>
      <c r="AR215" s="27">
        <v>3040</v>
      </c>
      <c r="AS215" s="27">
        <v>3840</v>
      </c>
      <c r="AT215" s="27">
        <v>3860</v>
      </c>
      <c r="AU215" s="29">
        <f t="shared" si="183"/>
        <v>3908.0183999999999</v>
      </c>
      <c r="AV215" s="29">
        <f t="shared" ref="AV215:BS215" si="204">AU215*(1+$D215)</f>
        <v>3956.6341488960002</v>
      </c>
      <c r="AW215" s="29">
        <f t="shared" si="204"/>
        <v>4005.8546777082665</v>
      </c>
      <c r="AX215" s="29">
        <f t="shared" si="204"/>
        <v>4055.6875098989576</v>
      </c>
      <c r="AY215" s="29">
        <f t="shared" si="204"/>
        <v>4106.1402625221008</v>
      </c>
      <c r="AZ215" s="29">
        <f t="shared" si="204"/>
        <v>4157.2206473878759</v>
      </c>
      <c r="BA215" s="29">
        <f t="shared" si="204"/>
        <v>4208.9364722413811</v>
      </c>
      <c r="BB215" s="29">
        <f t="shared" si="204"/>
        <v>4261.2956419560642</v>
      </c>
      <c r="BC215" s="29">
        <f t="shared" si="204"/>
        <v>4314.3061597419974</v>
      </c>
      <c r="BD215" s="29">
        <f t="shared" si="204"/>
        <v>4367.9761283691878</v>
      </c>
      <c r="BE215" s="29">
        <f t="shared" si="204"/>
        <v>4422.3137514061009</v>
      </c>
      <c r="BF215" s="29">
        <f t="shared" si="204"/>
        <v>4477.3273344735926</v>
      </c>
      <c r="BG215" s="29">
        <f t="shared" si="204"/>
        <v>4533.0252865144439</v>
      </c>
      <c r="BH215" s="29">
        <f t="shared" si="204"/>
        <v>4589.4161210786833</v>
      </c>
      <c r="BI215" s="29">
        <f t="shared" si="204"/>
        <v>4646.5084576249019</v>
      </c>
      <c r="BJ215" s="29">
        <f t="shared" si="204"/>
        <v>4704.3110228377554</v>
      </c>
      <c r="BK215" s="29">
        <f t="shared" si="204"/>
        <v>4762.8326519618568</v>
      </c>
      <c r="BL215" s="29">
        <f t="shared" si="204"/>
        <v>4822.0822901522624</v>
      </c>
      <c r="BM215" s="29">
        <f t="shared" si="204"/>
        <v>4882.0689938417563</v>
      </c>
      <c r="BN215" s="29">
        <f t="shared" si="204"/>
        <v>4942.8019321251477</v>
      </c>
      <c r="BO215" s="29">
        <f t="shared" si="204"/>
        <v>5004.2903881607845</v>
      </c>
      <c r="BP215" s="29">
        <f t="shared" si="204"/>
        <v>5066.5437605895049</v>
      </c>
      <c r="BQ215" s="29">
        <f t="shared" si="204"/>
        <v>5129.5715649712383</v>
      </c>
      <c r="BR215" s="29">
        <f t="shared" si="204"/>
        <v>5193.3834352394806</v>
      </c>
      <c r="BS215" s="29">
        <f t="shared" si="204"/>
        <v>5257.98912517386</v>
      </c>
    </row>
    <row r="216" spans="1:71" x14ac:dyDescent="0.2">
      <c r="A216" s="2" t="s">
        <v>666</v>
      </c>
      <c r="B216" s="2" t="s">
        <v>667</v>
      </c>
      <c r="C216" s="11" t="s">
        <v>82</v>
      </c>
      <c r="D216" s="26">
        <f>'Growth calculation'!G217</f>
        <v>6.5708031400966149E-2</v>
      </c>
      <c r="E216" s="27">
        <v>4970</v>
      </c>
      <c r="F216" s="12">
        <v>2025</v>
      </c>
      <c r="G216" s="2" t="s">
        <v>162</v>
      </c>
      <c r="H216" s="27"/>
      <c r="I216" s="27"/>
      <c r="J216" s="27">
        <v>220</v>
      </c>
      <c r="K216" s="27">
        <v>130</v>
      </c>
      <c r="L216" s="27">
        <v>110</v>
      </c>
      <c r="M216" s="27">
        <v>140</v>
      </c>
      <c r="N216" s="27">
        <v>170</v>
      </c>
      <c r="O216" s="27">
        <v>200</v>
      </c>
      <c r="P216" s="27">
        <v>260</v>
      </c>
      <c r="Q216" s="27">
        <v>310</v>
      </c>
      <c r="R216" s="27">
        <v>350</v>
      </c>
      <c r="S216" s="27">
        <v>360</v>
      </c>
      <c r="T216" s="27">
        <v>370</v>
      </c>
      <c r="U216" s="27">
        <v>390</v>
      </c>
      <c r="V216" s="27">
        <v>410</v>
      </c>
      <c r="W216" s="27">
        <v>430</v>
      </c>
      <c r="X216" s="27">
        <v>480</v>
      </c>
      <c r="Y216" s="27">
        <v>550</v>
      </c>
      <c r="Z216" s="27">
        <v>650</v>
      </c>
      <c r="AA216" s="27">
        <v>740</v>
      </c>
      <c r="AB216" s="27">
        <v>860</v>
      </c>
      <c r="AC216" s="27">
        <v>1000</v>
      </c>
      <c r="AD216" s="27">
        <v>1120</v>
      </c>
      <c r="AE216" s="27">
        <v>1370</v>
      </c>
      <c r="AF216" s="27">
        <v>1630</v>
      </c>
      <c r="AG216" s="27">
        <v>1980</v>
      </c>
      <c r="AH216" s="27">
        <v>2200</v>
      </c>
      <c r="AI216" s="27">
        <v>2390</v>
      </c>
      <c r="AJ216" s="27">
        <v>2460</v>
      </c>
      <c r="AK216" s="27">
        <v>2560</v>
      </c>
      <c r="AL216" s="27">
        <v>2680</v>
      </c>
      <c r="AM216" s="27">
        <v>3020</v>
      </c>
      <c r="AN216" s="27">
        <v>3290</v>
      </c>
      <c r="AO216" s="27">
        <v>3400</v>
      </c>
      <c r="AP216" s="27">
        <v>3540</v>
      </c>
      <c r="AQ216" s="27">
        <v>3980</v>
      </c>
      <c r="AR216" s="27">
        <v>4140</v>
      </c>
      <c r="AS216" s="27">
        <v>4490</v>
      </c>
      <c r="AT216" s="27">
        <v>4970</v>
      </c>
      <c r="AU216" s="29">
        <f t="shared" si="183"/>
        <v>5296.5689160628017</v>
      </c>
      <c r="AV216" s="29">
        <f t="shared" ref="AV216:BS216" si="205">AU216*(1+$D216)</f>
        <v>5644.5960327168377</v>
      </c>
      <c r="AW216" s="29">
        <f t="shared" si="205"/>
        <v>6015.4913260803651</v>
      </c>
      <c r="AX216" s="29">
        <f t="shared" si="205"/>
        <v>6410.7574190266932</v>
      </c>
      <c r="AY216" s="29">
        <f t="shared" si="205"/>
        <v>6831.9956688200755</v>
      </c>
      <c r="AZ216" s="29">
        <f t="shared" si="205"/>
        <v>7280.91265475817</v>
      </c>
      <c r="BA216" s="29">
        <f t="shared" si="205"/>
        <v>7759.3270921047115</v>
      </c>
      <c r="BB216" s="29">
        <f t="shared" si="205"/>
        <v>8269.1772003230944</v>
      </c>
      <c r="BC216" s="29">
        <f t="shared" si="205"/>
        <v>8812.5285554620768</v>
      </c>
      <c r="BD216" s="29">
        <f t="shared" si="205"/>
        <v>9391.5824585062892</v>
      </c>
      <c r="BE216" s="29">
        <f t="shared" si="205"/>
        <v>10008.684853594583</v>
      </c>
      <c r="BF216" s="29">
        <f t="shared" si="205"/>
        <v>10666.335832236949</v>
      </c>
      <c r="BG216" s="29">
        <f t="shared" si="205"/>
        <v>11367.199762034825</v>
      </c>
      <c r="BH216" s="29">
        <f t="shared" si="205"/>
        <v>12114.116080939664</v>
      </c>
      <c r="BI216" s="29">
        <f t="shared" si="205"/>
        <v>12910.110800780996</v>
      </c>
      <c r="BJ216" s="29">
        <f t="shared" si="205"/>
        <v>13758.408766668666</v>
      </c>
      <c r="BK216" s="29">
        <f t="shared" si="205"/>
        <v>14662.44672193626</v>
      </c>
      <c r="BL216" s="29">
        <f t="shared" si="205"/>
        <v>15625.88723155624</v>
      </c>
      <c r="BM216" s="29">
        <f t="shared" si="205"/>
        <v>16652.633520435294</v>
      </c>
      <c r="BN216" s="29">
        <f t="shared" si="205"/>
        <v>17746.84528670484</v>
      </c>
      <c r="BO216" s="29">
        <f t="shared" si="205"/>
        <v>18912.95555407173</v>
      </c>
      <c r="BP216" s="29">
        <f t="shared" si="205"/>
        <v>20155.688631503752</v>
      </c>
      <c r="BQ216" s="29">
        <f t="shared" si="205"/>
        <v>21480.079253010696</v>
      </c>
      <c r="BR216" s="29">
        <f t="shared" si="205"/>
        <v>22891.492975062763</v>
      </c>
      <c r="BS216" s="29">
        <f t="shared" si="205"/>
        <v>24395.647914283185</v>
      </c>
    </row>
    <row r="217" spans="1:71" x14ac:dyDescent="0.2">
      <c r="A217" s="2" t="s">
        <v>668</v>
      </c>
      <c r="B217" s="2" t="s">
        <v>669</v>
      </c>
      <c r="C217" s="11" t="s">
        <v>79</v>
      </c>
      <c r="G217" s="28" t="s">
        <v>204</v>
      </c>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row>
    <row r="218" spans="1:71" x14ac:dyDescent="0.2">
      <c r="A218" s="2" t="s">
        <v>670</v>
      </c>
      <c r="B218" s="2" t="s">
        <v>671</v>
      </c>
      <c r="C218" s="11" t="s">
        <v>210</v>
      </c>
      <c r="D218" s="26">
        <f>'Growth calculation'!G219</f>
        <v>3.5181303709914014E-2</v>
      </c>
      <c r="E218" s="27">
        <v>3250</v>
      </c>
      <c r="F218" s="12">
        <v>2025</v>
      </c>
      <c r="G218" s="2" t="s">
        <v>162</v>
      </c>
      <c r="H218" s="27"/>
      <c r="I218" s="27"/>
      <c r="J218" s="27"/>
      <c r="K218" s="27"/>
      <c r="L218" s="27"/>
      <c r="M218" s="27"/>
      <c r="N218" s="27"/>
      <c r="O218" s="27"/>
      <c r="P218" s="27"/>
      <c r="Q218" s="27">
        <v>1470</v>
      </c>
      <c r="R218" s="27">
        <v>1630</v>
      </c>
      <c r="S218" s="27">
        <v>1780</v>
      </c>
      <c r="T218" s="27">
        <v>1800</v>
      </c>
      <c r="U218" s="27">
        <v>1550</v>
      </c>
      <c r="V218" s="27">
        <v>1370</v>
      </c>
      <c r="W218" s="27">
        <v>1190</v>
      </c>
      <c r="X218" s="27">
        <v>1370</v>
      </c>
      <c r="Y218" s="27">
        <v>1640</v>
      </c>
      <c r="Z218" s="27">
        <v>1780</v>
      </c>
      <c r="AA218" s="27">
        <v>1710</v>
      </c>
      <c r="AB218" s="27">
        <v>1790</v>
      </c>
      <c r="AC218" s="27">
        <v>2040</v>
      </c>
      <c r="AD218" s="27">
        <v>2250</v>
      </c>
      <c r="AE218" s="27">
        <v>2510</v>
      </c>
      <c r="AF218" s="27">
        <v>2880</v>
      </c>
      <c r="AG218" s="27">
        <v>3210</v>
      </c>
      <c r="AH218" s="27">
        <v>3470</v>
      </c>
      <c r="AI218" s="27">
        <v>3560</v>
      </c>
      <c r="AJ218" s="27">
        <v>3670</v>
      </c>
      <c r="AK218" s="27">
        <v>3900</v>
      </c>
      <c r="AL218" s="27">
        <v>3930</v>
      </c>
      <c r="AM218" s="27">
        <v>4190</v>
      </c>
      <c r="AN218" s="27">
        <v>4200</v>
      </c>
      <c r="AO218" s="27">
        <v>3700</v>
      </c>
      <c r="AP218" s="27">
        <v>4270</v>
      </c>
      <c r="AQ218" s="27">
        <v>4720</v>
      </c>
      <c r="AR218" s="27">
        <v>4450</v>
      </c>
      <c r="AS218" s="27">
        <v>2980</v>
      </c>
      <c r="AT218" s="27">
        <v>3250</v>
      </c>
      <c r="AU218" s="29">
        <f>$E218*(1+$D218)</f>
        <v>3364.3392370572205</v>
      </c>
      <c r="AV218" s="29">
        <f t="shared" ref="AV218:BS218" si="206">AU218*(1+$D218)</f>
        <v>3482.701077539311</v>
      </c>
      <c r="AW218" s="29">
        <f t="shared" si="206"/>
        <v>3605.2270418790663</v>
      </c>
      <c r="AX218" s="29">
        <f t="shared" si="206"/>
        <v>3732.0636293826087</v>
      </c>
      <c r="AY218" s="29">
        <f t="shared" si="206"/>
        <v>3863.3624933926421</v>
      </c>
      <c r="AZ218" s="29">
        <f t="shared" si="206"/>
        <v>3999.2806226141793</v>
      </c>
      <c r="BA218" s="29">
        <f t="shared" si="206"/>
        <v>4139.980528819543</v>
      </c>
      <c r="BB218" s="29">
        <f t="shared" si="206"/>
        <v>4285.6304411570736</v>
      </c>
      <c r="BC218" s="29">
        <f t="shared" si="206"/>
        <v>4436.4045072958734</v>
      </c>
      <c r="BD218" s="29">
        <f t="shared" si="206"/>
        <v>4592.4830016470805</v>
      </c>
      <c r="BE218" s="29">
        <f t="shared" si="206"/>
        <v>4754.052540910644</v>
      </c>
      <c r="BF218" s="29">
        <f t="shared" si="206"/>
        <v>4921.3063072053101</v>
      </c>
      <c r="BG218" s="29">
        <f t="shared" si="206"/>
        <v>5094.4442790486155</v>
      </c>
      <c r="BH218" s="29">
        <f t="shared" si="206"/>
        <v>5273.6734704630589</v>
      </c>
      <c r="BI218" s="29">
        <f t="shared" si="206"/>
        <v>5459.2081784943357</v>
      </c>
      <c r="BJ218" s="29">
        <f t="shared" si="206"/>
        <v>5651.270239437591</v>
      </c>
      <c r="BK218" s="29">
        <f t="shared" si="206"/>
        <v>5850.0892940780432</v>
      </c>
      <c r="BL218" s="29">
        <f t="shared" si="206"/>
        <v>6055.903062263119</v>
      </c>
      <c r="BM218" s="29">
        <f t="shared" si="206"/>
        <v>6268.9576271343958</v>
      </c>
      <c r="BN218" s="29">
        <f t="shared" si="206"/>
        <v>6489.507729359193</v>
      </c>
      <c r="BO218" s="29">
        <f t="shared" si="206"/>
        <v>6717.8170717136136</v>
      </c>
      <c r="BP218" s="29">
        <f t="shared" si="206"/>
        <v>6954.1586343812151</v>
      </c>
      <c r="BQ218" s="29">
        <f t="shared" si="206"/>
        <v>7198.8150013443019</v>
      </c>
      <c r="BR218" s="29">
        <f t="shared" si="206"/>
        <v>7452.0786982580812</v>
      </c>
      <c r="BS218" s="29">
        <f t="shared" si="206"/>
        <v>7714.2525422116796</v>
      </c>
    </row>
    <row r="219" spans="1:71" x14ac:dyDescent="0.2">
      <c r="A219" s="2" t="s">
        <v>672</v>
      </c>
      <c r="B219" s="2" t="s">
        <v>673</v>
      </c>
      <c r="C219" s="11" t="s">
        <v>75</v>
      </c>
      <c r="G219" s="28" t="s">
        <v>674</v>
      </c>
      <c r="H219" s="27"/>
      <c r="I219" s="27"/>
      <c r="J219" s="27"/>
      <c r="K219" s="27"/>
      <c r="L219" s="27"/>
      <c r="M219" s="27">
        <v>1100</v>
      </c>
      <c r="N219" s="27">
        <v>1240</v>
      </c>
      <c r="O219" s="27">
        <v>1470</v>
      </c>
      <c r="P219" s="27">
        <v>1160</v>
      </c>
      <c r="Q219" s="27">
        <v>620</v>
      </c>
      <c r="R219" s="27">
        <v>420</v>
      </c>
      <c r="S219" s="27">
        <v>350</v>
      </c>
      <c r="T219" s="27">
        <v>340</v>
      </c>
      <c r="U219" s="27">
        <v>380</v>
      </c>
      <c r="V219" s="27">
        <v>430</v>
      </c>
      <c r="W219" s="27">
        <v>460</v>
      </c>
      <c r="X219" s="27">
        <v>480</v>
      </c>
      <c r="Y219" s="27">
        <v>540</v>
      </c>
      <c r="Z219" s="27">
        <v>620</v>
      </c>
      <c r="AA219" s="27">
        <v>710</v>
      </c>
      <c r="AB219" s="27">
        <v>780</v>
      </c>
      <c r="AC219" s="27">
        <v>880</v>
      </c>
      <c r="AD219" s="27">
        <v>960</v>
      </c>
      <c r="AE219" s="27">
        <v>1040</v>
      </c>
      <c r="AF219" s="27">
        <v>930</v>
      </c>
      <c r="AG219" s="27">
        <v>1080</v>
      </c>
      <c r="AH219" s="27">
        <v>1230</v>
      </c>
      <c r="AI219" s="27">
        <v>1250</v>
      </c>
      <c r="AJ219" s="27">
        <v>1030</v>
      </c>
      <c r="AK219" s="27">
        <v>970</v>
      </c>
      <c r="AL219" s="27">
        <v>880</v>
      </c>
      <c r="AM219" s="27">
        <v>740</v>
      </c>
      <c r="AN219" s="27"/>
      <c r="AO219" s="27"/>
      <c r="AP219" s="27"/>
      <c r="AQ219" s="27"/>
      <c r="AR219" s="27"/>
      <c r="AS219" s="27"/>
      <c r="AT219" s="27"/>
    </row>
    <row r="220" spans="1:71" x14ac:dyDescent="0.2">
      <c r="A220" s="2" t="s">
        <v>675</v>
      </c>
      <c r="B220" s="2" t="s">
        <v>676</v>
      </c>
      <c r="C220" s="11" t="s">
        <v>210</v>
      </c>
      <c r="D220" s="26">
        <f>'Growth calculation'!G221</f>
        <v>1.244E-2</v>
      </c>
      <c r="E220" s="27">
        <v>1200</v>
      </c>
      <c r="F220" s="12">
        <v>2025</v>
      </c>
      <c r="G220" s="28" t="s">
        <v>196</v>
      </c>
      <c r="H220" s="27">
        <v>270</v>
      </c>
      <c r="I220" s="27">
        <v>340</v>
      </c>
      <c r="J220" s="27">
        <v>420</v>
      </c>
      <c r="K220" s="27">
        <v>450</v>
      </c>
      <c r="L220" s="27">
        <v>410</v>
      </c>
      <c r="M220" s="27">
        <v>380</v>
      </c>
      <c r="N220" s="27">
        <v>390</v>
      </c>
      <c r="O220" s="27">
        <v>370</v>
      </c>
      <c r="P220" s="27">
        <v>390</v>
      </c>
      <c r="Q220" s="27">
        <v>420</v>
      </c>
      <c r="R220" s="27">
        <v>420</v>
      </c>
      <c r="S220" s="27">
        <v>370</v>
      </c>
      <c r="T220" s="27">
        <v>370</v>
      </c>
      <c r="U220" s="27">
        <v>350</v>
      </c>
      <c r="V220" s="27">
        <v>360</v>
      </c>
      <c r="W220" s="27">
        <v>370</v>
      </c>
      <c r="X220" s="27">
        <v>420</v>
      </c>
      <c r="Y220" s="27">
        <v>470</v>
      </c>
      <c r="Z220" s="27">
        <v>570</v>
      </c>
      <c r="AA220" s="27">
        <v>720</v>
      </c>
      <c r="AB220" s="27">
        <v>900</v>
      </c>
      <c r="AC220" s="27">
        <v>1170</v>
      </c>
      <c r="AD220" s="27">
        <v>1260</v>
      </c>
      <c r="AE220" s="27">
        <v>1310</v>
      </c>
      <c r="AF220" s="27">
        <v>1380</v>
      </c>
      <c r="AG220" s="27">
        <v>1640</v>
      </c>
      <c r="AH220" s="27">
        <v>1710</v>
      </c>
      <c r="AI220" s="27">
        <v>1740</v>
      </c>
      <c r="AJ220" s="27">
        <v>1530</v>
      </c>
      <c r="AK220" s="27">
        <v>1320</v>
      </c>
      <c r="AL220" s="27">
        <v>1260</v>
      </c>
      <c r="AM220" s="27">
        <v>1390</v>
      </c>
      <c r="AN220" s="27">
        <v>1380</v>
      </c>
      <c r="AO220" s="27">
        <v>1110</v>
      </c>
      <c r="AP220" s="27">
        <v>1050</v>
      </c>
      <c r="AQ220" s="27">
        <v>1170</v>
      </c>
      <c r="AR220" s="27">
        <v>1270</v>
      </c>
      <c r="AS220" s="27">
        <v>1190</v>
      </c>
      <c r="AT220" s="27">
        <v>1200</v>
      </c>
      <c r="AU220" s="29">
        <f>$E220*(1+$D220)</f>
        <v>1214.9280000000001</v>
      </c>
      <c r="AV220" s="29">
        <f t="shared" ref="AV220:BS220" si="207">AU220*(1+$D220)</f>
        <v>1230.04170432</v>
      </c>
      <c r="AW220" s="29">
        <f t="shared" si="207"/>
        <v>1245.3434231217409</v>
      </c>
      <c r="AX220" s="29">
        <f t="shared" si="207"/>
        <v>1260.8354953053754</v>
      </c>
      <c r="AY220" s="29">
        <f t="shared" si="207"/>
        <v>1276.5202888669742</v>
      </c>
      <c r="AZ220" s="29">
        <f t="shared" si="207"/>
        <v>1292.4002012604794</v>
      </c>
      <c r="BA220" s="29">
        <f t="shared" si="207"/>
        <v>1308.4776597641599</v>
      </c>
      <c r="BB220" s="29">
        <f t="shared" si="207"/>
        <v>1324.755121851626</v>
      </c>
      <c r="BC220" s="29">
        <f t="shared" si="207"/>
        <v>1341.2350755674602</v>
      </c>
      <c r="BD220" s="29">
        <f t="shared" si="207"/>
        <v>1357.9200399075194</v>
      </c>
      <c r="BE220" s="29">
        <f t="shared" si="207"/>
        <v>1374.8125652039689</v>
      </c>
      <c r="BF220" s="29">
        <f t="shared" si="207"/>
        <v>1391.9152335151064</v>
      </c>
      <c r="BG220" s="29">
        <f t="shared" si="207"/>
        <v>1409.2306590200344</v>
      </c>
      <c r="BH220" s="29">
        <f t="shared" si="207"/>
        <v>1426.7614884182437</v>
      </c>
      <c r="BI220" s="29">
        <f t="shared" si="207"/>
        <v>1444.5104013341668</v>
      </c>
      <c r="BJ220" s="29">
        <f t="shared" si="207"/>
        <v>1462.4801107267638</v>
      </c>
      <c r="BK220" s="29">
        <f t="shared" si="207"/>
        <v>1480.6733633042047</v>
      </c>
      <c r="BL220" s="29">
        <f t="shared" si="207"/>
        <v>1499.0929399437091</v>
      </c>
      <c r="BM220" s="29">
        <f t="shared" si="207"/>
        <v>1517.7416561166087</v>
      </c>
      <c r="BN220" s="29">
        <f t="shared" si="207"/>
        <v>1536.6223623186993</v>
      </c>
      <c r="BO220" s="29">
        <f t="shared" si="207"/>
        <v>1555.7379445059439</v>
      </c>
      <c r="BP220" s="29">
        <f t="shared" si="207"/>
        <v>1575.0913245355978</v>
      </c>
      <c r="BQ220" s="29">
        <f t="shared" si="207"/>
        <v>1594.6854606128206</v>
      </c>
      <c r="BR220" s="29">
        <f t="shared" si="207"/>
        <v>1614.5233477428442</v>
      </c>
      <c r="BS220" s="29">
        <f t="shared" si="207"/>
        <v>1634.6080181887651</v>
      </c>
    </row>
    <row r="221" spans="1:71" x14ac:dyDescent="0.2">
      <c r="A221" s="2" t="s">
        <v>677</v>
      </c>
      <c r="B221" s="2" t="s">
        <v>678</v>
      </c>
      <c r="C221" s="11" t="s">
        <v>210</v>
      </c>
      <c r="D221" s="26">
        <f>'Growth calculation'!G222</f>
        <v>7.4680999999999997E-2</v>
      </c>
      <c r="E221" s="27">
        <v>2660</v>
      </c>
      <c r="F221" s="12">
        <v>2025</v>
      </c>
      <c r="G221" s="28" t="s">
        <v>679</v>
      </c>
      <c r="H221" s="27">
        <v>590</v>
      </c>
      <c r="I221" s="27">
        <v>690</v>
      </c>
      <c r="J221" s="27">
        <v>740</v>
      </c>
      <c r="K221" s="27">
        <v>730</v>
      </c>
      <c r="L221" s="27">
        <v>700</v>
      </c>
      <c r="M221" s="27">
        <v>550</v>
      </c>
      <c r="N221" s="27">
        <v>510</v>
      </c>
      <c r="O221" s="27">
        <v>490</v>
      </c>
      <c r="P221" s="27">
        <v>470</v>
      </c>
      <c r="Q221" s="27">
        <v>560</v>
      </c>
      <c r="R221" s="27">
        <v>520</v>
      </c>
      <c r="S221" s="27">
        <v>410</v>
      </c>
      <c r="T221" s="27">
        <v>400</v>
      </c>
      <c r="U221" s="27">
        <v>350</v>
      </c>
      <c r="V221" s="27">
        <v>390</v>
      </c>
      <c r="W221" s="27">
        <v>370</v>
      </c>
      <c r="X221" s="27">
        <v>340</v>
      </c>
      <c r="Y221" s="27">
        <v>320</v>
      </c>
      <c r="Z221" s="27">
        <v>320</v>
      </c>
      <c r="AA221" s="27">
        <v>280</v>
      </c>
      <c r="AB221" s="27">
        <v>240</v>
      </c>
      <c r="AC221" s="27">
        <v>120</v>
      </c>
      <c r="AD221" s="27">
        <v>450</v>
      </c>
      <c r="AE221" s="27">
        <v>640</v>
      </c>
      <c r="AF221" s="27">
        <v>960</v>
      </c>
      <c r="AG221" s="27">
        <v>1150</v>
      </c>
      <c r="AH221" s="27">
        <v>1220</v>
      </c>
      <c r="AI221" s="27">
        <v>1270</v>
      </c>
      <c r="AJ221" s="27">
        <v>1330</v>
      </c>
      <c r="AK221" s="27">
        <v>1240</v>
      </c>
      <c r="AL221" s="27">
        <v>1680</v>
      </c>
      <c r="AM221" s="27">
        <v>2140</v>
      </c>
      <c r="AN221" s="27">
        <v>2430</v>
      </c>
      <c r="AO221" s="27">
        <v>1980</v>
      </c>
      <c r="AP221" s="27">
        <v>2330</v>
      </c>
      <c r="AQ221" s="27">
        <v>2580</v>
      </c>
      <c r="AR221" s="27">
        <v>2550</v>
      </c>
      <c r="AS221" s="27">
        <v>2400</v>
      </c>
      <c r="AT221" s="27">
        <v>2660</v>
      </c>
      <c r="AU221" s="29">
        <f>$E221*(1+$D221)</f>
        <v>2858.65146</v>
      </c>
      <c r="AV221" s="29">
        <f t="shared" ref="AV221:BS221" si="208">AU221*(1+$D221)</f>
        <v>3072.1384096842598</v>
      </c>
      <c r="AW221" s="29">
        <f t="shared" si="208"/>
        <v>3301.5687782578902</v>
      </c>
      <c r="AX221" s="29">
        <f t="shared" si="208"/>
        <v>3548.1332361869677</v>
      </c>
      <c r="AY221" s="29">
        <f t="shared" si="208"/>
        <v>3813.1113743986466</v>
      </c>
      <c r="AZ221" s="29">
        <f t="shared" si="208"/>
        <v>4097.8783449501116</v>
      </c>
      <c r="BA221" s="29">
        <f t="shared" si="208"/>
        <v>4403.9119976293305</v>
      </c>
      <c r="BB221" s="29">
        <f t="shared" si="208"/>
        <v>4732.8005495242869</v>
      </c>
      <c r="BC221" s="29">
        <f t="shared" si="208"/>
        <v>5086.2508273633102</v>
      </c>
      <c r="BD221" s="29">
        <f t="shared" si="208"/>
        <v>5466.0971254016295</v>
      </c>
      <c r="BE221" s="29">
        <f t="shared" si="208"/>
        <v>5874.3107248237484</v>
      </c>
      <c r="BF221" s="29">
        <f t="shared" si="208"/>
        <v>6313.0101240643107</v>
      </c>
      <c r="BG221" s="29">
        <f t="shared" si="208"/>
        <v>6784.4720331395574</v>
      </c>
      <c r="BH221" s="29">
        <f t="shared" si="208"/>
        <v>7291.1431890464528</v>
      </c>
      <c r="BI221" s="29">
        <f t="shared" si="208"/>
        <v>7835.6530535476313</v>
      </c>
      <c r="BJ221" s="29">
        <f t="shared" si="208"/>
        <v>8420.8274592396228</v>
      </c>
      <c r="BK221" s="29">
        <f t="shared" si="208"/>
        <v>9049.7032747230969</v>
      </c>
      <c r="BL221" s="29">
        <f t="shared" si="208"/>
        <v>9725.5441649826917</v>
      </c>
      <c r="BM221" s="29">
        <f t="shared" si="208"/>
        <v>10451.857528767763</v>
      </c>
      <c r="BN221" s="29">
        <f t="shared" si="208"/>
        <v>11232.412700873669</v>
      </c>
      <c r="BO221" s="29">
        <f t="shared" si="208"/>
        <v>12071.260513787614</v>
      </c>
      <c r="BP221" s="29">
        <f t="shared" si="208"/>
        <v>12972.754320217788</v>
      </c>
      <c r="BQ221" s="29">
        <f t="shared" si="208"/>
        <v>13941.572585605973</v>
      </c>
      <c r="BR221" s="29">
        <f t="shared" si="208"/>
        <v>14982.743167871613</v>
      </c>
      <c r="BS221" s="29">
        <f t="shared" si="208"/>
        <v>16101.669410391432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22"/>
  <sheetViews>
    <sheetView zoomScaleNormal="100" workbookViewId="0">
      <pane xSplit="10" ySplit="4" topLeftCell="K5" activePane="bottomRight" state="frozen"/>
      <selection pane="topRight" activeCell="K1" sqref="K1"/>
      <selection pane="bottomLeft" activeCell="A5" sqref="A5"/>
      <selection pane="bottomRight"/>
    </sheetView>
  </sheetViews>
  <sheetFormatPr baseColWidth="10" defaultColWidth="8.6640625" defaultRowHeight="15" x14ac:dyDescent="0.2"/>
  <cols>
    <col min="1" max="1" width="30" customWidth="1"/>
    <col min="2" max="2" width="7" customWidth="1"/>
    <col min="3" max="3" width="10" customWidth="1"/>
    <col min="4" max="4" width="21" customWidth="1"/>
    <col min="5" max="5" width="9" customWidth="1"/>
    <col min="6" max="6" width="8" customWidth="1"/>
    <col min="7" max="7" width="11" customWidth="1"/>
    <col min="8" max="8" width="16" customWidth="1"/>
    <col min="9" max="9" width="9" customWidth="1"/>
    <col min="10" max="10" width="6" customWidth="1"/>
    <col min="11" max="20" width="8" customWidth="1"/>
    <col min="21" max="21" width="56" customWidth="1"/>
  </cols>
  <sheetData>
    <row r="1" spans="1:21" x14ac:dyDescent="0.2">
      <c r="A1" s="4" t="s">
        <v>680</v>
      </c>
      <c r="E1" s="1" t="s">
        <v>681</v>
      </c>
      <c r="F1" s="12">
        <f>COUNTIF(H5:H222,"raised by floor")</f>
        <v>37</v>
      </c>
      <c r="H1" s="1" t="s">
        <v>682</v>
      </c>
      <c r="I1" s="12">
        <f>COUNTIF(H5:H222,"cut by cap")</f>
        <v>21</v>
      </c>
      <c r="K1" s="1" t="s">
        <v>683</v>
      </c>
      <c r="L1" s="12">
        <f>COUNTIF(H5:H222,"unadjusted")</f>
        <v>139</v>
      </c>
      <c r="N1" s="1" t="s">
        <v>684</v>
      </c>
      <c r="O1" s="12">
        <f>COUNTIF(H5:H222,"frozen")</f>
        <v>21</v>
      </c>
    </row>
    <row r="4" spans="1:21" x14ac:dyDescent="0.2">
      <c r="A4" s="5" t="s">
        <v>188</v>
      </c>
      <c r="B4" s="5" t="s">
        <v>189</v>
      </c>
      <c r="C4" s="5" t="s">
        <v>190</v>
      </c>
      <c r="D4" s="5" t="s">
        <v>685</v>
      </c>
      <c r="E4" s="5" t="s">
        <v>686</v>
      </c>
      <c r="F4" s="5" t="s">
        <v>687</v>
      </c>
      <c r="G4" s="5" t="s">
        <v>688</v>
      </c>
      <c r="H4" s="5" t="s">
        <v>689</v>
      </c>
      <c r="I4" s="5" t="s">
        <v>690</v>
      </c>
      <c r="J4" s="5" t="s">
        <v>691</v>
      </c>
      <c r="K4" s="5" t="s">
        <v>115</v>
      </c>
      <c r="L4" s="5" t="s">
        <v>116</v>
      </c>
      <c r="M4" s="5" t="s">
        <v>117</v>
      </c>
      <c r="N4" s="5" t="s">
        <v>118</v>
      </c>
      <c r="O4" s="5" t="s">
        <v>119</v>
      </c>
      <c r="P4" s="5" t="s">
        <v>120</v>
      </c>
      <c r="Q4" s="5" t="s">
        <v>121</v>
      </c>
      <c r="R4" s="5" t="s">
        <v>122</v>
      </c>
      <c r="S4" s="5" t="s">
        <v>123</v>
      </c>
      <c r="T4" s="5" t="s">
        <v>124</v>
      </c>
      <c r="U4" s="5" t="s">
        <v>130</v>
      </c>
    </row>
    <row r="5" spans="1:21" x14ac:dyDescent="0.2">
      <c r="A5" s="2" t="s">
        <v>194</v>
      </c>
      <c r="B5" s="2" t="s">
        <v>195</v>
      </c>
      <c r="C5" s="11" t="s">
        <v>75</v>
      </c>
      <c r="D5" s="30">
        <f t="shared" ref="D5:D68" si="0">IFERROR(MEDIAN(K5:T5),"")</f>
        <v>-2.6315789473684181E-2</v>
      </c>
      <c r="E5" s="31">
        <f>Assumptions!$C$5</f>
        <v>1.244E-2</v>
      </c>
      <c r="F5" s="32">
        <f>IF($C5="L",Assumptions!$C$8,IF($C5="LM",Assumptions!$C$9,IF($C5="UM",Assumptions!$C$10,Assumptions!$C$11)))</f>
        <v>5.5947999999999998E-2</v>
      </c>
      <c r="G5" s="33">
        <f>IF(J5&lt;Assumptions!$C$13,"",MIN(MAX(D5,E5),F5))</f>
        <v>1.244E-2</v>
      </c>
      <c r="H5" s="12" t="str">
        <f t="shared" ref="H5:H68" si="1">IF(G5="","frozen",IF(ROUND(G5-D5,8)&gt;0,"raised by floor",IF(ROUND(G5-D5,8)&lt;0,"cut by cap","unadjusted")))</f>
        <v>raised by floor</v>
      </c>
      <c r="I5" s="34">
        <f t="shared" ref="I5:I68" si="2">IF(OR(G5="",D5=""),"",G5-D5)</f>
        <v>3.8755789473684181E-2</v>
      </c>
      <c r="J5" s="12">
        <f t="shared" ref="J5:J68" si="3">COUNT(K5:T5)</f>
        <v>9</v>
      </c>
      <c r="K5" s="30">
        <f>IF(OR('GNI per capita'!AJ4="",'GNI per capita'!AK4=""),"",'GNI per capita'!AK4/'GNI per capita'!AJ4-1)</f>
        <v>-5.084745762711862E-2</v>
      </c>
      <c r="L5" s="30">
        <f>IF(OR('GNI per capita'!AK4="",'GNI per capita'!AL4=""),"",'GNI per capita'!AL4/'GNI per capita'!AK4-1)</f>
        <v>-5.3571428571428603E-2</v>
      </c>
      <c r="M5" s="30">
        <f>IF(OR('GNI per capita'!AL4="",'GNI per capita'!AM4=""),"",'GNI per capita'!AM4/'GNI per capita'!AL4-1)</f>
        <v>-1.8867924528301883E-2</v>
      </c>
      <c r="N5" s="30">
        <f>IF(OR('GNI per capita'!AM4="",'GNI per capita'!AN4=""),"",'GNI per capita'!AN4/'GNI per capita'!AM4-1)</f>
        <v>0</v>
      </c>
      <c r="O5" s="30">
        <f>IF(OR('GNI per capita'!AN4="",'GNI per capita'!AO4=""),"",'GNI per capita'!AO4/'GNI per capita'!AN4-1)</f>
        <v>-5.7692307692307709E-2</v>
      </c>
      <c r="P5" s="30">
        <f>IF(OR('GNI per capita'!AO4="",'GNI per capita'!AP4=""),"",'GNI per capita'!AP4/'GNI per capita'!AO4-1)</f>
        <v>-0.22448979591836737</v>
      </c>
      <c r="Q5" s="30">
        <f>IF(OR('GNI per capita'!AP4="",'GNI per capita'!AQ4=""),"",'GNI per capita'!AQ4/'GNI per capita'!AP4-1)</f>
        <v>-2.6315789473684181E-2</v>
      </c>
      <c r="R5" s="30">
        <f>IF(OR('GNI per capita'!AQ4="",'GNI per capita'!AR4=""),"",'GNI per capita'!AR4/'GNI per capita'!AQ4-1)</f>
        <v>0</v>
      </c>
      <c r="S5" s="30">
        <f>IF(OR('GNI per capita'!AR4="",'GNI per capita'!AS4=""),"",'GNI per capita'!AS4/'GNI per capita'!AR4-1)</f>
        <v>5.4054054054053946E-2</v>
      </c>
      <c r="T5" s="30" t="str">
        <f>IF(OR('GNI per capita'!AS4="",'GNI per capita'!AT4=""),"",'GNI per capita'!AT4/'GNI per capita'!AS4-1)</f>
        <v/>
      </c>
      <c r="U5" s="28" t="s">
        <v>196</v>
      </c>
    </row>
    <row r="6" spans="1:21" x14ac:dyDescent="0.2">
      <c r="A6" s="2" t="s">
        <v>197</v>
      </c>
      <c r="B6" s="2" t="s">
        <v>198</v>
      </c>
      <c r="C6" s="11" t="s">
        <v>82</v>
      </c>
      <c r="D6" s="30">
        <f t="shared" si="0"/>
        <v>0.12225814158367054</v>
      </c>
      <c r="E6" s="31">
        <f>Assumptions!$C$5</f>
        <v>1.244E-2</v>
      </c>
      <c r="F6" s="32">
        <f>IF($C6="L",Assumptions!$C$8,IF($C6="LM",Assumptions!$C$9,IF($C6="UM",Assumptions!$C$10,Assumptions!$C$11)))</f>
        <v>9.0712000000000001E-2</v>
      </c>
      <c r="G6" s="33">
        <f>IF(J6&lt;Assumptions!$C$13,"",MIN(MAX(D6,E6),F6))</f>
        <v>9.0712000000000001E-2</v>
      </c>
      <c r="H6" s="12" t="str">
        <f t="shared" si="1"/>
        <v>cut by cap</v>
      </c>
      <c r="I6" s="34">
        <f t="shared" si="2"/>
        <v>-3.1546141583670542E-2</v>
      </c>
      <c r="J6" s="12">
        <f t="shared" si="3"/>
        <v>10</v>
      </c>
      <c r="K6" s="30">
        <f>IF(OR('GNI per capita'!AJ5="",'GNI per capita'!AK5=""),"",'GNI per capita'!AK5/'GNI per capita'!AJ5-1)</f>
        <v>2.1459227467810482E-3</v>
      </c>
      <c r="L6" s="30">
        <f>IF(OR('GNI per capita'!AK5="",'GNI per capita'!AL5=""),"",'GNI per capita'!AL5/'GNI per capita'!AK5-1)</f>
        <v>6.4239828693790635E-3</v>
      </c>
      <c r="M6" s="30">
        <f>IF(OR('GNI per capita'!AL5="",'GNI per capita'!AM5=""),"",'GNI per capita'!AM5/'GNI per capita'!AL5-1)</f>
        <v>0.14893617021276606</v>
      </c>
      <c r="N6" s="30">
        <f>IF(OR('GNI per capita'!AM5="",'GNI per capita'!AN5=""),"",'GNI per capita'!AN5/'GNI per capita'!AM5-1)</f>
        <v>9.259259259259256E-2</v>
      </c>
      <c r="O6" s="30">
        <f>IF(OR('GNI per capita'!AN5="",'GNI per capita'!AO5=""),"",'GNI per capita'!AO5/'GNI per capita'!AN5-1)</f>
        <v>1.1864406779660941E-2</v>
      </c>
      <c r="P6" s="30">
        <f>IF(OR('GNI per capita'!AO5="",'GNI per capita'!AP5=""),"",'GNI per capita'!AP5/'GNI per capita'!AO5-1)</f>
        <v>0.16247906197654949</v>
      </c>
      <c r="Q6" s="30">
        <f>IF(OR('GNI per capita'!AP5="",'GNI per capita'!AQ5=""),"",'GNI per capita'!AQ5/'GNI per capita'!AP5-1)</f>
        <v>0.11239193083573484</v>
      </c>
      <c r="R6" s="30">
        <f>IF(OR('GNI per capita'!AQ5="",'GNI per capita'!AR5=""),"",'GNI per capita'!AR5/'GNI per capita'!AQ5-1)</f>
        <v>0.13212435233160624</v>
      </c>
      <c r="S6" s="30">
        <f>IF(OR('GNI per capita'!AR5="",'GNI per capita'!AS5=""),"",'GNI per capita'!AS5/'GNI per capita'!AR5-1)</f>
        <v>0.13386727688787192</v>
      </c>
      <c r="T6" s="30">
        <f>IF(OR('GNI per capita'!AS5="",'GNI per capita'!AT5=""),"",'GNI per capita'!AT5/'GNI per capita'!AS5-1)</f>
        <v>0.21695257315842587</v>
      </c>
      <c r="U6" s="28" t="s">
        <v>199</v>
      </c>
    </row>
    <row r="7" spans="1:21" x14ac:dyDescent="0.2">
      <c r="A7" s="2" t="s">
        <v>200</v>
      </c>
      <c r="B7" s="2" t="s">
        <v>201</v>
      </c>
      <c r="C7" s="11" t="s">
        <v>82</v>
      </c>
      <c r="D7" s="30">
        <f t="shared" si="0"/>
        <v>1.5808597462127594E-2</v>
      </c>
      <c r="E7" s="31">
        <f>Assumptions!$C$5</f>
        <v>1.244E-2</v>
      </c>
      <c r="F7" s="32">
        <f>IF($C7="L",Assumptions!$C$8,IF($C7="LM",Assumptions!$C$9,IF($C7="UM",Assumptions!$C$10,Assumptions!$C$11)))</f>
        <v>9.0712000000000001E-2</v>
      </c>
      <c r="G7" s="33">
        <f>IF(J7&lt;Assumptions!$C$13,"",MIN(MAX(D7,E7),F7))</f>
        <v>1.5808597462127594E-2</v>
      </c>
      <c r="H7" s="12" t="str">
        <f t="shared" si="1"/>
        <v>unadjusted</v>
      </c>
      <c r="I7" s="34">
        <f t="shared" si="2"/>
        <v>0</v>
      </c>
      <c r="J7" s="12">
        <f t="shared" si="3"/>
        <v>10</v>
      </c>
      <c r="K7" s="30">
        <f>IF(OR('GNI per capita'!AJ6="",'GNI per capita'!AK6=""),"",'GNI per capita'!AK6/'GNI per capita'!AJ6-1)</f>
        <v>-8.7198515769944307E-2</v>
      </c>
      <c r="L7" s="30">
        <f>IF(OR('GNI per capita'!AK6="",'GNI per capita'!AL6=""),"",'GNI per capita'!AL6/'GNI per capita'!AK6-1)</f>
        <v>-9.7560975609756073E-2</v>
      </c>
      <c r="M7" s="30">
        <f>IF(OR('GNI per capita'!AL6="",'GNI per capita'!AM6=""),"",'GNI per capita'!AM6/'GNI per capita'!AL6-1)</f>
        <v>2.2522522522523403E-3</v>
      </c>
      <c r="N7" s="30">
        <f>IF(OR('GNI per capita'!AM6="",'GNI per capita'!AN6=""),"",'GNI per capita'!AN6/'GNI per capita'!AM6-1)</f>
        <v>6.741573033707926E-3</v>
      </c>
      <c r="O7" s="30">
        <f>IF(OR('GNI per capita'!AN6="",'GNI per capita'!AO6=""),"",'GNI per capita'!AO6/'GNI per capita'!AN6-1)</f>
        <v>-0.1026785714285714</v>
      </c>
      <c r="P7" s="30">
        <f>IF(OR('GNI per capita'!AO6="",'GNI per capita'!AP6=""),"",'GNI per capita'!AP6/'GNI per capita'!AO6-1)</f>
        <v>2.4875621890547261E-2</v>
      </c>
      <c r="Q7" s="30">
        <f>IF(OR('GNI per capita'!AP6="",'GNI per capita'!AQ6=""),"",'GNI per capita'!AQ6/'GNI per capita'!AP6-1)</f>
        <v>7.5242718446602019E-2</v>
      </c>
      <c r="R7" s="30">
        <f>IF(OR('GNI per capita'!AQ6="",'GNI per capita'!AR6=""),"",'GNI per capita'!AR6/'GNI per capita'!AQ6-1)</f>
        <v>0.11738148984198649</v>
      </c>
      <c r="S7" s="30">
        <f>IF(OR('GNI per capita'!AR6="",'GNI per capita'!AS6=""),"",'GNI per capita'!AS6/'GNI per capita'!AR6-1)</f>
        <v>8.4848484848484951E-2</v>
      </c>
      <c r="T7" s="30">
        <f>IF(OR('GNI per capita'!AS6="",'GNI per capita'!AT6=""),"",'GNI per capita'!AT6/'GNI per capita'!AS6-1)</f>
        <v>8.9385474860335101E-2</v>
      </c>
      <c r="U7" s="2" t="s">
        <v>162</v>
      </c>
    </row>
    <row r="8" spans="1:21" x14ac:dyDescent="0.2">
      <c r="A8" s="2" t="s">
        <v>202</v>
      </c>
      <c r="B8" s="2" t="s">
        <v>203</v>
      </c>
      <c r="C8" s="11" t="s">
        <v>79</v>
      </c>
      <c r="D8" s="30" t="str">
        <f t="shared" si="0"/>
        <v/>
      </c>
      <c r="E8" s="31">
        <f>Assumptions!$C$5</f>
        <v>1.244E-2</v>
      </c>
      <c r="F8" s="32">
        <f>IF($C8="L",Assumptions!$C$8,IF($C8="LM",Assumptions!$C$9,IF($C8="UM",Assumptions!$C$10,Assumptions!$C$11)))</f>
        <v>7.1689000000000003E-2</v>
      </c>
      <c r="G8" s="33" t="str">
        <f>IF(J8&lt;Assumptions!$C$13,"",MIN(MAX(D8,E8),F8))</f>
        <v/>
      </c>
      <c r="H8" s="12" t="str">
        <f t="shared" si="1"/>
        <v>frozen</v>
      </c>
      <c r="I8" s="34" t="str">
        <f t="shared" si="2"/>
        <v/>
      </c>
      <c r="J8" s="12">
        <f t="shared" si="3"/>
        <v>0</v>
      </c>
      <c r="K8" s="30" t="str">
        <f>IF(OR('GNI per capita'!AJ7="",'GNI per capita'!AK7=""),"",'GNI per capita'!AK7/'GNI per capita'!AJ7-1)</f>
        <v/>
      </c>
      <c r="L8" s="30" t="str">
        <f>IF(OR('GNI per capita'!AK7="",'GNI per capita'!AL7=""),"",'GNI per capita'!AL7/'GNI per capita'!AK7-1)</f>
        <v/>
      </c>
      <c r="M8" s="30" t="str">
        <f>IF(OR('GNI per capita'!AL7="",'GNI per capita'!AM7=""),"",'GNI per capita'!AM7/'GNI per capita'!AL7-1)</f>
        <v/>
      </c>
      <c r="N8" s="30" t="str">
        <f>IF(OR('GNI per capita'!AM7="",'GNI per capita'!AN7=""),"",'GNI per capita'!AN7/'GNI per capita'!AM7-1)</f>
        <v/>
      </c>
      <c r="O8" s="30" t="str">
        <f>IF(OR('GNI per capita'!AN7="",'GNI per capita'!AO7=""),"",'GNI per capita'!AO7/'GNI per capita'!AN7-1)</f>
        <v/>
      </c>
      <c r="P8" s="30" t="str">
        <f>IF(OR('GNI per capita'!AO7="",'GNI per capita'!AP7=""),"",'GNI per capita'!AP7/'GNI per capita'!AO7-1)</f>
        <v/>
      </c>
      <c r="Q8" s="30" t="str">
        <f>IF(OR('GNI per capita'!AP7="",'GNI per capita'!AQ7=""),"",'GNI per capita'!AQ7/'GNI per capita'!AP7-1)</f>
        <v/>
      </c>
      <c r="R8" s="30" t="str">
        <f>IF(OR('GNI per capita'!AQ7="",'GNI per capita'!AR7=""),"",'GNI per capita'!AR7/'GNI per capita'!AQ7-1)</f>
        <v/>
      </c>
      <c r="S8" s="30" t="str">
        <f>IF(OR('GNI per capita'!AR7="",'GNI per capita'!AS7=""),"",'GNI per capita'!AS7/'GNI per capita'!AR7-1)</f>
        <v/>
      </c>
      <c r="T8" s="30" t="str">
        <f>IF(OR('GNI per capita'!AS7="",'GNI per capita'!AT7=""),"",'GNI per capita'!AT7/'GNI per capita'!AS7-1)</f>
        <v/>
      </c>
      <c r="U8" s="28" t="s">
        <v>204</v>
      </c>
    </row>
    <row r="9" spans="1:21" x14ac:dyDescent="0.2">
      <c r="A9" s="2" t="s">
        <v>205</v>
      </c>
      <c r="B9" s="2" t="s">
        <v>206</v>
      </c>
      <c r="C9" s="11" t="s">
        <v>79</v>
      </c>
      <c r="D9" s="30">
        <f t="shared" si="0"/>
        <v>3.0098682582573644E-2</v>
      </c>
      <c r="E9" s="31">
        <f>Assumptions!$C$5</f>
        <v>1.244E-2</v>
      </c>
      <c r="F9" s="32">
        <f>IF($C9="L",Assumptions!$C$8,IF($C9="LM",Assumptions!$C$9,IF($C9="UM",Assumptions!$C$10,Assumptions!$C$11)))</f>
        <v>7.1689000000000003E-2</v>
      </c>
      <c r="G9" s="33" t="str">
        <f>IF(J9&lt;Assumptions!$C$13,"",MIN(MAX(D9,E9),F9))</f>
        <v/>
      </c>
      <c r="H9" s="12" t="str">
        <f t="shared" si="1"/>
        <v>frozen</v>
      </c>
      <c r="I9" s="34" t="str">
        <f t="shared" si="2"/>
        <v/>
      </c>
      <c r="J9" s="12">
        <f t="shared" si="3"/>
        <v>6</v>
      </c>
      <c r="K9" s="30" t="str">
        <f>IF(OR('GNI per capita'!AJ8="",'GNI per capita'!AK8=""),"",'GNI per capita'!AK8/'GNI per capita'!AJ8-1)</f>
        <v/>
      </c>
      <c r="L9" s="30" t="str">
        <f>IF(OR('GNI per capita'!AK8="",'GNI per capita'!AL8=""),"",'GNI per capita'!AL8/'GNI per capita'!AK8-1)</f>
        <v/>
      </c>
      <c r="M9" s="30" t="str">
        <f>IF(OR('GNI per capita'!AL8="",'GNI per capita'!AM8=""),"",'GNI per capita'!AM8/'GNI per capita'!AL8-1)</f>
        <v/>
      </c>
      <c r="N9" s="30" t="str">
        <f>IF(OR('GNI per capita'!AM8="",'GNI per capita'!AN8=""),"",'GNI per capita'!AN8/'GNI per capita'!AM8-1)</f>
        <v/>
      </c>
      <c r="O9" s="30">
        <f>IF(OR('GNI per capita'!AN8="",'GNI per capita'!AO8=""),"",'GNI per capita'!AO8/'GNI per capita'!AN8-1)</f>
        <v>-8.6114101184068925E-2</v>
      </c>
      <c r="P9" s="30">
        <f>IF(OR('GNI per capita'!AO8="",'GNI per capita'!AP8=""),"",'GNI per capita'!AP8/'GNI per capita'!AO8-1)</f>
        <v>5.3474676089517059E-2</v>
      </c>
      <c r="Q9" s="30">
        <f>IF(OR('GNI per capita'!AP8="",'GNI per capita'!AQ8=""),"",'GNI per capita'!AQ8/'GNI per capita'!AP8-1)</f>
        <v>6.4400715563506239E-2</v>
      </c>
      <c r="R9" s="30">
        <f>IF(OR('GNI per capita'!AQ8="",'GNI per capita'!AR8=""),"",'GNI per capita'!AR8/'GNI per capita'!AQ8-1)</f>
        <v>6.7226890756302282E-3</v>
      </c>
      <c r="S9" s="30">
        <f>IF(OR('GNI per capita'!AR8="",'GNI per capita'!AS8=""),"",'GNI per capita'!AS8/'GNI per capita'!AR8-1)</f>
        <v>-3.7562604340567463E-3</v>
      </c>
      <c r="T9" s="30">
        <f>IF(OR('GNI per capita'!AS8="",'GNI per capita'!AT8=""),"",'GNI per capita'!AT8/'GNI per capita'!AS8-1)</f>
        <v>0.11499790532048593</v>
      </c>
      <c r="U9" s="28" t="s">
        <v>207</v>
      </c>
    </row>
    <row r="10" spans="1:21" x14ac:dyDescent="0.2">
      <c r="A10" s="2" t="s">
        <v>208</v>
      </c>
      <c r="B10" s="2" t="s">
        <v>209</v>
      </c>
      <c r="C10" s="11" t="s">
        <v>210</v>
      </c>
      <c r="D10" s="30">
        <f t="shared" si="0"/>
        <v>-8.2456140350877227E-3</v>
      </c>
      <c r="E10" s="31">
        <f>Assumptions!$C$5</f>
        <v>1.244E-2</v>
      </c>
      <c r="F10" s="32">
        <f>IF($C10="L",Assumptions!$C$8,IF($C10="LM",Assumptions!$C$9,IF($C10="UM",Assumptions!$C$10,Assumptions!$C$11)))</f>
        <v>7.4680999999999997E-2</v>
      </c>
      <c r="G10" s="33">
        <f>IF(J10&lt;Assumptions!$C$13,"",MIN(MAX(D10,E10),F10))</f>
        <v>1.244E-2</v>
      </c>
      <c r="H10" s="12" t="str">
        <f t="shared" si="1"/>
        <v>raised by floor</v>
      </c>
      <c r="I10" s="34">
        <f t="shared" si="2"/>
        <v>2.0685614035087722E-2</v>
      </c>
      <c r="J10" s="12">
        <f t="shared" si="3"/>
        <v>10</v>
      </c>
      <c r="K10" s="30">
        <f>IF(OR('GNI per capita'!AJ9="",'GNI per capita'!AK9=""),"",'GNI per capita'!AK9/'GNI per capita'!AJ9-1)</f>
        <v>-0.33483146067415726</v>
      </c>
      <c r="L10" s="30">
        <f>IF(OR('GNI per capita'!AK9="",'GNI per capita'!AL9=""),"",'GNI per capita'!AL9/'GNI per capita'!AK9-1)</f>
        <v>-0.17567567567567566</v>
      </c>
      <c r="M10" s="30">
        <f>IF(OR('GNI per capita'!AL9="",'GNI per capita'!AM9=""),"",'GNI per capita'!AM9/'GNI per capita'!AL9-1)</f>
        <v>-5.7377049180327822E-2</v>
      </c>
      <c r="N10" s="30">
        <f>IF(OR('GNI per capita'!AM9="",'GNI per capita'!AN9=""),"",'GNI per capita'!AN9/'GNI per capita'!AM9-1)</f>
        <v>6.956521739130439E-2</v>
      </c>
      <c r="O10" s="30">
        <f>IF(OR('GNI per capita'!AN9="",'GNI per capita'!AO9=""),"",'GNI per capita'!AO9/'GNI per capita'!AN9-1)</f>
        <v>-0.18699186991869921</v>
      </c>
      <c r="P10" s="30">
        <f>IF(OR('GNI per capita'!AO9="",'GNI per capita'!AP9=""),"",'GNI per capita'!AP9/'GNI per capita'!AO9-1)</f>
        <v>-2.0000000000000018E-2</v>
      </c>
      <c r="Q10" s="30">
        <f>IF(OR('GNI per capita'!AP9="",'GNI per capita'!AQ9=""),"",'GNI per capita'!AQ9/'GNI per capita'!AP9-1)</f>
        <v>0.16836734693877542</v>
      </c>
      <c r="R10" s="30">
        <f>IF(OR('GNI per capita'!AQ9="",'GNI per capita'!AR9=""),"",'GNI per capita'!AR9/'GNI per capita'!AQ9-1)</f>
        <v>0.15720524017467241</v>
      </c>
      <c r="S10" s="30">
        <f>IF(OR('GNI per capita'!AR9="",'GNI per capita'!AS9=""),"",'GNI per capita'!AS9/'GNI per capita'!AR9-1)</f>
        <v>7.547169811320753E-2</v>
      </c>
      <c r="T10" s="30">
        <f>IF(OR('GNI per capita'!AS9="",'GNI per capita'!AT9=""),"",'GNI per capita'!AT9/'GNI per capita'!AS9-1)</f>
        <v>3.5087719298245723E-3</v>
      </c>
      <c r="U10" s="28" t="s">
        <v>211</v>
      </c>
    </row>
    <row r="11" spans="1:21" x14ac:dyDescent="0.2">
      <c r="A11" s="2" t="s">
        <v>212</v>
      </c>
      <c r="B11" s="2" t="s">
        <v>213</v>
      </c>
      <c r="C11" s="11" t="s">
        <v>79</v>
      </c>
      <c r="D11" s="30">
        <f t="shared" si="0"/>
        <v>6.5642146585180861E-2</v>
      </c>
      <c r="E11" s="31">
        <f>Assumptions!$C$5</f>
        <v>1.244E-2</v>
      </c>
      <c r="F11" s="32">
        <f>IF($C11="L",Assumptions!$C$8,IF($C11="LM",Assumptions!$C$9,IF($C11="UM",Assumptions!$C$10,Assumptions!$C$11)))</f>
        <v>7.1689000000000003E-2</v>
      </c>
      <c r="G11" s="33">
        <f>IF(J11&lt;Assumptions!$C$13,"",MIN(MAX(D11,E11),F11))</f>
        <v>6.5642146585180861E-2</v>
      </c>
      <c r="H11" s="12" t="str">
        <f t="shared" si="1"/>
        <v>unadjusted</v>
      </c>
      <c r="I11" s="34">
        <f t="shared" si="2"/>
        <v>0</v>
      </c>
      <c r="J11" s="12">
        <f t="shared" si="3"/>
        <v>10</v>
      </c>
      <c r="K11" s="30">
        <f>IF(OR('GNI per capita'!AJ10="",'GNI per capita'!AK10=""),"",'GNI per capita'!AK10/'GNI per capita'!AJ10-1)</f>
        <v>3.6426116838488065E-2</v>
      </c>
      <c r="L11" s="30">
        <f>IF(OR('GNI per capita'!AK10="",'GNI per capita'!AL10=""),"",'GNI per capita'!AL10/'GNI per capita'!AK10-1)</f>
        <v>5.1724137931034475E-2</v>
      </c>
      <c r="M11" s="30">
        <f>IF(OR('GNI per capita'!AL10="",'GNI per capita'!AM10=""),"",'GNI per capita'!AM10/'GNI per capita'!AL10-1)</f>
        <v>0.10088272383354346</v>
      </c>
      <c r="N11" s="30">
        <f>IF(OR('GNI per capita'!AM10="",'GNI per capita'!AN10=""),"",'GNI per capita'!AN10/'GNI per capita'!AM10-1)</f>
        <v>4.5246277205040153E-2</v>
      </c>
      <c r="O11" s="30">
        <f>IF(OR('GNI per capita'!AN10="",'GNI per capita'!AO10=""),"",'GNI per capita'!AO10/'GNI per capita'!AN10-1)</f>
        <v>-0.15287671232876709</v>
      </c>
      <c r="P11" s="30">
        <f>IF(OR('GNI per capita'!AO10="",'GNI per capita'!AP10=""),"",'GNI per capita'!AP10/'GNI per capita'!AO10-1)</f>
        <v>7.9560155239327246E-2</v>
      </c>
      <c r="Q11" s="30">
        <f>IF(OR('GNI per capita'!AP10="",'GNI per capita'!AQ10=""),"",'GNI per capita'!AQ10/'GNI per capita'!AP10-1)</f>
        <v>0.12222887956860395</v>
      </c>
      <c r="R11" s="30">
        <f>IF(OR('GNI per capita'!AQ10="",'GNI per capita'!AR10=""),"",'GNI per capita'!AR10/'GNI per capita'!AQ10-1)</f>
        <v>8.1153230112119612E-2</v>
      </c>
      <c r="S11" s="30">
        <f>IF(OR('GNI per capita'!AR10="",'GNI per capita'!AS10=""),"",'GNI per capita'!AS10/'GNI per capita'!AR10-1)</f>
        <v>4.6913580246913611E-2</v>
      </c>
      <c r="T11" s="30">
        <f>IF(OR('GNI per capita'!AS10="",'GNI per capita'!AT10=""),"",'GNI per capita'!AT10/'GNI per capita'!AS10-1)</f>
        <v>0.12216981132075477</v>
      </c>
      <c r="U11" s="2" t="s">
        <v>162</v>
      </c>
    </row>
    <row r="12" spans="1:21" x14ac:dyDescent="0.2">
      <c r="A12" s="2" t="s">
        <v>214</v>
      </c>
      <c r="B12" s="2" t="s">
        <v>215</v>
      </c>
      <c r="C12" s="11" t="s">
        <v>82</v>
      </c>
      <c r="D12" s="30">
        <f t="shared" si="0"/>
        <v>6.2353719636854654E-2</v>
      </c>
      <c r="E12" s="31">
        <f>Assumptions!$C$5</f>
        <v>1.244E-2</v>
      </c>
      <c r="F12" s="32">
        <f>IF($C12="L",Assumptions!$C$8,IF($C12="LM",Assumptions!$C$9,IF($C12="UM",Assumptions!$C$10,Assumptions!$C$11)))</f>
        <v>9.0712000000000001E-2</v>
      </c>
      <c r="G12" s="33">
        <f>IF(J12&lt;Assumptions!$C$13,"",MIN(MAX(D12,E12),F12))</f>
        <v>6.2353719636854654E-2</v>
      </c>
      <c r="H12" s="12" t="str">
        <f t="shared" si="1"/>
        <v>unadjusted</v>
      </c>
      <c r="I12" s="34">
        <f t="shared" si="2"/>
        <v>0</v>
      </c>
      <c r="J12" s="12">
        <f t="shared" si="3"/>
        <v>10</v>
      </c>
      <c r="K12" s="30">
        <f>IF(OR('GNI per capita'!AJ11="",'GNI per capita'!AK11=""),"",'GNI per capita'!AK11/'GNI per capita'!AJ11-1)</f>
        <v>-2.959999999999996E-2</v>
      </c>
      <c r="L12" s="30">
        <f>IF(OR('GNI per capita'!AK11="",'GNI per capita'!AL11=""),"",'GNI per capita'!AL11/'GNI per capita'!AK11-1)</f>
        <v>7.7493816982687536E-2</v>
      </c>
      <c r="M12" s="30">
        <f>IF(OR('GNI per capita'!AL11="",'GNI per capita'!AM11=""),"",'GNI per capita'!AM11/'GNI per capita'!AL11-1)</f>
        <v>-5.20275439938791E-2</v>
      </c>
      <c r="N12" s="30">
        <f>IF(OR('GNI per capita'!AM11="",'GNI per capita'!AN11=""),"",'GNI per capita'!AN11/'GNI per capita'!AM11-1)</f>
        <v>-9.5238095238095233E-2</v>
      </c>
      <c r="O12" s="30">
        <f>IF(OR('GNI per capita'!AN11="",'GNI per capita'!AO11=""),"",'GNI per capita'!AO11/'GNI per capita'!AN11-1)</f>
        <v>-0.19357716324710084</v>
      </c>
      <c r="P12" s="30">
        <f>IF(OR('GNI per capita'!AO11="",'GNI per capita'!AP11=""),"",'GNI per capita'!AP11/'GNI per capita'!AO11-1)</f>
        <v>0.11393805309734506</v>
      </c>
      <c r="Q12" s="30">
        <f>IF(OR('GNI per capita'!AP11="",'GNI per capita'!AQ11=""),"",'GNI per capita'!AQ11/'GNI per capita'!AP11-1)</f>
        <v>0.18073485600794448</v>
      </c>
      <c r="R12" s="30">
        <f>IF(OR('GNI per capita'!AQ11="",'GNI per capita'!AR11=""),"",'GNI per capita'!AR11/'GNI per capita'!AQ11-1)</f>
        <v>8.6627417998317968E-2</v>
      </c>
      <c r="S12" s="30">
        <f>IF(OR('GNI per capita'!AR11="",'GNI per capita'!AS11=""),"",'GNI per capita'!AS11/'GNI per capita'!AR11-1)</f>
        <v>4.7213622291021773E-2</v>
      </c>
      <c r="T12" s="30">
        <f>IF(OR('GNI per capita'!AS11="",'GNI per capita'!AT11=""),"",'GNI per capita'!AT11/'GNI per capita'!AS11-1)</f>
        <v>8.2779009608277887E-2</v>
      </c>
      <c r="U12" s="2" t="s">
        <v>162</v>
      </c>
    </row>
    <row r="13" spans="1:21" x14ac:dyDescent="0.2">
      <c r="A13" s="2" t="s">
        <v>216</v>
      </c>
      <c r="B13" s="2" t="s">
        <v>217</v>
      </c>
      <c r="C13" s="11" t="s">
        <v>82</v>
      </c>
      <c r="D13" s="30">
        <f t="shared" si="0"/>
        <v>9.2319025691013246E-2</v>
      </c>
      <c r="E13" s="31">
        <f>Assumptions!$C$5</f>
        <v>1.244E-2</v>
      </c>
      <c r="F13" s="32">
        <f>IF($C13="L",Assumptions!$C$8,IF($C13="LM",Assumptions!$C$9,IF($C13="UM",Assumptions!$C$10,Assumptions!$C$11)))</f>
        <v>9.0712000000000001E-2</v>
      </c>
      <c r="G13" s="33">
        <f>IF(J13&lt;Assumptions!$C$13,"",MIN(MAX(D13,E13),F13))</f>
        <v>9.0712000000000001E-2</v>
      </c>
      <c r="H13" s="12" t="str">
        <f t="shared" si="1"/>
        <v>cut by cap</v>
      </c>
      <c r="I13" s="34">
        <f t="shared" si="2"/>
        <v>-1.6070256910132447E-3</v>
      </c>
      <c r="J13" s="12">
        <f t="shared" si="3"/>
        <v>10</v>
      </c>
      <c r="K13" s="30">
        <f>IF(OR('GNI per capita'!AJ12="",'GNI per capita'!AK12=""),"",'GNI per capita'!AK12/'GNI per capita'!AJ12-1)</f>
        <v>-5.6265984654731427E-2</v>
      </c>
      <c r="L13" s="30">
        <f>IF(OR('GNI per capita'!AK12="",'GNI per capita'!AL12=""),"",'GNI per capita'!AL12/'GNI per capita'!AK12-1)</f>
        <v>5.6910569105691033E-2</v>
      </c>
      <c r="M13" s="30">
        <f>IF(OR('GNI per capita'!AL12="",'GNI per capita'!AM12=""),"",'GNI per capita'!AM12/'GNI per capita'!AL12-1)</f>
        <v>8.2051282051281982E-2</v>
      </c>
      <c r="N13" s="30">
        <f>IF(OR('GNI per capita'!AM12="",'GNI per capita'!AN12=""),"",'GNI per capita'!AN12/'GNI per capita'!AM12-1)</f>
        <v>0.10189573459715651</v>
      </c>
      <c r="O13" s="30">
        <f>IF(OR('GNI per capita'!AN12="",'GNI per capita'!AO12=""),"",'GNI per capita'!AO12/'GNI per capita'!AN12-1)</f>
        <v>-9.0322580645161299E-2</v>
      </c>
      <c r="P13" s="30">
        <f>IF(OR('GNI per capita'!AO12="",'GNI per capita'!AP12=""),"",'GNI per capita'!AP12/'GNI per capita'!AO12-1)</f>
        <v>8.2742316784869985E-2</v>
      </c>
      <c r="Q13" s="30">
        <f>IF(OR('GNI per capita'!AP12="",'GNI per capita'!AQ12=""),"",'GNI per capita'!AQ12/'GNI per capita'!AP12-1)</f>
        <v>0.24235807860262004</v>
      </c>
      <c r="R13" s="30">
        <f>IF(OR('GNI per capita'!AQ12="",'GNI per capita'!AR12=""),"",'GNI per capita'!AR12/'GNI per capita'!AQ12-1)</f>
        <v>0.20386643233743418</v>
      </c>
      <c r="S13" s="30">
        <f>IF(OR('GNI per capita'!AR12="",'GNI per capita'!AS12=""),"",'GNI per capita'!AS12/'GNI per capita'!AR12-1)</f>
        <v>0.14014598540145995</v>
      </c>
      <c r="T13" s="30">
        <f>IF(OR('GNI per capita'!AS12="",'GNI per capita'!AT12=""),"",'GNI per capita'!AT12/'GNI per capita'!AS12-1)</f>
        <v>0.15492957746478875</v>
      </c>
      <c r="U13" s="28" t="s">
        <v>218</v>
      </c>
    </row>
    <row r="14" spans="1:21" x14ac:dyDescent="0.2">
      <c r="A14" s="2" t="s">
        <v>219</v>
      </c>
      <c r="B14" s="2" t="s">
        <v>220</v>
      </c>
      <c r="C14" s="11" t="s">
        <v>79</v>
      </c>
      <c r="D14" s="30">
        <f t="shared" si="0"/>
        <v>5.0729442970822269E-2</v>
      </c>
      <c r="E14" s="31">
        <f>Assumptions!$C$5</f>
        <v>1.244E-2</v>
      </c>
      <c r="F14" s="32">
        <f>IF($C14="L",Assumptions!$C$8,IF($C14="LM",Assumptions!$C$9,IF($C14="UM",Assumptions!$C$10,Assumptions!$C$11)))</f>
        <v>7.1689000000000003E-2</v>
      </c>
      <c r="G14" s="33">
        <f>IF(J14&lt;Assumptions!$C$13,"",MIN(MAX(D14,E14),F14))</f>
        <v>5.0729442970822269E-2</v>
      </c>
      <c r="H14" s="12" t="str">
        <f t="shared" si="1"/>
        <v>unadjusted</v>
      </c>
      <c r="I14" s="34">
        <f t="shared" si="2"/>
        <v>0</v>
      </c>
      <c r="J14" s="12">
        <f t="shared" si="3"/>
        <v>9</v>
      </c>
      <c r="K14" s="30">
        <f>IF(OR('GNI per capita'!AJ13="",'GNI per capita'!AK13=""),"",'GNI per capita'!AK13/'GNI per capita'!AJ13-1)</f>
        <v>5.1120723554856085E-3</v>
      </c>
      <c r="L14" s="30">
        <f>IF(OR('GNI per capita'!AK13="",'GNI per capita'!AL13=""),"",'GNI per capita'!AL13/'GNI per capita'!AK13-1)</f>
        <v>3.5211267605633756E-2</v>
      </c>
      <c r="M14" s="30">
        <f>IF(OR('GNI per capita'!AL13="",'GNI per capita'!AM13=""),"",'GNI per capita'!AM13/'GNI per capita'!AL13-1)</f>
        <v>5.7067271352985616E-2</v>
      </c>
      <c r="N14" s="30">
        <f>IF(OR('GNI per capita'!AM13="",'GNI per capita'!AN13=""),"",'GNI per capita'!AN13/'GNI per capita'!AM13-1)</f>
        <v>4.8265999284948125E-2</v>
      </c>
      <c r="O14" s="30">
        <f>IF(OR('GNI per capita'!AN13="",'GNI per capita'!AO13=""),"",'GNI per capita'!AO13/'GNI per capita'!AN13-1)</f>
        <v>-0.22407912687585263</v>
      </c>
      <c r="P14" s="30">
        <f>IF(OR('GNI per capita'!AO13="",'GNI per capita'!AP13=""),"",'GNI per capita'!AP13/'GNI per capita'!AO13-1)</f>
        <v>0.16703296703296711</v>
      </c>
      <c r="Q14" s="30">
        <f>IF(OR('GNI per capita'!AP13="",'GNI per capita'!AQ13=""),"",'GNI per capita'!AQ13/'GNI per capita'!AP13-1)</f>
        <v>0.13596986817325796</v>
      </c>
      <c r="R14" s="30">
        <f>IF(OR('GNI per capita'!AQ13="",'GNI per capita'!AR13=""),"",'GNI per capita'!AR13/'GNI per capita'!AQ13-1)</f>
        <v>5.0729442970822269E-2</v>
      </c>
      <c r="S14" s="30">
        <f>IF(OR('GNI per capita'!AR13="",'GNI per capita'!AS13=""),"",'GNI per capita'!AS13/'GNI per capita'!AR13-1)</f>
        <v>0.11076049226885454</v>
      </c>
      <c r="T14" s="30" t="str">
        <f>IF(OR('GNI per capita'!AS13="",'GNI per capita'!AT13=""),"",'GNI per capita'!AT13/'GNI per capita'!AS13-1)</f>
        <v/>
      </c>
      <c r="U14" s="2" t="s">
        <v>162</v>
      </c>
    </row>
    <row r="15" spans="1:21" x14ac:dyDescent="0.2">
      <c r="A15" s="2" t="s">
        <v>221</v>
      </c>
      <c r="B15" s="2" t="s">
        <v>222</v>
      </c>
      <c r="C15" s="11" t="s">
        <v>79</v>
      </c>
      <c r="D15" s="30">
        <f t="shared" si="0"/>
        <v>2.6767381893724407E-2</v>
      </c>
      <c r="E15" s="31">
        <f>Assumptions!$C$5</f>
        <v>1.244E-2</v>
      </c>
      <c r="F15" s="32">
        <f>IF($C15="L",Assumptions!$C$8,IF($C15="LM",Assumptions!$C$9,IF($C15="UM",Assumptions!$C$10,Assumptions!$C$11)))</f>
        <v>7.1689000000000003E-2</v>
      </c>
      <c r="G15" s="33">
        <f>IF(J15&lt;Assumptions!$C$13,"",MIN(MAX(D15,E15),F15))</f>
        <v>2.6767381893724407E-2</v>
      </c>
      <c r="H15" s="12" t="str">
        <f t="shared" si="1"/>
        <v>unadjusted</v>
      </c>
      <c r="I15" s="34">
        <f t="shared" si="2"/>
        <v>0</v>
      </c>
      <c r="J15" s="12">
        <f t="shared" si="3"/>
        <v>10</v>
      </c>
      <c r="K15" s="30">
        <f>IF(OR('GNI per capita'!AJ14="",'GNI per capita'!AK14=""),"",'GNI per capita'!AK14/'GNI per capita'!AJ14-1)</f>
        <v>-0.10612043435340568</v>
      </c>
      <c r="L15" s="30">
        <f>IF(OR('GNI per capita'!AK14="",'GNI per capita'!AL14=""),"",'GNI per capita'!AL14/'GNI per capita'!AK14-1)</f>
        <v>-4.8407877783913089E-2</v>
      </c>
      <c r="M15" s="30">
        <f>IF(OR('GNI per capita'!AL14="",'GNI per capita'!AM14=""),"",'GNI per capita'!AM14/'GNI per capita'!AL14-1)</f>
        <v>3.0560928433268852E-2</v>
      </c>
      <c r="N15" s="30">
        <f>IF(OR('GNI per capita'!AM14="",'GNI per capita'!AN14=""),"",'GNI per capita'!AN14/'GNI per capita'!AM14-1)</f>
        <v>3.3971471471471393E-2</v>
      </c>
      <c r="O15" s="30">
        <f>IF(OR('GNI per capita'!AN14="",'GNI per capita'!AO14=""),"",'GNI per capita'!AO14/'GNI per capita'!AN14-1)</f>
        <v>-2.3960791432201867E-2</v>
      </c>
      <c r="P15" s="30">
        <f>IF(OR('GNI per capita'!AO14="",'GNI per capita'!AP14=""),"",'GNI per capita'!AP14/'GNI per capita'!AO14-1)</f>
        <v>6.4162172214989877E-2</v>
      </c>
      <c r="Q15" s="30">
        <f>IF(OR('GNI per capita'!AP14="",'GNI per capita'!AQ14=""),"",'GNI per capita'!AQ14/'GNI per capita'!AP14-1)</f>
        <v>6.239077245718283E-2</v>
      </c>
      <c r="R15" s="30">
        <f>IF(OR('GNI per capita'!AQ14="",'GNI per capita'!AR14=""),"",'GNI per capita'!AR14/'GNI per capita'!AQ14-1)</f>
        <v>4.1618687284092681E-2</v>
      </c>
      <c r="S15" s="30">
        <f>IF(OR('GNI per capita'!AR14="",'GNI per capita'!AS14=""),"",'GNI per capita'!AS14/'GNI per capita'!AR14-1)</f>
        <v>-1.0107391029690493E-2</v>
      </c>
      <c r="T15" s="30">
        <f>IF(OR('GNI per capita'!AS14="",'GNI per capita'!AT14=""),"",'GNI per capita'!AT14/'GNI per capita'!AS14-1)</f>
        <v>2.2973835354179961E-2</v>
      </c>
      <c r="U15" s="2" t="s">
        <v>162</v>
      </c>
    </row>
    <row r="16" spans="1:21" x14ac:dyDescent="0.2">
      <c r="A16" s="2" t="s">
        <v>223</v>
      </c>
      <c r="B16" s="2" t="s">
        <v>224</v>
      </c>
      <c r="C16" s="11" t="s">
        <v>79</v>
      </c>
      <c r="D16" s="30">
        <f t="shared" si="0"/>
        <v>1.8750628221978927E-2</v>
      </c>
      <c r="E16" s="31">
        <f>Assumptions!$C$5</f>
        <v>1.244E-2</v>
      </c>
      <c r="F16" s="32">
        <f>IF($C16="L",Assumptions!$C$8,IF($C16="LM",Assumptions!$C$9,IF($C16="UM",Assumptions!$C$10,Assumptions!$C$11)))</f>
        <v>7.1689000000000003E-2</v>
      </c>
      <c r="G16" s="33">
        <f>IF(J16&lt;Assumptions!$C$13,"",MIN(MAX(D16,E16),F16))</f>
        <v>1.8750628221978927E-2</v>
      </c>
      <c r="H16" s="12" t="str">
        <f t="shared" si="1"/>
        <v>unadjusted</v>
      </c>
      <c r="I16" s="34">
        <f t="shared" si="2"/>
        <v>0</v>
      </c>
      <c r="J16" s="12">
        <f t="shared" si="3"/>
        <v>10</v>
      </c>
      <c r="K16" s="30">
        <f>IF(OR('GNI per capita'!AJ15="",'GNI per capita'!AK15=""),"",'GNI per capita'!AK15/'GNI per capita'!AJ15-1)</f>
        <v>-2.5641025641025661E-2</v>
      </c>
      <c r="L16" s="30">
        <f>IF(OR('GNI per capita'!AK15="",'GNI per capita'!AL15=""),"",'GNI per capita'!AL15/'GNI per capita'!AK15-1)</f>
        <v>-2.566333188342762E-2</v>
      </c>
      <c r="M16" s="30">
        <f>IF(OR('GNI per capita'!AL15="",'GNI per capita'!AM15=""),"",'GNI per capita'!AM15/'GNI per capita'!AL15-1)</f>
        <v>8.7276785714285765E-2</v>
      </c>
      <c r="N16" s="30">
        <f>IF(OR('GNI per capita'!AM15="",'GNI per capita'!AN15=""),"",'GNI per capita'!AN15/'GNI per capita'!AM15-1)</f>
        <v>4.4959967152535363E-2</v>
      </c>
      <c r="O16" s="30">
        <f>IF(OR('GNI per capita'!AN15="",'GNI per capita'!AO15=""),"",'GNI per capita'!AO15/'GNI per capita'!AN15-1)</f>
        <v>-3.7328094302554016E-2</v>
      </c>
      <c r="P16" s="30">
        <f>IF(OR('GNI per capita'!AO15="",'GNI per capita'!AP15=""),"",'GNI per capita'!AP15/'GNI per capita'!AO15-1)</f>
        <v>9.061224489795916E-2</v>
      </c>
      <c r="Q16" s="30">
        <f>IF(OR('GNI per capita'!AP15="",'GNI per capita'!AQ15=""),"",'GNI per capita'!AQ15/'GNI per capita'!AP15-1)</f>
        <v>5.3705089820359264E-2</v>
      </c>
      <c r="R16" s="30">
        <f>IF(OR('GNI per capita'!AQ15="",'GNI per capita'!AR15=""),"",'GNI per capita'!AR15/'GNI per capita'!AQ15-1)</f>
        <v>-7.4587107085775095E-3</v>
      </c>
      <c r="S16" s="30">
        <f>IF(OR('GNI per capita'!AR15="",'GNI per capita'!AS15=""),"",'GNI per capita'!AS15/'GNI per capita'!AR15-1)</f>
        <v>-2.0218285918769063E-2</v>
      </c>
      <c r="T16" s="30">
        <f>IF(OR('GNI per capita'!AS15="",'GNI per capita'!AT15=""),"",'GNI per capita'!AT15/'GNI per capita'!AS15-1)</f>
        <v>0.1022644265887509</v>
      </c>
      <c r="U16" s="2" t="s">
        <v>162</v>
      </c>
    </row>
    <row r="17" spans="1:21" x14ac:dyDescent="0.2">
      <c r="A17" s="2" t="s">
        <v>225</v>
      </c>
      <c r="B17" s="2" t="s">
        <v>226</v>
      </c>
      <c r="C17" s="11" t="s">
        <v>82</v>
      </c>
      <c r="D17" s="30">
        <f t="shared" si="0"/>
        <v>4.9353469248734849E-2</v>
      </c>
      <c r="E17" s="31">
        <f>Assumptions!$C$5</f>
        <v>1.244E-2</v>
      </c>
      <c r="F17" s="32">
        <f>IF($C17="L",Assumptions!$C$8,IF($C17="LM",Assumptions!$C$9,IF($C17="UM",Assumptions!$C$10,Assumptions!$C$11)))</f>
        <v>9.0712000000000001E-2</v>
      </c>
      <c r="G17" s="33">
        <f>IF(J17&lt;Assumptions!$C$13,"",MIN(MAX(D17,E17),F17))</f>
        <v>4.9353469248734849E-2</v>
      </c>
      <c r="H17" s="12" t="str">
        <f t="shared" si="1"/>
        <v>unadjusted</v>
      </c>
      <c r="I17" s="34">
        <f t="shared" si="2"/>
        <v>0</v>
      </c>
      <c r="J17" s="12">
        <f t="shared" si="3"/>
        <v>10</v>
      </c>
      <c r="K17" s="30">
        <f>IF(OR('GNI per capita'!AJ16="",'GNI per capita'!AK16=""),"",'GNI per capita'!AK16/'GNI per capita'!AJ16-1)</f>
        <v>-0.27534039334341909</v>
      </c>
      <c r="L17" s="30">
        <f>IF(OR('GNI per capita'!AK16="",'GNI per capita'!AL16=""),"",'GNI per capita'!AL16/'GNI per capita'!AK16-1)</f>
        <v>-0.14196242171189977</v>
      </c>
      <c r="M17" s="30">
        <f>IF(OR('GNI per capita'!AL16="",'GNI per capita'!AM16=""),"",'GNI per capita'!AM16/'GNI per capita'!AL16-1)</f>
        <v>-7.2992700729926918E-3</v>
      </c>
      <c r="N17" s="30">
        <f>IF(OR('GNI per capita'!AM16="",'GNI per capita'!AN16=""),"",'GNI per capita'!AN16/'GNI per capita'!AM16-1)</f>
        <v>0.10539215686274517</v>
      </c>
      <c r="O17" s="30">
        <f>IF(OR('GNI per capita'!AN16="",'GNI per capita'!AO16=""),"",'GNI per capita'!AO16/'GNI per capita'!AN16-1)</f>
        <v>-6.6518847006651338E-3</v>
      </c>
      <c r="P17" s="30">
        <f>IF(OR('GNI per capita'!AO16="",'GNI per capita'!AP16=""),"",'GNI per capita'!AP16/'GNI per capita'!AO16-1)</f>
        <v>9.5982142857142794E-2</v>
      </c>
      <c r="Q17" s="30">
        <f>IF(OR('GNI per capita'!AP16="",'GNI per capita'!AQ16=""),"",'GNI per capita'!AQ16/'GNI per capita'!AP16-1)</f>
        <v>0.15478615071283097</v>
      </c>
      <c r="R17" s="30">
        <f>IF(OR('GNI per capita'!AQ16="",'GNI per capita'!AR16=""),"",'GNI per capita'!AR16/'GNI per capita'!AQ16-1)</f>
        <v>0.17813051146384473</v>
      </c>
      <c r="S17" s="30">
        <f>IF(OR('GNI per capita'!AR16="",'GNI per capita'!AS16=""),"",'GNI per capita'!AS16/'GNI per capita'!AR16-1)</f>
        <v>9.8802395209580895E-2</v>
      </c>
      <c r="T17" s="30">
        <f>IF(OR('GNI per capita'!AS16="",'GNI per capita'!AT16=""),"",'GNI per capita'!AT16/'GNI per capita'!AS16-1)</f>
        <v>2.7247956403269047E-3</v>
      </c>
      <c r="U17" s="2" t="s">
        <v>162</v>
      </c>
    </row>
    <row r="18" spans="1:21" x14ac:dyDescent="0.2">
      <c r="A18" s="2" t="s">
        <v>227</v>
      </c>
      <c r="B18" s="2" t="s">
        <v>228</v>
      </c>
      <c r="C18" s="11" t="s">
        <v>79</v>
      </c>
      <c r="D18" s="30">
        <f t="shared" si="0"/>
        <v>4.1136430896715037E-2</v>
      </c>
      <c r="E18" s="31">
        <f>Assumptions!$C$5</f>
        <v>1.244E-2</v>
      </c>
      <c r="F18" s="32">
        <f>IF($C18="L",Assumptions!$C$8,IF($C18="LM",Assumptions!$C$9,IF($C18="UM",Assumptions!$C$10,Assumptions!$C$11)))</f>
        <v>7.1689000000000003E-2</v>
      </c>
      <c r="G18" s="33">
        <f>IF(J18&lt;Assumptions!$C$13,"",MIN(MAX(D18,E18),F18))</f>
        <v>4.1136430896715037E-2</v>
      </c>
      <c r="H18" s="12" t="str">
        <f t="shared" si="1"/>
        <v>unadjusted</v>
      </c>
      <c r="I18" s="34">
        <f t="shared" si="2"/>
        <v>0</v>
      </c>
      <c r="J18" s="12">
        <f t="shared" si="3"/>
        <v>9</v>
      </c>
      <c r="K18" s="30">
        <f>IF(OR('GNI per capita'!AJ17="",'GNI per capita'!AK17=""),"",'GNI per capita'!AK17/'GNI per capita'!AJ17-1)</f>
        <v>7.2411296162200323E-3</v>
      </c>
      <c r="L18" s="30">
        <f>IF(OR('GNI per capita'!AK17="",'GNI per capita'!AL17=""),"",'GNI per capita'!AL17/'GNI per capita'!AK17-1)</f>
        <v>6.2904385334291879E-2</v>
      </c>
      <c r="M18" s="30">
        <f>IF(OR('GNI per capita'!AL17="",'GNI per capita'!AM17=""),"",'GNI per capita'!AM17/'GNI per capita'!AL17-1)</f>
        <v>3.6523503550896175E-2</v>
      </c>
      <c r="N18" s="30">
        <f>IF(OR('GNI per capita'!AM17="",'GNI per capita'!AN17=""),"",'GNI per capita'!AN17/'GNI per capita'!AM17-1)</f>
        <v>3.1973898858075112E-2</v>
      </c>
      <c r="O18" s="30">
        <f>IF(OR('GNI per capita'!AN17="",'GNI per capita'!AO17=""),"",'GNI per capita'!AO17/'GNI per capita'!AN17-1)</f>
        <v>-0.20392032880177047</v>
      </c>
      <c r="P18" s="30">
        <f>IF(OR('GNI per capita'!AO17="",'GNI per capita'!AP17=""),"",'GNI per capita'!AP17/'GNI per capita'!AO17-1)</f>
        <v>0.18784749801429701</v>
      </c>
      <c r="Q18" s="30">
        <f>IF(OR('GNI per capita'!AP17="",'GNI per capita'!AQ17=""),"",'GNI per capita'!AQ17/'GNI per capita'!AP17-1)</f>
        <v>0.12972250083584091</v>
      </c>
      <c r="R18" s="30">
        <f>IF(OR('GNI per capita'!AQ17="",'GNI per capita'!AR17=""),"",'GNI per capita'!AR17/'GNI per capita'!AQ17-1)</f>
        <v>4.1136430896715037E-2</v>
      </c>
      <c r="S18" s="30">
        <f>IF(OR('GNI per capita'!AR17="",'GNI per capita'!AS17=""),"",'GNI per capita'!AS17/'GNI per capita'!AR17-1)</f>
        <v>5.2302444570778928E-2</v>
      </c>
      <c r="T18" s="30" t="str">
        <f>IF(OR('GNI per capita'!AS17="",'GNI per capita'!AT17=""),"",'GNI per capita'!AT17/'GNI per capita'!AS17-1)</f>
        <v/>
      </c>
      <c r="U18" s="2" t="s">
        <v>162</v>
      </c>
    </row>
    <row r="19" spans="1:21" x14ac:dyDescent="0.2">
      <c r="A19" s="2" t="s">
        <v>229</v>
      </c>
      <c r="B19" s="2" t="s">
        <v>230</v>
      </c>
      <c r="C19" s="11" t="s">
        <v>79</v>
      </c>
      <c r="D19" s="30">
        <f t="shared" si="0"/>
        <v>1.3831469962155563E-2</v>
      </c>
      <c r="E19" s="31">
        <f>Assumptions!$C$5</f>
        <v>1.244E-2</v>
      </c>
      <c r="F19" s="32">
        <f>IF($C19="L",Assumptions!$C$8,IF($C19="LM",Assumptions!$C$9,IF($C19="UM",Assumptions!$C$10,Assumptions!$C$11)))</f>
        <v>7.1689000000000003E-2</v>
      </c>
      <c r="G19" s="33">
        <f>IF(J19&lt;Assumptions!$C$13,"",MIN(MAX(D19,E19),F19))</f>
        <v>1.3831469962155563E-2</v>
      </c>
      <c r="H19" s="12" t="str">
        <f t="shared" si="1"/>
        <v>unadjusted</v>
      </c>
      <c r="I19" s="34">
        <f t="shared" si="2"/>
        <v>0</v>
      </c>
      <c r="J19" s="12">
        <f t="shared" si="3"/>
        <v>10</v>
      </c>
      <c r="K19" s="30">
        <f>IF(OR('GNI per capita'!AJ18="",'GNI per capita'!AK18=""),"",'GNI per capita'!AK18/'GNI per capita'!AJ18-1)</f>
        <v>-3.8917089678511041E-2</v>
      </c>
      <c r="L19" s="30">
        <f>IF(OR('GNI per capita'!AK18="",'GNI per capita'!AL18=""),"",'GNI per capita'!AL18/'GNI per capita'!AK18-1)</f>
        <v>-1.5845070422535246E-2</v>
      </c>
      <c r="M19" s="30">
        <f>IF(OR('GNI per capita'!AL18="",'GNI per capita'!AM18=""),"",'GNI per capita'!AM18/'GNI per capita'!AL18-1)</f>
        <v>8.2289803220035873E-2</v>
      </c>
      <c r="N19" s="30">
        <f>IF(OR('GNI per capita'!AM18="",'GNI per capita'!AN18=""),"",'GNI per capita'!AN18/'GNI per capita'!AM18-1)</f>
        <v>6.6115702479338845E-2</v>
      </c>
      <c r="O19" s="30">
        <f>IF(OR('GNI per capita'!AN18="",'GNI per capita'!AO18=""),"",'GNI per capita'!AO18/'GNI per capita'!AN18-1)</f>
        <v>-7.4806201550387641E-2</v>
      </c>
      <c r="P19" s="30">
        <f>IF(OR('GNI per capita'!AO18="",'GNI per capita'!AP18=""),"",'GNI per capita'!AP18/'GNI per capita'!AO18-1)</f>
        <v>5.7394218684541309E-2</v>
      </c>
      <c r="Q19" s="30">
        <f>IF(OR('GNI per capita'!AP18="",'GNI per capita'!AQ18=""),"",'GNI per capita'!AQ18/'GNI per capita'!AP18-1)</f>
        <v>0.12123613312202863</v>
      </c>
      <c r="R19" s="30">
        <f>IF(OR('GNI per capita'!AQ18="",'GNI per capita'!AR18=""),"",'GNI per capita'!AR18/'GNI per capita'!AQ18-1)</f>
        <v>5.6537102473497303E-3</v>
      </c>
      <c r="S19" s="30">
        <f>IF(OR('GNI per capita'!AR18="",'GNI per capita'!AS18=""),"",'GNI per capita'!AS18/'GNI per capita'!AR18-1)</f>
        <v>-1.018973998594519E-2</v>
      </c>
      <c r="T19" s="30">
        <f>IF(OR('GNI per capita'!AS18="",'GNI per capita'!AT18=""),"",'GNI per capita'!AT18/'GNI per capita'!AS18-1)</f>
        <v>2.2009229676961395E-2</v>
      </c>
      <c r="U19" s="2" t="s">
        <v>162</v>
      </c>
    </row>
    <row r="20" spans="1:21" x14ac:dyDescent="0.2">
      <c r="A20" s="2" t="s">
        <v>231</v>
      </c>
      <c r="B20" s="2" t="s">
        <v>232</v>
      </c>
      <c r="C20" s="11" t="s">
        <v>210</v>
      </c>
      <c r="D20" s="30">
        <f t="shared" si="0"/>
        <v>9.7581873571972677E-2</v>
      </c>
      <c r="E20" s="31">
        <f>Assumptions!$C$5</f>
        <v>1.244E-2</v>
      </c>
      <c r="F20" s="32">
        <f>IF($C20="L",Assumptions!$C$8,IF($C20="LM",Assumptions!$C$9,IF($C20="UM",Assumptions!$C$10,Assumptions!$C$11)))</f>
        <v>7.4680999999999997E-2</v>
      </c>
      <c r="G20" s="33">
        <f>IF(J20&lt;Assumptions!$C$13,"",MIN(MAX(D20,E20),F20))</f>
        <v>7.4680999999999997E-2</v>
      </c>
      <c r="H20" s="12" t="str">
        <f t="shared" si="1"/>
        <v>cut by cap</v>
      </c>
      <c r="I20" s="34">
        <f t="shared" si="2"/>
        <v>-2.290087357197268E-2</v>
      </c>
      <c r="J20" s="12">
        <f t="shared" si="3"/>
        <v>10</v>
      </c>
      <c r="K20" s="30">
        <f>IF(OR('GNI per capita'!AJ19="",'GNI per capita'!AK19=""),"",'GNI per capita'!AK19/'GNI per capita'!AJ19-1)</f>
        <v>0.16666666666666674</v>
      </c>
      <c r="L20" s="30">
        <f>IF(OR('GNI per capita'!AK19="",'GNI per capita'!AL19=""),"",'GNI per capita'!AL19/'GNI per capita'!AK19-1)</f>
        <v>0.17142857142857149</v>
      </c>
      <c r="M20" s="30">
        <f>IF(OR('GNI per capita'!AL19="",'GNI per capita'!AM19=""),"",'GNI per capita'!AM19/'GNI per capita'!AL19-1)</f>
        <v>0.23170731707317072</v>
      </c>
      <c r="N20" s="30">
        <f>IF(OR('GNI per capita'!AM19="",'GNI per capita'!AN19=""),"",'GNI per capita'!AN19/'GNI per capita'!AM19-1)</f>
        <v>9.9009900990099098E-2</v>
      </c>
      <c r="O20" s="30">
        <f>IF(OR('GNI per capita'!AN19="",'GNI per capita'!AO19=""),"",'GNI per capita'!AO19/'GNI per capita'!AN19-1)</f>
        <v>4.5045045045045029E-2</v>
      </c>
      <c r="P20" s="30">
        <f>IF(OR('GNI per capita'!AO19="",'GNI per capita'!AP19=""),"",'GNI per capita'!AP19/'GNI per capita'!AO19-1)</f>
        <v>0.1206896551724137</v>
      </c>
      <c r="Q20" s="30">
        <f>IF(OR('GNI per capita'!AP19="",'GNI per capita'!AQ19=""),"",'GNI per capita'!AQ19/'GNI per capita'!AP19-1)</f>
        <v>9.6153846153846256E-2</v>
      </c>
      <c r="R20" s="30">
        <f>IF(OR('GNI per capita'!AQ19="",'GNI per capita'!AR19=""),"",'GNI per capita'!AR19/'GNI per capita'!AQ19-1)</f>
        <v>1.0526315789473717E-2</v>
      </c>
      <c r="S20" s="30">
        <f>IF(OR('GNI per capita'!AR19="",'GNI per capita'!AS19=""),"",'GNI per capita'!AS19/'GNI per capita'!AR19-1)</f>
        <v>-2.083333333333337E-2</v>
      </c>
      <c r="T20" s="30">
        <f>IF(OR('GNI per capita'!AS19="",'GNI per capita'!AT19=""),"",'GNI per capita'!AT19/'GNI per capita'!AS19-1)</f>
        <v>7.0921985815601829E-3</v>
      </c>
      <c r="U20" s="28" t="s">
        <v>233</v>
      </c>
    </row>
    <row r="21" spans="1:21" x14ac:dyDescent="0.2">
      <c r="A21" s="2" t="s">
        <v>234</v>
      </c>
      <c r="B21" s="2" t="s">
        <v>235</v>
      </c>
      <c r="C21" s="11" t="s">
        <v>79</v>
      </c>
      <c r="D21" s="30">
        <f t="shared" si="0"/>
        <v>2.6986561904655315E-2</v>
      </c>
      <c r="E21" s="31">
        <f>Assumptions!$C$5</f>
        <v>1.244E-2</v>
      </c>
      <c r="F21" s="32">
        <f>IF($C21="L",Assumptions!$C$8,IF($C21="LM",Assumptions!$C$9,IF($C21="UM",Assumptions!$C$10,Assumptions!$C$11)))</f>
        <v>7.1689000000000003E-2</v>
      </c>
      <c r="G21" s="33">
        <f>IF(J21&lt;Assumptions!$C$13,"",MIN(MAX(D21,E21),F21))</f>
        <v>2.6986561904655315E-2</v>
      </c>
      <c r="H21" s="12" t="str">
        <f t="shared" si="1"/>
        <v>unadjusted</v>
      </c>
      <c r="I21" s="34">
        <f t="shared" si="2"/>
        <v>0</v>
      </c>
      <c r="J21" s="12">
        <f t="shared" si="3"/>
        <v>10</v>
      </c>
      <c r="K21" s="30">
        <f>IF(OR('GNI per capita'!AJ20="",'GNI per capita'!AK20=""),"",'GNI per capita'!AK20/'GNI per capita'!AJ20-1)</f>
        <v>1.0373443983402453E-3</v>
      </c>
      <c r="L21" s="30">
        <f>IF(OR('GNI per capita'!AK20="",'GNI per capita'!AL20=""),"",'GNI per capita'!AL20/'GNI per capita'!AK20-1)</f>
        <v>1.3989637305699576E-2</v>
      </c>
      <c r="M21" s="30">
        <f>IF(OR('GNI per capita'!AL20="",'GNI per capita'!AM20=""),"",'GNI per capita'!AM20/'GNI per capita'!AL20-1)</f>
        <v>3.4236075625958096E-2</v>
      </c>
      <c r="N21" s="30">
        <f>IF(OR('GNI per capita'!AM20="",'GNI per capita'!AN20=""),"",'GNI per capita'!AN20/'GNI per capita'!AM20-1)</f>
        <v>2.7667984189723382E-2</v>
      </c>
      <c r="O21" s="30">
        <f>IF(OR('GNI per capita'!AN20="",'GNI per capita'!AO20=""),"",'GNI per capita'!AO20/'GNI per capita'!AN20-1)</f>
        <v>-0.12067307692307694</v>
      </c>
      <c r="P21" s="30">
        <f>IF(OR('GNI per capita'!AO20="",'GNI per capita'!AP20=""),"",'GNI per capita'!AP20/'GNI per capita'!AO20-1)</f>
        <v>0.13176599234554409</v>
      </c>
      <c r="Q21" s="30">
        <f>IF(OR('GNI per capita'!AP20="",'GNI per capita'!AQ20=""),"",'GNI per capita'!AQ20/'GNI per capita'!AP20-1)</f>
        <v>0.19613526570048312</v>
      </c>
      <c r="R21" s="30">
        <f>IF(OR('GNI per capita'!AQ20="",'GNI per capita'!AR20=""),"",'GNI per capita'!AR20/'GNI per capita'!AQ20-1)</f>
        <v>-2.0193861066235552E-3</v>
      </c>
      <c r="S21" s="30">
        <f>IF(OR('GNI per capita'!AR20="",'GNI per capita'!AS20=""),"",'GNI per capita'!AS20/'GNI per capita'!AR20-1)</f>
        <v>2.6305139619587248E-2</v>
      </c>
      <c r="T21" s="30">
        <f>IF(OR('GNI per capita'!AS20="",'GNI per capita'!AT20=""),"",'GNI per capita'!AT20/'GNI per capita'!AS20-1)</f>
        <v>6.7823343848580464E-2</v>
      </c>
      <c r="U21" s="2" t="s">
        <v>162</v>
      </c>
    </row>
    <row r="22" spans="1:21" x14ac:dyDescent="0.2">
      <c r="A22" s="2" t="s">
        <v>236</v>
      </c>
      <c r="B22" s="2" t="s">
        <v>237</v>
      </c>
      <c r="C22" s="11" t="s">
        <v>82</v>
      </c>
      <c r="D22" s="30">
        <f t="shared" si="0"/>
        <v>7.2291796369905681E-2</v>
      </c>
      <c r="E22" s="31">
        <f>Assumptions!$C$5</f>
        <v>1.244E-2</v>
      </c>
      <c r="F22" s="32">
        <f>IF($C22="L",Assumptions!$C$8,IF($C22="LM",Assumptions!$C$9,IF($C22="UM",Assumptions!$C$10,Assumptions!$C$11)))</f>
        <v>9.0712000000000001E-2</v>
      </c>
      <c r="G22" s="33">
        <f>IF(J22&lt;Assumptions!$C$13,"",MIN(MAX(D22,E22),F22))</f>
        <v>7.2291796369905681E-2</v>
      </c>
      <c r="H22" s="12" t="str">
        <f t="shared" si="1"/>
        <v>unadjusted</v>
      </c>
      <c r="I22" s="34">
        <f t="shared" si="2"/>
        <v>0</v>
      </c>
      <c r="J22" s="12">
        <f t="shared" si="3"/>
        <v>10</v>
      </c>
      <c r="K22" s="30">
        <f>IF(OR('GNI per capita'!AJ21="",'GNI per capita'!AK21=""),"",'GNI per capita'!AK21/'GNI per capita'!AJ21-1)</f>
        <v>-0.16320474777448069</v>
      </c>
      <c r="L22" s="30">
        <f>IF(OR('GNI per capita'!AK21="",'GNI per capita'!AL21=""),"",'GNI per capita'!AL21/'GNI per capita'!AK21-1)</f>
        <v>-5.673758865248224E-2</v>
      </c>
      <c r="M22" s="30">
        <f>IF(OR('GNI per capita'!AL21="",'GNI per capita'!AM21=""),"",'GNI per capita'!AM21/'GNI per capita'!AL21-1)</f>
        <v>7.7067669172932396E-2</v>
      </c>
      <c r="N22" s="30">
        <f>IF(OR('GNI per capita'!AM21="",'GNI per capita'!AN21=""),"",'GNI per capita'!AN21/'GNI per capita'!AM21-1)</f>
        <v>0.11169284467713791</v>
      </c>
      <c r="O22" s="30">
        <f>IF(OR('GNI per capita'!AN21="",'GNI per capita'!AO21=""),"",'GNI per capita'!AO21/'GNI per capita'!AN21-1)</f>
        <v>6.2794348508634634E-3</v>
      </c>
      <c r="P22" s="30">
        <f>IF(OR('GNI per capita'!AO21="",'GNI per capita'!AP21=""),"",'GNI per capita'!AP21/'GNI per capita'!AO21-1)</f>
        <v>9.8283931357254328E-2</v>
      </c>
      <c r="Q22" s="30">
        <f>IF(OR('GNI per capita'!AP21="",'GNI per capita'!AQ21=""),"",'GNI per capita'!AQ21/'GNI per capita'!AP21-1)</f>
        <v>2.4147727272727293E-2</v>
      </c>
      <c r="R22" s="30">
        <f>IF(OR('GNI per capita'!AQ21="",'GNI per capita'!AR21=""),"",'GNI per capita'!AR21/'GNI per capita'!AQ21-1)</f>
        <v>8.8765603328710085E-2</v>
      </c>
      <c r="S22" s="30">
        <f>IF(OR('GNI per capita'!AR21="",'GNI per capita'!AS21=""),"",'GNI per capita'!AS21/'GNI per capita'!AR21-1)</f>
        <v>6.7515923566878966E-2</v>
      </c>
      <c r="T22" s="30">
        <f>IF(OR('GNI per capita'!AS21="",'GNI per capita'!AT21=""),"",'GNI per capita'!AT21/'GNI per capita'!AS21-1)</f>
        <v>9.3078758949880713E-2</v>
      </c>
      <c r="U22" s="2" t="s">
        <v>162</v>
      </c>
    </row>
    <row r="23" spans="1:21" x14ac:dyDescent="0.2">
      <c r="A23" s="2" t="s">
        <v>238</v>
      </c>
      <c r="B23" s="2" t="s">
        <v>239</v>
      </c>
      <c r="C23" s="11" t="s">
        <v>79</v>
      </c>
      <c r="D23" s="30">
        <f t="shared" si="0"/>
        <v>3.3678864849488788E-2</v>
      </c>
      <c r="E23" s="31">
        <f>Assumptions!$C$5</f>
        <v>1.244E-2</v>
      </c>
      <c r="F23" s="32">
        <f>IF($C23="L",Assumptions!$C$8,IF($C23="LM",Assumptions!$C$9,IF($C23="UM",Assumptions!$C$10,Assumptions!$C$11)))</f>
        <v>7.1689000000000003E-2</v>
      </c>
      <c r="G23" s="33">
        <f>IF(J23&lt;Assumptions!$C$13,"",MIN(MAX(D23,E23),F23))</f>
        <v>3.3678864849488788E-2</v>
      </c>
      <c r="H23" s="12" t="str">
        <f t="shared" si="1"/>
        <v>unadjusted</v>
      </c>
      <c r="I23" s="34">
        <f t="shared" si="2"/>
        <v>0</v>
      </c>
      <c r="J23" s="12">
        <f t="shared" si="3"/>
        <v>10</v>
      </c>
      <c r="K23" s="30">
        <f>IF(OR('GNI per capita'!AJ22="",'GNI per capita'!AK22=""),"",'GNI per capita'!AK22/'GNI per capita'!AJ22-1)</f>
        <v>-5.0087873462214438E-2</v>
      </c>
      <c r="L23" s="30">
        <f>IF(OR('GNI per capita'!AK22="",'GNI per capita'!AL22=""),"",'GNI per capita'!AL22/'GNI per capita'!AK22-1)</f>
        <v>-2.1507863089731738E-2</v>
      </c>
      <c r="M23" s="30">
        <f>IF(OR('GNI per capita'!AL22="",'GNI per capita'!AM22=""),"",'GNI per capita'!AM22/'GNI per capita'!AL22-1)</f>
        <v>8.6740723233278194E-2</v>
      </c>
      <c r="N23" s="30">
        <f>IF(OR('GNI per capita'!AM22="",'GNI per capita'!AN22=""),"",'GNI per capita'!AN22/'GNI per capita'!AM22-1)</f>
        <v>4.5454545454545414E-2</v>
      </c>
      <c r="O23" s="30">
        <f>IF(OR('GNI per capita'!AN22="",'GNI per capita'!AO22=""),"",'GNI per capita'!AO22/'GNI per capita'!AN22-1)</f>
        <v>-3.6197212398585421E-2</v>
      </c>
      <c r="P23" s="30">
        <f>IF(OR('GNI per capita'!AO22="",'GNI per capita'!AP22=""),"",'GNI per capita'!AP22/'GNI per capita'!AO22-1)</f>
        <v>0.10382041873516079</v>
      </c>
      <c r="Q23" s="30">
        <f>IF(OR('GNI per capita'!AP22="",'GNI per capita'!AQ22=""),"",'GNI per capita'!AQ22/'GNI per capita'!AP22-1)</f>
        <v>6.2377786468517771E-2</v>
      </c>
      <c r="R23" s="30">
        <f>IF(OR('GNI per capita'!AQ22="",'GNI per capita'!AR22=""),"",'GNI per capita'!AR22/'GNI per capita'!AQ22-1)</f>
        <v>2.1903184244432161E-2</v>
      </c>
      <c r="S23" s="30">
        <f>IF(OR('GNI per capita'!AR22="",'GNI per capita'!AS22=""),"",'GNI per capita'!AS22/'GNI per capita'!AR22-1)</f>
        <v>-4.1426512968300022E-3</v>
      </c>
      <c r="T23" s="30">
        <f>IF(OR('GNI per capita'!AS22="",'GNI per capita'!AT22=""),"",'GNI per capita'!AT22/'GNI per capita'!AS22-1)</f>
        <v>7.6143968167842191E-2</v>
      </c>
      <c r="U23" s="2" t="s">
        <v>162</v>
      </c>
    </row>
    <row r="24" spans="1:21" x14ac:dyDescent="0.2">
      <c r="A24" s="2" t="s">
        <v>240</v>
      </c>
      <c r="B24" s="2" t="s">
        <v>241</v>
      </c>
      <c r="C24" s="11" t="s">
        <v>82</v>
      </c>
      <c r="D24" s="30">
        <f t="shared" si="0"/>
        <v>3.2319336080184669E-2</v>
      </c>
      <c r="E24" s="31">
        <f>Assumptions!$C$5</f>
        <v>1.244E-2</v>
      </c>
      <c r="F24" s="32">
        <f>IF($C24="L",Assumptions!$C$8,IF($C24="LM",Assumptions!$C$9,IF($C24="UM",Assumptions!$C$10,Assumptions!$C$11)))</f>
        <v>9.0712000000000001E-2</v>
      </c>
      <c r="G24" s="33">
        <f>IF(J24&lt;Assumptions!$C$13,"",MIN(MAX(D24,E24),F24))</f>
        <v>3.2319336080184669E-2</v>
      </c>
      <c r="H24" s="12" t="str">
        <f t="shared" si="1"/>
        <v>unadjusted</v>
      </c>
      <c r="I24" s="34">
        <f t="shared" si="2"/>
        <v>0</v>
      </c>
      <c r="J24" s="12">
        <f t="shared" si="3"/>
        <v>10</v>
      </c>
      <c r="K24" s="30">
        <f>IF(OR('GNI per capita'!AJ23="",'GNI per capita'!AK23=""),"",'GNI per capita'!AK23/'GNI per capita'!AJ23-1)</f>
        <v>-2.5906735751295318E-2</v>
      </c>
      <c r="L24" s="30">
        <f>IF(OR('GNI per capita'!AK23="",'GNI per capita'!AL23=""),"",'GNI per capita'!AL23/'GNI per capita'!AK23-1)</f>
        <v>-2.6595744680851019E-2</v>
      </c>
      <c r="M24" s="30">
        <f>IF(OR('GNI per capita'!AL23="",'GNI per capita'!AM23=""),"",'GNI per capita'!AM23/'GNI per capita'!AL23-1)</f>
        <v>2.1857923497267784E-2</v>
      </c>
      <c r="N24" s="30">
        <f>IF(OR('GNI per capita'!AM23="",'GNI per capita'!AN23=""),"",'GNI per capita'!AN23/'GNI per capita'!AM23-1)</f>
        <v>4.2780748663101553E-2</v>
      </c>
      <c r="O24" s="30">
        <f>IF(OR('GNI per capita'!AN23="",'GNI per capita'!AO23=""),"",'GNI per capita'!AO23/'GNI per capita'!AN23-1)</f>
        <v>-0.11623931623931627</v>
      </c>
      <c r="P24" s="30">
        <f>IF(OR('GNI per capita'!AO23="",'GNI per capita'!AP23=""),"",'GNI per capita'!AP23/'GNI per capita'!AO23-1)</f>
        <v>0.18375241779497098</v>
      </c>
      <c r="Q24" s="30">
        <f>IF(OR('GNI per capita'!AP23="",'GNI per capita'!AQ23=""),"",'GNI per capita'!AQ23/'GNI per capita'!AP23-1)</f>
        <v>9.6405228758170036E-2</v>
      </c>
      <c r="R24" s="30">
        <f>IF(OR('GNI per capita'!AQ23="",'GNI per capita'!AR23=""),"",'GNI per capita'!AR23/'GNI per capita'!AQ23-1)</f>
        <v>2.0864381520119268E-2</v>
      </c>
      <c r="S24" s="30">
        <f>IF(OR('GNI per capita'!AR23="",'GNI per capita'!AS23=""),"",'GNI per capita'!AS23/'GNI per capita'!AR23-1)</f>
        <v>4.3795620437956151E-2</v>
      </c>
      <c r="T24" s="30">
        <f>IF(OR('GNI per capita'!AS23="",'GNI per capita'!AT23=""),"",'GNI per capita'!AT23/'GNI per capita'!AS23-1)</f>
        <v>5.3146853146853079E-2</v>
      </c>
      <c r="U24" s="2" t="s">
        <v>162</v>
      </c>
    </row>
    <row r="25" spans="1:21" x14ac:dyDescent="0.2">
      <c r="A25" s="2" t="s">
        <v>242</v>
      </c>
      <c r="B25" s="2" t="s">
        <v>243</v>
      </c>
      <c r="C25" s="11" t="s">
        <v>210</v>
      </c>
      <c r="D25" s="30">
        <f t="shared" si="0"/>
        <v>3.6709917780061718E-2</v>
      </c>
      <c r="E25" s="31">
        <f>Assumptions!$C$5</f>
        <v>1.244E-2</v>
      </c>
      <c r="F25" s="32">
        <f>IF($C25="L",Assumptions!$C$8,IF($C25="LM",Assumptions!$C$9,IF($C25="UM",Assumptions!$C$10,Assumptions!$C$11)))</f>
        <v>7.4680999999999997E-2</v>
      </c>
      <c r="G25" s="33">
        <f>IF(J25&lt;Assumptions!$C$13,"",MIN(MAX(D25,E25),F25))</f>
        <v>3.6709917780061718E-2</v>
      </c>
      <c r="H25" s="12" t="str">
        <f t="shared" si="1"/>
        <v>unadjusted</v>
      </c>
      <c r="I25" s="34">
        <f t="shared" si="2"/>
        <v>0</v>
      </c>
      <c r="J25" s="12">
        <f t="shared" si="3"/>
        <v>10</v>
      </c>
      <c r="K25" s="30">
        <f>IF(OR('GNI per capita'!AJ24="",'GNI per capita'!AK24=""),"",'GNI per capita'!AK24/'GNI per capita'!AJ24-1)</f>
        <v>-5.4545454545454564E-2</v>
      </c>
      <c r="L25" s="30">
        <f>IF(OR('GNI per capita'!AK24="",'GNI per capita'!AL24=""),"",'GNI per capita'!AL24/'GNI per capita'!AK24-1)</f>
        <v>-1.9230769230769273E-2</v>
      </c>
      <c r="M25" s="30">
        <f>IF(OR('GNI per capita'!AL24="",'GNI per capita'!AM24=""),"",'GNI per capita'!AM24/'GNI per capita'!AL24-1)</f>
        <v>9.8039215686274606E-2</v>
      </c>
      <c r="N25" s="30">
        <f>IF(OR('GNI per capita'!AM24="",'GNI per capita'!AN24=""),"",'GNI per capita'!AN24/'GNI per capita'!AM24-1)</f>
        <v>4.4642857142857206E-2</v>
      </c>
      <c r="O25" s="30">
        <f>IF(OR('GNI per capita'!AN24="",'GNI per capita'!AO24=""),"",'GNI per capita'!AO24/'GNI per capita'!AN24-1)</f>
        <v>1.7094017094017033E-2</v>
      </c>
      <c r="P25" s="30">
        <f>IF(OR('GNI per capita'!AO24="",'GNI per capita'!AP24=""),"",'GNI per capita'!AP24/'GNI per capita'!AO24-1)</f>
        <v>7.5630252100840289E-2</v>
      </c>
      <c r="Q25" s="30">
        <f>IF(OR('GNI per capita'!AP24="",'GNI per capita'!AQ24=""),"",'GNI per capita'!AQ24/'GNI per capita'!AP24-1)</f>
        <v>6.25E-2</v>
      </c>
      <c r="R25" s="30">
        <f>IF(OR('GNI per capita'!AQ24="",'GNI per capita'!AR24=""),"",'GNI per capita'!AR24/'GNI per capita'!AQ24-1)</f>
        <v>2.2058823529411686E-2</v>
      </c>
      <c r="S25" s="30">
        <f>IF(OR('GNI per capita'!AR24="",'GNI per capita'!AS24=""),"",'GNI per capita'!AS24/'GNI per capita'!AR24-1)</f>
        <v>2.877697841726623E-2</v>
      </c>
      <c r="T25" s="30">
        <f>IF(OR('GNI per capita'!AS24="",'GNI per capita'!AT24=""),"",'GNI per capita'!AT24/'GNI per capita'!AS24-1)</f>
        <v>0.11888111888111896</v>
      </c>
      <c r="U25" s="2" t="s">
        <v>162</v>
      </c>
    </row>
    <row r="26" spans="1:21" x14ac:dyDescent="0.2">
      <c r="A26" s="2" t="s">
        <v>244</v>
      </c>
      <c r="B26" s="2" t="s">
        <v>245</v>
      </c>
      <c r="C26" s="11" t="s">
        <v>79</v>
      </c>
      <c r="D26" s="30">
        <f t="shared" si="0"/>
        <v>3.2610611669310785E-2</v>
      </c>
      <c r="E26" s="31">
        <f>Assumptions!$C$5</f>
        <v>1.244E-2</v>
      </c>
      <c r="F26" s="32">
        <f>IF($C26="L",Assumptions!$C$8,IF($C26="LM",Assumptions!$C$9,IF($C26="UM",Assumptions!$C$10,Assumptions!$C$11)))</f>
        <v>7.1689000000000003E-2</v>
      </c>
      <c r="G26" s="33">
        <f>IF(J26&lt;Assumptions!$C$13,"",MIN(MAX(D26,E26),F26))</f>
        <v>3.2610611669310785E-2</v>
      </c>
      <c r="H26" s="12" t="str">
        <f t="shared" si="1"/>
        <v>unadjusted</v>
      </c>
      <c r="I26" s="34">
        <f t="shared" si="2"/>
        <v>0</v>
      </c>
      <c r="J26" s="12">
        <f t="shared" si="3"/>
        <v>9</v>
      </c>
      <c r="K26" s="30">
        <f>IF(OR('GNI per capita'!AJ25="",'GNI per capita'!AK25=""),"",'GNI per capita'!AK25/'GNI per capita'!AJ25-1)</f>
        <v>1.4335193380796696E-2</v>
      </c>
      <c r="L26" s="30">
        <f>IF(OR('GNI per capita'!AK25="",'GNI per capita'!AL25=""),"",'GNI per capita'!AL25/'GNI per capita'!AK25-1)</f>
        <v>7.6164279616807384E-2</v>
      </c>
      <c r="M26" s="30">
        <f>IF(OR('GNI per capita'!AL25="",'GNI per capita'!AM25=""),"",'GNI per capita'!AM25/'GNI per capita'!AL25-1)</f>
        <v>3.2610611669310785E-2</v>
      </c>
      <c r="N26" s="30">
        <f>IF(OR('GNI per capita'!AM25="",'GNI per capita'!AN25=""),"",'GNI per capita'!AN25/'GNI per capita'!AM25-1)</f>
        <v>-2.048480710139966E-3</v>
      </c>
      <c r="O26" s="30">
        <f>IF(OR('GNI per capita'!AN25="",'GNI per capita'!AO25=""),"",'GNI per capita'!AO25/'GNI per capita'!AN25-1)</f>
        <v>-5.1915839890523396E-2</v>
      </c>
      <c r="P26" s="30">
        <f>IF(OR('GNI per capita'!AO25="",'GNI per capita'!AP25=""),"",'GNI per capita'!AP25/'GNI per capita'!AO25-1)</f>
        <v>8.6693730266125479E-2</v>
      </c>
      <c r="Q26" s="30">
        <f>IF(OR('GNI per capita'!AP25="",'GNI per capita'!AQ25=""),"",'GNI per capita'!AQ25/'GNI per capita'!AP25-1)</f>
        <v>9.2146770712269621E-2</v>
      </c>
      <c r="R26" s="30">
        <f>IF(OR('GNI per capita'!AQ25="",'GNI per capita'!AR25=""),"",'GNI per capita'!AR25/'GNI per capita'!AQ25-1)</f>
        <v>1.4442079659470863E-2</v>
      </c>
      <c r="S26" s="30">
        <f>IF(OR('GNI per capita'!AR25="",'GNI per capita'!AS25=""),"",'GNI per capita'!AS25/'GNI per capita'!AR25-1)</f>
        <v>4.4282931215345434E-2</v>
      </c>
      <c r="T26" s="30" t="str">
        <f>IF(OR('GNI per capita'!AS25="",'GNI per capita'!AT25=""),"",'GNI per capita'!AT25/'GNI per capita'!AS25-1)</f>
        <v/>
      </c>
      <c r="U26" s="2" t="s">
        <v>162</v>
      </c>
    </row>
    <row r="27" spans="1:21" x14ac:dyDescent="0.2">
      <c r="A27" s="2" t="s">
        <v>246</v>
      </c>
      <c r="B27" s="2" t="s">
        <v>247</v>
      </c>
      <c r="C27" s="11" t="s">
        <v>210</v>
      </c>
      <c r="D27" s="30">
        <f t="shared" si="0"/>
        <v>5.7642039850069104E-2</v>
      </c>
      <c r="E27" s="31">
        <f>Assumptions!$C$5</f>
        <v>1.244E-2</v>
      </c>
      <c r="F27" s="32">
        <f>IF($C27="L",Assumptions!$C$8,IF($C27="LM",Assumptions!$C$9,IF($C27="UM",Assumptions!$C$10,Assumptions!$C$11)))</f>
        <v>7.4680999999999997E-2</v>
      </c>
      <c r="G27" s="33">
        <f>IF(J27&lt;Assumptions!$C$13,"",MIN(MAX(D27,E27),F27))</f>
        <v>5.7642039850069104E-2</v>
      </c>
      <c r="H27" s="12" t="str">
        <f t="shared" si="1"/>
        <v>unadjusted</v>
      </c>
      <c r="I27" s="34">
        <f t="shared" si="2"/>
        <v>0</v>
      </c>
      <c r="J27" s="12">
        <f t="shared" si="3"/>
        <v>10</v>
      </c>
      <c r="K27" s="30">
        <f>IF(OR('GNI per capita'!AJ26="",'GNI per capita'!AK26=""),"",'GNI per capita'!AK26/'GNI per capita'!AJ26-1)</f>
        <v>5.1094890510948954E-2</v>
      </c>
      <c r="L27" s="30">
        <f>IF(OR('GNI per capita'!AK26="",'GNI per capita'!AL26=""),"",'GNI per capita'!AL26/'GNI per capita'!AK26-1)</f>
        <v>2.7777777777777679E-2</v>
      </c>
      <c r="M27" s="30">
        <f>IF(OR('GNI per capita'!AL26="",'GNI per capita'!AM26=""),"",'GNI per capita'!AM26/'GNI per capita'!AL26-1)</f>
        <v>6.4189189189189255E-2</v>
      </c>
      <c r="N27" s="30">
        <f>IF(OR('GNI per capita'!AM26="",'GNI per capita'!AN26=""),"",'GNI per capita'!AN26/'GNI per capita'!AM26-1)</f>
        <v>6.9841269841269815E-2</v>
      </c>
      <c r="O27" s="30">
        <f>IF(OR('GNI per capita'!AN26="",'GNI per capita'!AO26=""),"",'GNI per capita'!AO26/'GNI per capita'!AN26-1)</f>
        <v>-9.7922848664688478E-2</v>
      </c>
      <c r="P27" s="30">
        <f>IF(OR('GNI per capita'!AO26="",'GNI per capita'!AP26=""),"",'GNI per capita'!AP26/'GNI per capita'!AO26-1)</f>
        <v>8.5526315789473673E-2</v>
      </c>
      <c r="Q27" s="30">
        <f>IF(OR('GNI per capita'!AP26="",'GNI per capita'!AQ26=""),"",'GNI per capita'!AQ26/'GNI per capita'!AP26-1)</f>
        <v>9.0909090909090828E-2</v>
      </c>
      <c r="R27" s="30">
        <f>IF(OR('GNI per capita'!AQ26="",'GNI per capita'!AR26=""),"",'GNI per capita'!AR26/'GNI per capita'!AQ26-1)</f>
        <v>3.6111111111111205E-2</v>
      </c>
      <c r="S27" s="30">
        <f>IF(OR('GNI per capita'!AR26="",'GNI per capita'!AS26=""),"",'GNI per capita'!AS26/'GNI per capita'!AR26-1)</f>
        <v>4.8257372654155528E-2</v>
      </c>
      <c r="T27" s="30">
        <f>IF(OR('GNI per capita'!AS26="",'GNI per capita'!AT26=""),"",'GNI per capita'!AT26/'GNI per capita'!AS26-1)</f>
        <v>0.10230179028132991</v>
      </c>
      <c r="U27" s="2" t="s">
        <v>162</v>
      </c>
    </row>
    <row r="28" spans="1:21" x14ac:dyDescent="0.2">
      <c r="A28" s="2" t="s">
        <v>248</v>
      </c>
      <c r="B28" s="2" t="s">
        <v>249</v>
      </c>
      <c r="C28" s="11" t="s">
        <v>210</v>
      </c>
      <c r="D28" s="30">
        <f t="shared" si="0"/>
        <v>5.6312656641604009E-2</v>
      </c>
      <c r="E28" s="31">
        <f>Assumptions!$C$5</f>
        <v>1.244E-2</v>
      </c>
      <c r="F28" s="32">
        <f>IF($C28="L",Assumptions!$C$8,IF($C28="LM",Assumptions!$C$9,IF($C28="UM",Assumptions!$C$10,Assumptions!$C$11)))</f>
        <v>7.4680999999999997E-2</v>
      </c>
      <c r="G28" s="33">
        <f>IF(J28&lt;Assumptions!$C$13,"",MIN(MAX(D28,E28),F28))</f>
        <v>5.6312656641604009E-2</v>
      </c>
      <c r="H28" s="12" t="str">
        <f t="shared" si="1"/>
        <v>unadjusted</v>
      </c>
      <c r="I28" s="34">
        <f t="shared" si="2"/>
        <v>0</v>
      </c>
      <c r="J28" s="12">
        <f t="shared" si="3"/>
        <v>10</v>
      </c>
      <c r="K28" s="30">
        <f>IF(OR('GNI per capita'!AJ27="",'GNI per capita'!AK27=""),"",'GNI per capita'!AK27/'GNI per capita'!AJ27-1)</f>
        <v>2.7397260273972712E-2</v>
      </c>
      <c r="L28" s="30">
        <f>IF(OR('GNI per capita'!AK27="",'GNI per capita'!AL27=""),"",'GNI per capita'!AL27/'GNI per capita'!AK27-1)</f>
        <v>8.3333333333333259E-2</v>
      </c>
      <c r="M28" s="30">
        <f>IF(OR('GNI per capita'!AL27="",'GNI per capita'!AM27=""),"",'GNI per capita'!AM27/'GNI per capita'!AL27-1)</f>
        <v>0.14769230769230779</v>
      </c>
      <c r="N28" s="30">
        <f>IF(OR('GNI per capita'!AM27="",'GNI per capita'!AN27=""),"",'GNI per capita'!AN27/'GNI per capita'!AM27-1)</f>
        <v>0.11796246648793574</v>
      </c>
      <c r="O28" s="30">
        <f>IF(OR('GNI per capita'!AN27="",'GNI per capita'!AO27=""),"",'GNI per capita'!AO27/'GNI per capita'!AN27-1)</f>
        <v>-0.13189448441246998</v>
      </c>
      <c r="P28" s="30">
        <f>IF(OR('GNI per capita'!AO27="",'GNI per capita'!AP27=""),"",'GNI per capita'!AP27/'GNI per capita'!AO27-1)</f>
        <v>0.10220994475138112</v>
      </c>
      <c r="Q28" s="30">
        <f>IF(OR('GNI per capita'!AP27="",'GNI per capita'!AQ27=""),"",'GNI per capita'!AQ27/'GNI per capita'!AP27-1)</f>
        <v>5.0125313283208017E-2</v>
      </c>
      <c r="R28" s="30">
        <f>IF(OR('GNI per capita'!AQ27="",'GNI per capita'!AR27=""),"",'GNI per capita'!AR27/'GNI per capita'!AQ27-1)</f>
        <v>9.5465393794749165E-3</v>
      </c>
      <c r="S28" s="30">
        <f>IF(OR('GNI per capita'!AR27="",'GNI per capita'!AS27=""),"",'GNI per capita'!AS27/'GNI per capita'!AR27-1)</f>
        <v>-1.6548463356974019E-2</v>
      </c>
      <c r="T28" s="30">
        <f>IF(OR('GNI per capita'!AS27="",'GNI per capita'!AT27=""),"",'GNI per capita'!AT27/'GNI per capita'!AS27-1)</f>
        <v>6.25E-2</v>
      </c>
      <c r="U28" s="2" t="s">
        <v>162</v>
      </c>
    </row>
    <row r="29" spans="1:21" x14ac:dyDescent="0.2">
      <c r="A29" s="2" t="s">
        <v>250</v>
      </c>
      <c r="B29" s="2" t="s">
        <v>251</v>
      </c>
      <c r="C29" s="11" t="s">
        <v>82</v>
      </c>
      <c r="D29" s="30">
        <f t="shared" si="0"/>
        <v>7.717477075453727E-2</v>
      </c>
      <c r="E29" s="31">
        <f>Assumptions!$C$5</f>
        <v>1.244E-2</v>
      </c>
      <c r="F29" s="32">
        <f>IF($C29="L",Assumptions!$C$8,IF($C29="LM",Assumptions!$C$9,IF($C29="UM",Assumptions!$C$10,Assumptions!$C$11)))</f>
        <v>9.0712000000000001E-2</v>
      </c>
      <c r="G29" s="33">
        <f>IF(J29&lt;Assumptions!$C$13,"",MIN(MAX(D29,E29),F29))</f>
        <v>7.717477075453727E-2</v>
      </c>
      <c r="H29" s="12" t="str">
        <f t="shared" si="1"/>
        <v>unadjusted</v>
      </c>
      <c r="I29" s="34">
        <f t="shared" si="2"/>
        <v>0</v>
      </c>
      <c r="J29" s="12">
        <f t="shared" si="3"/>
        <v>10</v>
      </c>
      <c r="K29" s="30">
        <f>IF(OR('GNI per capita'!AJ28="",'GNI per capita'!AK28=""),"",'GNI per capita'!AK28/'GNI per capita'!AJ28-1)</f>
        <v>-1.3618677042801508E-2</v>
      </c>
      <c r="L29" s="30">
        <f>IF(OR('GNI per capita'!AK28="",'GNI per capita'!AL28=""),"",'GNI per capita'!AL28/'GNI per capita'!AK28-1)</f>
        <v>0</v>
      </c>
      <c r="M29" s="30">
        <f>IF(OR('GNI per capita'!AL28="",'GNI per capita'!AM28=""),"",'GNI per capita'!AM28/'GNI per capita'!AL28-1)</f>
        <v>0.12820512820512819</v>
      </c>
      <c r="N29" s="30">
        <f>IF(OR('GNI per capita'!AM28="",'GNI per capita'!AN28=""),"",'GNI per capita'!AN28/'GNI per capita'!AM28-1)</f>
        <v>8.0419580419580416E-2</v>
      </c>
      <c r="O29" s="30">
        <f>IF(OR('GNI per capita'!AN28="",'GNI per capita'!AO28=""),"",'GNI per capita'!AO28/'GNI per capita'!AN28-1)</f>
        <v>-3.2362459546925182E-3</v>
      </c>
      <c r="P29" s="30">
        <f>IF(OR('GNI per capita'!AO28="",'GNI per capita'!AP28=""),"",'GNI per capita'!AP28/'GNI per capita'!AO28-1)</f>
        <v>0.13149350649350655</v>
      </c>
      <c r="Q29" s="30">
        <f>IF(OR('GNI per capita'!AP28="",'GNI per capita'!AQ28=""),"",'GNI per capita'!AQ28/'GNI per capita'!AP28-1)</f>
        <v>0.10616929698708755</v>
      </c>
      <c r="R29" s="30">
        <f>IF(OR('GNI per capita'!AQ28="",'GNI per capita'!AR28=""),"",'GNI per capita'!AR28/'GNI per capita'!AQ28-1)</f>
        <v>7.3929961089494123E-2</v>
      </c>
      <c r="S29" s="30">
        <f>IF(OR('GNI per capita'!AR28="",'GNI per capita'!AS28=""),"",'GNI per capita'!AS28/'GNI per capita'!AR28-1)</f>
        <v>6.4009661835748854E-2</v>
      </c>
      <c r="T29" s="30">
        <f>IF(OR('GNI per capita'!AS28="",'GNI per capita'!AT28=""),"",'GNI per capita'!AT28/'GNI per capita'!AS28-1)</f>
        <v>0.12826333711691262</v>
      </c>
      <c r="U29" s="2" t="s">
        <v>162</v>
      </c>
    </row>
    <row r="30" spans="1:21" x14ac:dyDescent="0.2">
      <c r="A30" s="2" t="s">
        <v>252</v>
      </c>
      <c r="B30" s="2" t="s">
        <v>253</v>
      </c>
      <c r="C30" s="11" t="s">
        <v>82</v>
      </c>
      <c r="D30" s="30">
        <f t="shared" si="0"/>
        <v>2.9177312892579632E-2</v>
      </c>
      <c r="E30" s="31">
        <f>Assumptions!$C$5</f>
        <v>1.244E-2</v>
      </c>
      <c r="F30" s="32">
        <f>IF($C30="L",Assumptions!$C$8,IF($C30="LM",Assumptions!$C$9,IF($C30="UM",Assumptions!$C$10,Assumptions!$C$11)))</f>
        <v>9.0712000000000001E-2</v>
      </c>
      <c r="G30" s="33">
        <f>IF(J30&lt;Assumptions!$C$13,"",MIN(MAX(D30,E30),F30))</f>
        <v>2.9177312892579632E-2</v>
      </c>
      <c r="H30" s="12" t="str">
        <f t="shared" si="1"/>
        <v>unadjusted</v>
      </c>
      <c r="I30" s="34">
        <f t="shared" si="2"/>
        <v>0</v>
      </c>
      <c r="J30" s="12">
        <f t="shared" si="3"/>
        <v>10</v>
      </c>
      <c r="K30" s="30">
        <f>IF(OR('GNI per capita'!AJ29="",'GNI per capita'!AK29=""),"",'GNI per capita'!AK29/'GNI per capita'!AJ29-1)</f>
        <v>-1.3029315960912058E-2</v>
      </c>
      <c r="L30" s="30">
        <f>IF(OR('GNI per capita'!AK29="",'GNI per capita'!AL29=""),"",'GNI per capita'!AL29/'GNI per capita'!AK29-1)</f>
        <v>2.4752475247524774E-2</v>
      </c>
      <c r="M30" s="30">
        <f>IF(OR('GNI per capita'!AL29="",'GNI per capita'!AM29=""),"",'GNI per capita'!AM29/'GNI per capita'!AL29-1)</f>
        <v>7.5684380032206011E-2</v>
      </c>
      <c r="N30" s="30">
        <f>IF(OR('GNI per capita'!AM29="",'GNI per capita'!AN29=""),"",'GNI per capita'!AN29/'GNI per capita'!AM29-1)</f>
        <v>6.2874251497005984E-2</v>
      </c>
      <c r="O30" s="30">
        <f>IF(OR('GNI per capita'!AN29="",'GNI per capita'!AO29=""),"",'GNI per capita'!AO29/'GNI per capita'!AN29-1)</f>
        <v>-7.0422535211267623E-2</v>
      </c>
      <c r="P30" s="30">
        <f>IF(OR('GNI per capita'!AO29="",'GNI per capita'!AP29=""),"",'GNI per capita'!AP29/'GNI per capita'!AO29-1)</f>
        <v>0.1272727272727272</v>
      </c>
      <c r="Q30" s="30">
        <f>IF(OR('GNI per capita'!AP29="",'GNI per capita'!AQ29=""),"",'GNI per capita'!AQ29/'GNI per capita'!AP29-1)</f>
        <v>3.360215053763449E-2</v>
      </c>
      <c r="R30" s="30">
        <f>IF(OR('GNI per capita'!AQ29="",'GNI per capita'!AR29=""),"",'GNI per capita'!AR29/'GNI per capita'!AQ29-1)</f>
        <v>5.9817945383615179E-2</v>
      </c>
      <c r="S30" s="30">
        <f>IF(OR('GNI per capita'!AR29="",'GNI per capita'!AS29=""),"",'GNI per capita'!AS29/'GNI per capita'!AR29-1)</f>
        <v>-6.6257668711656392E-2</v>
      </c>
      <c r="T30" s="30">
        <f>IF(OR('GNI per capita'!AS29="",'GNI per capita'!AT29=""),"",'GNI per capita'!AT29/'GNI per capita'!AS29-1)</f>
        <v>-2.8909329829172159E-2</v>
      </c>
      <c r="U30" s="2" t="s">
        <v>162</v>
      </c>
    </row>
    <row r="31" spans="1:21" x14ac:dyDescent="0.2">
      <c r="A31" s="2" t="s">
        <v>254</v>
      </c>
      <c r="B31" s="2" t="s">
        <v>255</v>
      </c>
      <c r="C31" s="11" t="s">
        <v>82</v>
      </c>
      <c r="D31" s="30">
        <f t="shared" si="0"/>
        <v>2.8401527172813301E-2</v>
      </c>
      <c r="E31" s="31">
        <f>Assumptions!$C$5</f>
        <v>1.244E-2</v>
      </c>
      <c r="F31" s="32">
        <f>IF($C31="L",Assumptions!$C$8,IF($C31="LM",Assumptions!$C$9,IF($C31="UM",Assumptions!$C$10,Assumptions!$C$11)))</f>
        <v>9.0712000000000001E-2</v>
      </c>
      <c r="G31" s="33">
        <f>IF(J31&lt;Assumptions!$C$13,"",MIN(MAX(D31,E31),F31))</f>
        <v>2.8401527172813301E-2</v>
      </c>
      <c r="H31" s="12" t="str">
        <f t="shared" si="1"/>
        <v>unadjusted</v>
      </c>
      <c r="I31" s="34">
        <f t="shared" si="2"/>
        <v>0</v>
      </c>
      <c r="J31" s="12">
        <f t="shared" si="3"/>
        <v>10</v>
      </c>
      <c r="K31" s="30">
        <f>IF(OR('GNI per capita'!AJ30="",'GNI per capita'!AK30=""),"",'GNI per capita'!AK30/'GNI per capita'!AJ30-1)</f>
        <v>-0.12391093901258465</v>
      </c>
      <c r="L31" s="30">
        <f>IF(OR('GNI per capita'!AK30="",'GNI per capita'!AL30=""),"",'GNI per capita'!AL30/'GNI per capita'!AK30-1)</f>
        <v>-2.4309392265193353E-2</v>
      </c>
      <c r="M31" s="30">
        <f>IF(OR('GNI per capita'!AL30="",'GNI per capita'!AM30=""),"",'GNI per capita'!AM30/'GNI per capita'!AL30-1)</f>
        <v>5.5492638731596822E-2</v>
      </c>
      <c r="N31" s="30">
        <f>IF(OR('GNI per capita'!AM30="",'GNI per capita'!AN30=""),"",'GNI per capita'!AN30/'GNI per capita'!AM30-1)</f>
        <v>9.65665236051505E-3</v>
      </c>
      <c r="O31" s="30">
        <f>IF(OR('GNI per capita'!AN30="",'GNI per capita'!AO30=""),"",'GNI per capita'!AO30/'GNI per capita'!AN30-1)</f>
        <v>-0.14133900106269925</v>
      </c>
      <c r="P31" s="30">
        <f>IF(OR('GNI per capita'!AO30="",'GNI per capita'!AP30=""),"",'GNI per capita'!AP30/'GNI per capita'!AO30-1)</f>
        <v>-2.4752475247524774E-3</v>
      </c>
      <c r="Q31" s="30">
        <f>IF(OR('GNI per capita'!AP30="",'GNI per capita'!AQ30=""),"",'GNI per capita'!AQ30/'GNI per capita'!AP30-1)</f>
        <v>4.7146401985111552E-2</v>
      </c>
      <c r="R31" s="30">
        <f>IF(OR('GNI per capita'!AQ30="",'GNI per capita'!AR30=""),"",'GNI per capita'!AR30/'GNI per capita'!AQ30-1)</f>
        <v>0.10308056872037907</v>
      </c>
      <c r="S31" s="30">
        <f>IF(OR('GNI per capita'!AR30="",'GNI per capita'!AS30=""),"",'GNI per capita'!AS30/'GNI per capita'!AR30-1)</f>
        <v>6.6595059076262064E-2</v>
      </c>
      <c r="T31" s="30">
        <f>IF(OR('GNI per capita'!AS30="",'GNI per capita'!AT30=""),"",'GNI per capita'!AT30/'GNI per capita'!AS30-1)</f>
        <v>6.2437059415911378E-2</v>
      </c>
      <c r="U31" s="2" t="s">
        <v>162</v>
      </c>
    </row>
    <row r="32" spans="1:21" x14ac:dyDescent="0.2">
      <c r="A32" s="2" t="s">
        <v>256</v>
      </c>
      <c r="B32" s="2" t="s">
        <v>257</v>
      </c>
      <c r="C32" s="11" t="s">
        <v>79</v>
      </c>
      <c r="D32" s="30" t="str">
        <f t="shared" si="0"/>
        <v/>
      </c>
      <c r="E32" s="31">
        <f>Assumptions!$C$5</f>
        <v>1.244E-2</v>
      </c>
      <c r="F32" s="32">
        <f>IF($C32="L",Assumptions!$C$8,IF($C32="LM",Assumptions!$C$9,IF($C32="UM",Assumptions!$C$10,Assumptions!$C$11)))</f>
        <v>7.1689000000000003E-2</v>
      </c>
      <c r="G32" s="33" t="str">
        <f>IF(J32&lt;Assumptions!$C$13,"",MIN(MAX(D32,E32),F32))</f>
        <v/>
      </c>
      <c r="H32" s="12" t="str">
        <f t="shared" si="1"/>
        <v>frozen</v>
      </c>
      <c r="I32" s="34" t="str">
        <f t="shared" si="2"/>
        <v/>
      </c>
      <c r="J32" s="12">
        <f t="shared" si="3"/>
        <v>0</v>
      </c>
      <c r="K32" s="30" t="str">
        <f>IF(OR('GNI per capita'!AJ31="",'GNI per capita'!AK31=""),"",'GNI per capita'!AK31/'GNI per capita'!AJ31-1)</f>
        <v/>
      </c>
      <c r="L32" s="30" t="str">
        <f>IF(OR('GNI per capita'!AK31="",'GNI per capita'!AL31=""),"",'GNI per capita'!AL31/'GNI per capita'!AK31-1)</f>
        <v/>
      </c>
      <c r="M32" s="30" t="str">
        <f>IF(OR('GNI per capita'!AL31="",'GNI per capita'!AM31=""),"",'GNI per capita'!AM31/'GNI per capita'!AL31-1)</f>
        <v/>
      </c>
      <c r="N32" s="30" t="str">
        <f>IF(OR('GNI per capita'!AM31="",'GNI per capita'!AN31=""),"",'GNI per capita'!AN31/'GNI per capita'!AM31-1)</f>
        <v/>
      </c>
      <c r="O32" s="30" t="str">
        <f>IF(OR('GNI per capita'!AN31="",'GNI per capita'!AO31=""),"",'GNI per capita'!AO31/'GNI per capita'!AN31-1)</f>
        <v/>
      </c>
      <c r="P32" s="30" t="str">
        <f>IF(OR('GNI per capita'!AO31="",'GNI per capita'!AP31=""),"",'GNI per capita'!AP31/'GNI per capita'!AO31-1)</f>
        <v/>
      </c>
      <c r="Q32" s="30" t="str">
        <f>IF(OR('GNI per capita'!AP31="",'GNI per capita'!AQ31=""),"",'GNI per capita'!AQ31/'GNI per capita'!AP31-1)</f>
        <v/>
      </c>
      <c r="R32" s="30" t="str">
        <f>IF(OR('GNI per capita'!AQ31="",'GNI per capita'!AR31=""),"",'GNI per capita'!AR31/'GNI per capita'!AQ31-1)</f>
        <v/>
      </c>
      <c r="S32" s="30" t="str">
        <f>IF(OR('GNI per capita'!AR31="",'GNI per capita'!AS31=""),"",'GNI per capita'!AS31/'GNI per capita'!AR31-1)</f>
        <v/>
      </c>
      <c r="T32" s="30" t="str">
        <f>IF(OR('GNI per capita'!AS31="",'GNI per capita'!AT31=""),"",'GNI per capita'!AT31/'GNI per capita'!AS31-1)</f>
        <v/>
      </c>
      <c r="U32" s="28" t="s">
        <v>204</v>
      </c>
    </row>
    <row r="33" spans="1:21" x14ac:dyDescent="0.2">
      <c r="A33" s="2" t="s">
        <v>258</v>
      </c>
      <c r="B33" s="2" t="s">
        <v>259</v>
      </c>
      <c r="C33" s="11" t="s">
        <v>79</v>
      </c>
      <c r="D33" s="30">
        <f t="shared" si="0"/>
        <v>-1.9253930654359985E-2</v>
      </c>
      <c r="E33" s="31">
        <f>Assumptions!$C$5</f>
        <v>1.244E-2</v>
      </c>
      <c r="F33" s="32">
        <f>IF($C33="L",Assumptions!$C$8,IF($C33="LM",Assumptions!$C$9,IF($C33="UM",Assumptions!$C$10,Assumptions!$C$11)))</f>
        <v>7.1689000000000003E-2</v>
      </c>
      <c r="G33" s="33">
        <f>IF(J33&lt;Assumptions!$C$13,"",MIN(MAX(D33,E33),F33))</f>
        <v>1.244E-2</v>
      </c>
      <c r="H33" s="12" t="str">
        <f t="shared" si="1"/>
        <v>raised by floor</v>
      </c>
      <c r="I33" s="34">
        <f t="shared" si="2"/>
        <v>3.1693930654359985E-2</v>
      </c>
      <c r="J33" s="12">
        <f t="shared" si="3"/>
        <v>10</v>
      </c>
      <c r="K33" s="30">
        <f>IF(OR('GNI per capita'!AJ32="",'GNI per capita'!AK32=""),"",'GNI per capita'!AK32/'GNI per capita'!AJ32-1)</f>
        <v>-0.14693556836039812</v>
      </c>
      <c r="L33" s="30">
        <f>IF(OR('GNI per capita'!AK32="",'GNI per capita'!AL32=""),"",'GNI per capita'!AL32/'GNI per capita'!AK32-1)</f>
        <v>-0.10254835738409585</v>
      </c>
      <c r="M33" s="30">
        <f>IF(OR('GNI per capita'!AL32="",'GNI per capita'!AM32=""),"",'GNI per capita'!AM32/'GNI per capita'!AL32-1)</f>
        <v>-1.5053027711255607E-2</v>
      </c>
      <c r="N33" s="30">
        <f>IF(OR('GNI per capita'!AM32="",'GNI per capita'!AN32=""),"",'GNI per capita'!AN32/'GNI per capita'!AM32-1)</f>
        <v>9.5866620354289722E-2</v>
      </c>
      <c r="O33" s="30">
        <f>IF(OR('GNI per capita'!AN32="",'GNI per capita'!AO32=""),"",'GNI per capita'!AO32/'GNI per capita'!AN32-1)</f>
        <v>-2.3454833597464364E-2</v>
      </c>
      <c r="P33" s="30">
        <f>IF(OR('GNI per capita'!AO32="",'GNI per capita'!AP32=""),"",'GNI per capita'!AP32/'GNI per capita'!AO32-1)</f>
        <v>-2.9860434923726031E-2</v>
      </c>
      <c r="Q33" s="30">
        <f>IF(OR('GNI per capita'!AP32="",'GNI per capita'!AQ32=""),"",'GNI per capita'!AQ32/'GNI per capita'!AP32-1)</f>
        <v>3.6132485781197765E-2</v>
      </c>
      <c r="R33" s="30">
        <f>IF(OR('GNI per capita'!AQ32="",'GNI per capita'!AR32=""),"",'GNI per capita'!AR32/'GNI per capita'!AQ32-1)</f>
        <v>0.11042944785276076</v>
      </c>
      <c r="S33" s="30">
        <f>IF(OR('GNI per capita'!AR32="",'GNI per capita'!AS32=""),"",'GNI per capita'!AS32/'GNI per capita'!AR32-1)</f>
        <v>4.7397499273044597E-2</v>
      </c>
      <c r="T33" s="30">
        <f>IF(OR('GNI per capita'!AS32="",'GNI per capita'!AT32=""),"",'GNI per capita'!AT32/'GNI per capita'!AS32-1)</f>
        <v>-3.4147695724597416E-2</v>
      </c>
      <c r="U33" s="28" t="s">
        <v>260</v>
      </c>
    </row>
    <row r="34" spans="1:21" x14ac:dyDescent="0.2">
      <c r="A34" s="2" t="s">
        <v>261</v>
      </c>
      <c r="B34" s="2" t="s">
        <v>262</v>
      </c>
      <c r="C34" s="11" t="s">
        <v>79</v>
      </c>
      <c r="D34" s="30">
        <f t="shared" si="0"/>
        <v>0.10238517051819818</v>
      </c>
      <c r="E34" s="31">
        <f>Assumptions!$C$5</f>
        <v>1.244E-2</v>
      </c>
      <c r="F34" s="32">
        <f>IF($C34="L",Assumptions!$C$8,IF($C34="LM",Assumptions!$C$9,IF($C34="UM",Assumptions!$C$10,Assumptions!$C$11)))</f>
        <v>7.1689000000000003E-2</v>
      </c>
      <c r="G34" s="33">
        <f>IF(J34&lt;Assumptions!$C$13,"",MIN(MAX(D34,E34),F34))</f>
        <v>7.1689000000000003E-2</v>
      </c>
      <c r="H34" s="12" t="str">
        <f t="shared" si="1"/>
        <v>cut by cap</v>
      </c>
      <c r="I34" s="34">
        <f t="shared" si="2"/>
        <v>-3.0696170518198174E-2</v>
      </c>
      <c r="J34" s="12">
        <f t="shared" si="3"/>
        <v>10</v>
      </c>
      <c r="K34" s="30">
        <f>IF(OR('GNI per capita'!AJ33="",'GNI per capita'!AK33=""),"",'GNI per capita'!AK33/'GNI per capita'!AJ33-1)</f>
        <v>-5.312084993359889E-3</v>
      </c>
      <c r="L34" s="30">
        <f>IF(OR('GNI per capita'!AK33="",'GNI per capita'!AL33=""),"",'GNI per capita'!AL33/'GNI per capita'!AK33-1)</f>
        <v>3.2042723631508618E-2</v>
      </c>
      <c r="M34" s="30">
        <f>IF(OR('GNI per capita'!AL33="",'GNI per capita'!AM33=""),"",'GNI per capita'!AM33/'GNI per capita'!AL33-1)</f>
        <v>0.14618369987063384</v>
      </c>
      <c r="N34" s="30">
        <f>IF(OR('GNI per capita'!AM33="",'GNI per capita'!AN33=""),"",'GNI per capita'!AN33/'GNI per capita'!AM33-1)</f>
        <v>0.11963882618510158</v>
      </c>
      <c r="O34" s="30">
        <f>IF(OR('GNI per capita'!AN33="",'GNI per capita'!AO33=""),"",'GNI per capita'!AO33/'GNI per capita'!AN33-1)</f>
        <v>1.7137096774193505E-2</v>
      </c>
      <c r="P34" s="30">
        <f>IF(OR('GNI per capita'!AO33="",'GNI per capita'!AP33=""),"",'GNI per capita'!AP33/'GNI per capita'!AO33-1)</f>
        <v>0.16154608523290381</v>
      </c>
      <c r="Q34" s="30">
        <f>IF(OR('GNI per capita'!AP33="",'GNI per capita'!AQ33=""),"",'GNI per capita'!AQ33/'GNI per capita'!AP33-1)</f>
        <v>0.11774744027303763</v>
      </c>
      <c r="R34" s="30">
        <f>IF(OR('GNI per capita'!AQ33="",'GNI per capita'!AR33=""),"",'GNI per capita'!AR33/'GNI per capita'!AQ33-1)</f>
        <v>8.7022900763358724E-2</v>
      </c>
      <c r="S34" s="30">
        <f>IF(OR('GNI per capita'!AR33="",'GNI per capita'!AS33=""),"",'GNI per capita'!AS33/'GNI per capita'!AR33-1)</f>
        <v>7.9353932584269593E-2</v>
      </c>
      <c r="T34" s="30">
        <f>IF(OR('GNI per capita'!AS33="",'GNI per capita'!AT33=""),"",'GNI per capita'!AT33/'GNI per capita'!AS33-1)</f>
        <v>0.15679895901106056</v>
      </c>
      <c r="U34" s="28" t="s">
        <v>263</v>
      </c>
    </row>
    <row r="35" spans="1:21" x14ac:dyDescent="0.2">
      <c r="A35" s="2" t="s">
        <v>264</v>
      </c>
      <c r="B35" s="2" t="s">
        <v>265</v>
      </c>
      <c r="C35" s="11" t="s">
        <v>75</v>
      </c>
      <c r="D35" s="30">
        <f t="shared" si="0"/>
        <v>2.5893752088205879E-2</v>
      </c>
      <c r="E35" s="31">
        <f>Assumptions!$C$5</f>
        <v>1.244E-2</v>
      </c>
      <c r="F35" s="32">
        <f>IF($C35="L",Assumptions!$C$8,IF($C35="LM",Assumptions!$C$9,IF($C35="UM",Assumptions!$C$10,Assumptions!$C$11)))</f>
        <v>5.5947999999999998E-2</v>
      </c>
      <c r="G35" s="33">
        <f>IF(J35&lt;Assumptions!$C$13,"",MIN(MAX(D35,E35),F35))</f>
        <v>2.5893752088205879E-2</v>
      </c>
      <c r="H35" s="12" t="str">
        <f t="shared" si="1"/>
        <v>unadjusted</v>
      </c>
      <c r="I35" s="34">
        <f t="shared" si="2"/>
        <v>0</v>
      </c>
      <c r="J35" s="12">
        <f t="shared" si="3"/>
        <v>10</v>
      </c>
      <c r="K35" s="30">
        <f>IF(OR('GNI per capita'!AJ34="",'GNI per capita'!AK34=""),"",'GNI per capita'!AK34/'GNI per capita'!AJ34-1)</f>
        <v>-4.4117647058823484E-2</v>
      </c>
      <c r="L35" s="30">
        <f>IF(OR('GNI per capita'!AK34="",'GNI per capita'!AL34=""),"",'GNI per capita'!AL34/'GNI per capita'!AK34-1)</f>
        <v>0</v>
      </c>
      <c r="M35" s="30">
        <f>IF(OR('GNI per capita'!AL34="",'GNI per capita'!AM34=""),"",'GNI per capita'!AM34/'GNI per capita'!AL34-1)</f>
        <v>0.12307692307692308</v>
      </c>
      <c r="N35" s="30">
        <f>IF(OR('GNI per capita'!AM34="",'GNI per capita'!AN34=""),"",'GNI per capita'!AN34/'GNI per capita'!AM34-1)</f>
        <v>2.7397260273972712E-2</v>
      </c>
      <c r="O35" s="30">
        <f>IF(OR('GNI per capita'!AN34="",'GNI per capita'!AO34=""),"",'GNI per capita'!AO34/'GNI per capita'!AN34-1)</f>
        <v>4.0000000000000036E-2</v>
      </c>
      <c r="P35" s="30">
        <f>IF(OR('GNI per capita'!AO34="",'GNI per capita'!AP34=""),"",'GNI per capita'!AP34/'GNI per capita'!AO34-1)</f>
        <v>5.1282051282051322E-2</v>
      </c>
      <c r="Q35" s="30">
        <f>IF(OR('GNI per capita'!AP34="",'GNI per capita'!AQ34=""),"",'GNI per capita'!AQ34/'GNI per capita'!AP34-1)</f>
        <v>2.4390243902439046E-2</v>
      </c>
      <c r="R35" s="30">
        <f>IF(OR('GNI per capita'!AQ34="",'GNI per capita'!AR34=""),"",'GNI per capita'!AR34/'GNI per capita'!AQ34-1)</f>
        <v>0</v>
      </c>
      <c r="S35" s="30">
        <f>IF(OR('GNI per capita'!AR34="",'GNI per capita'!AS34=""),"",'GNI per capita'!AS34/'GNI per capita'!AR34-1)</f>
        <v>1.1904761904761862E-2</v>
      </c>
      <c r="T35" s="30">
        <f>IF(OR('GNI per capita'!AS34="",'GNI per capita'!AT34=""),"",'GNI per capita'!AT34/'GNI per capita'!AS34-1)</f>
        <v>0.15294117647058814</v>
      </c>
      <c r="U35" s="2" t="s">
        <v>162</v>
      </c>
    </row>
    <row r="36" spans="1:21" x14ac:dyDescent="0.2">
      <c r="A36" s="2" t="s">
        <v>266</v>
      </c>
      <c r="B36" s="2" t="s">
        <v>267</v>
      </c>
      <c r="C36" s="11" t="s">
        <v>75</v>
      </c>
      <c r="D36" s="30">
        <f t="shared" si="0"/>
        <v>0</v>
      </c>
      <c r="E36" s="31">
        <f>Assumptions!$C$5</f>
        <v>1.244E-2</v>
      </c>
      <c r="F36" s="32">
        <f>IF($C36="L",Assumptions!$C$8,IF($C36="LM",Assumptions!$C$9,IF($C36="UM",Assumptions!$C$10,Assumptions!$C$11)))</f>
        <v>5.5947999999999998E-2</v>
      </c>
      <c r="G36" s="33">
        <f>IF(J36&lt;Assumptions!$C$13,"",MIN(MAX(D36,E36),F36))</f>
        <v>1.244E-2</v>
      </c>
      <c r="H36" s="12" t="str">
        <f t="shared" si="1"/>
        <v>raised by floor</v>
      </c>
      <c r="I36" s="34">
        <f t="shared" si="2"/>
        <v>1.244E-2</v>
      </c>
      <c r="J36" s="12">
        <f t="shared" si="3"/>
        <v>10</v>
      </c>
      <c r="K36" s="30">
        <f>IF(OR('GNI per capita'!AJ35="",'GNI per capita'!AK35=""),"",'GNI per capita'!AK35/'GNI per capita'!AJ35-1)</f>
        <v>0</v>
      </c>
      <c r="L36" s="30">
        <f>IF(OR('GNI per capita'!AK35="",'GNI per capita'!AL35=""),"",'GNI per capita'!AL35/'GNI per capita'!AK35-1)</f>
        <v>0</v>
      </c>
      <c r="M36" s="30">
        <f>IF(OR('GNI per capita'!AL35="",'GNI per capita'!AM35=""),"",'GNI per capita'!AM35/'GNI per capita'!AL35-1)</f>
        <v>4.1666666666666741E-2</v>
      </c>
      <c r="N36" s="30">
        <f>IF(OR('GNI per capita'!AM35="",'GNI per capita'!AN35=""),"",'GNI per capita'!AN35/'GNI per capita'!AM35-1)</f>
        <v>0</v>
      </c>
      <c r="O36" s="30">
        <f>IF(OR('GNI per capita'!AN35="",'GNI per capita'!AO35=""),"",'GNI per capita'!AO35/'GNI per capita'!AN35-1)</f>
        <v>-4.0000000000000036E-2</v>
      </c>
      <c r="P36" s="30">
        <f>IF(OR('GNI per capita'!AO35="",'GNI per capita'!AP35=""),"",'GNI per capita'!AP35/'GNI per capita'!AO35-1)</f>
        <v>4.1666666666666741E-2</v>
      </c>
      <c r="Q36" s="30">
        <f>IF(OR('GNI per capita'!AP35="",'GNI per capita'!AQ35=""),"",'GNI per capita'!AQ35/'GNI per capita'!AP35-1)</f>
        <v>0.12000000000000011</v>
      </c>
      <c r="R36" s="30">
        <f>IF(OR('GNI per capita'!AQ35="",'GNI per capita'!AR35=""),"",'GNI per capita'!AR35/'GNI per capita'!AQ35-1)</f>
        <v>0</v>
      </c>
      <c r="S36" s="30">
        <f>IF(OR('GNI per capita'!AR35="",'GNI per capita'!AS35=""),"",'GNI per capita'!AS35/'GNI per capita'!AR35-1)</f>
        <v>-0.1071428571428571</v>
      </c>
      <c r="T36" s="30">
        <f>IF(OR('GNI per capita'!AS35="",'GNI per capita'!AT35=""),"",'GNI per capita'!AT35/'GNI per capita'!AS35-1)</f>
        <v>-4.0000000000000036E-2</v>
      </c>
      <c r="U36" s="28" t="s">
        <v>268</v>
      </c>
    </row>
    <row r="37" spans="1:21" x14ac:dyDescent="0.2">
      <c r="A37" s="2" t="s">
        <v>269</v>
      </c>
      <c r="B37" s="2" t="s">
        <v>270</v>
      </c>
      <c r="C37" s="11" t="s">
        <v>82</v>
      </c>
      <c r="D37" s="30">
        <f t="shared" si="0"/>
        <v>6.8126749383799146E-2</v>
      </c>
      <c r="E37" s="31">
        <f>Assumptions!$C$5</f>
        <v>1.244E-2</v>
      </c>
      <c r="F37" s="32">
        <f>IF($C37="L",Assumptions!$C$8,IF($C37="LM",Assumptions!$C$9,IF($C37="UM",Assumptions!$C$10,Assumptions!$C$11)))</f>
        <v>9.0712000000000001E-2</v>
      </c>
      <c r="G37" s="33">
        <f>IF(J37&lt;Assumptions!$C$13,"",MIN(MAX(D37,E37),F37))</f>
        <v>6.8126749383799146E-2</v>
      </c>
      <c r="H37" s="12" t="str">
        <f t="shared" si="1"/>
        <v>unadjusted</v>
      </c>
      <c r="I37" s="34">
        <f t="shared" si="2"/>
        <v>0</v>
      </c>
      <c r="J37" s="12">
        <f t="shared" si="3"/>
        <v>10</v>
      </c>
      <c r="K37" s="30">
        <f>IF(OR('GNI per capita'!AJ36="",'GNI per capita'!AK36=""),"",'GNI per capita'!AK36/'GNI per capita'!AJ36-1)</f>
        <v>-1.1049723756906049E-2</v>
      </c>
      <c r="L37" s="30">
        <f>IF(OR('GNI per capita'!AK36="",'GNI per capita'!AL36=""),"",'GNI per capita'!AL36/'GNI per capita'!AK36-1)</f>
        <v>1.1173184357541999E-2</v>
      </c>
      <c r="M37" s="30">
        <f>IF(OR('GNI per capita'!AL36="",'GNI per capita'!AM36=""),"",'GNI per capita'!AM36/'GNI per capita'!AL36-1)</f>
        <v>0.11602209944751385</v>
      </c>
      <c r="N37" s="30">
        <f>IF(OR('GNI per capita'!AM36="",'GNI per capita'!AN36=""),"",'GNI per capita'!AN36/'GNI per capita'!AM36-1)</f>
        <v>9.4059405940594143E-2</v>
      </c>
      <c r="O37" s="30">
        <f>IF(OR('GNI per capita'!AN36="",'GNI per capita'!AO36=""),"",'GNI per capita'!AO36/'GNI per capita'!AN36-1)</f>
        <v>-0.20588235294117652</v>
      </c>
      <c r="P37" s="30">
        <f>IF(OR('GNI per capita'!AO36="",'GNI per capita'!AP36=""),"",'GNI per capita'!AP36/'GNI per capita'!AO36-1)</f>
        <v>0.10256410256410264</v>
      </c>
      <c r="Q37" s="30">
        <f>IF(OR('GNI per capita'!AP36="",'GNI per capita'!AQ36=""),"",'GNI per capita'!AQ36/'GNI per capita'!AP36-1)</f>
        <v>0.17571059431524549</v>
      </c>
      <c r="R37" s="30">
        <f>IF(OR('GNI per capita'!AQ36="",'GNI per capita'!AR36=""),"",'GNI per capita'!AR36/'GNI per capita'!AQ36-1)</f>
        <v>4.1758241758241832E-2</v>
      </c>
      <c r="S37" s="30">
        <f>IF(OR('GNI per capita'!AR36="",'GNI per capita'!AS36=""),"",'GNI per capita'!AS36/'GNI per capita'!AR36-1)</f>
        <v>4.2194092827004148E-2</v>
      </c>
      <c r="T37" s="30">
        <f>IF(OR('GNI per capita'!AS36="",'GNI per capita'!AT36=""),"",'GNI per capita'!AT36/'GNI per capita'!AS36-1)</f>
        <v>0.13157894736842102</v>
      </c>
      <c r="U37" s="2" t="s">
        <v>162</v>
      </c>
    </row>
    <row r="38" spans="1:21" x14ac:dyDescent="0.2">
      <c r="A38" s="2" t="s">
        <v>271</v>
      </c>
      <c r="B38" s="2" t="s">
        <v>272</v>
      </c>
      <c r="C38" s="11" t="s">
        <v>210</v>
      </c>
      <c r="D38" s="30">
        <f t="shared" si="0"/>
        <v>7.4593044765075778E-2</v>
      </c>
      <c r="E38" s="31">
        <f>Assumptions!$C$5</f>
        <v>1.244E-2</v>
      </c>
      <c r="F38" s="32">
        <f>IF($C38="L",Assumptions!$C$8,IF($C38="LM",Assumptions!$C$9,IF($C38="UM",Assumptions!$C$10,Assumptions!$C$11)))</f>
        <v>7.4680999999999997E-2</v>
      </c>
      <c r="G38" s="33">
        <f>IF(J38&lt;Assumptions!$C$13,"",MIN(MAX(D38,E38),F38))</f>
        <v>7.4593044765075778E-2</v>
      </c>
      <c r="H38" s="12" t="str">
        <f t="shared" si="1"/>
        <v>unadjusted</v>
      </c>
      <c r="I38" s="34">
        <f t="shared" si="2"/>
        <v>0</v>
      </c>
      <c r="J38" s="12">
        <f t="shared" si="3"/>
        <v>10</v>
      </c>
      <c r="K38" s="30">
        <f>IF(OR('GNI per capita'!AJ37="",'GNI per capita'!AK37=""),"",'GNI per capita'!AK37/'GNI per capita'!AJ37-1)</f>
        <v>8.3916083916083961E-2</v>
      </c>
      <c r="L38" s="30">
        <f>IF(OR('GNI per capita'!AK37="",'GNI per capita'!AL37=""),"",'GNI per capita'!AL37/'GNI per capita'!AK37-1)</f>
        <v>9.0322580645161299E-2</v>
      </c>
      <c r="M38" s="30">
        <f>IF(OR('GNI per capita'!AL37="",'GNI per capita'!AM37=""),"",'GNI per capita'!AM37/'GNI per capita'!AL37-1)</f>
        <v>0.13609467455621305</v>
      </c>
      <c r="N38" s="30">
        <f>IF(OR('GNI per capita'!AM37="",'GNI per capita'!AN37=""),"",'GNI per capita'!AN37/'GNI per capita'!AM37-1)</f>
        <v>9.375E-2</v>
      </c>
      <c r="O38" s="30">
        <f>IF(OR('GNI per capita'!AN37="",'GNI per capita'!AO37=""),"",'GNI per capita'!AO37/'GNI per capita'!AN37-1)</f>
        <v>-2.3809523809523836E-2</v>
      </c>
      <c r="P38" s="30">
        <f>IF(OR('GNI per capita'!AO37="",'GNI per capita'!AP37=""),"",'GNI per capita'!AP37/'GNI per capita'!AO37-1)</f>
        <v>3.4146341463414664E-2</v>
      </c>
      <c r="Q38" s="30">
        <f>IF(OR('GNI per capita'!AP37="",'GNI per capita'!AQ37=""),"",'GNI per capita'!AQ37/'GNI per capita'!AP37-1)</f>
        <v>7.0754716981132004E-2</v>
      </c>
      <c r="R38" s="30">
        <f>IF(OR('GNI per capita'!AQ37="",'GNI per capita'!AR37=""),"",'GNI per capita'!AR37/'GNI per capita'!AQ37-1)</f>
        <v>5.2863436123347984E-2</v>
      </c>
      <c r="S38" s="30">
        <f>IF(OR('GNI per capita'!AR37="",'GNI per capita'!AS37=""),"",'GNI per capita'!AS37/'GNI per capita'!AR37-1)</f>
        <v>6.6945606694560622E-2</v>
      </c>
      <c r="T38" s="30">
        <f>IF(OR('GNI per capita'!AS37="",'GNI per capita'!AT37=""),"",'GNI per capita'!AT37/'GNI per capita'!AS37-1)</f>
        <v>7.8431372549019551E-2</v>
      </c>
      <c r="U38" s="2" t="s">
        <v>162</v>
      </c>
    </row>
    <row r="39" spans="1:21" x14ac:dyDescent="0.2">
      <c r="A39" s="2" t="s">
        <v>273</v>
      </c>
      <c r="B39" s="2" t="s">
        <v>274</v>
      </c>
      <c r="C39" s="11" t="s">
        <v>210</v>
      </c>
      <c r="D39" s="30">
        <f t="shared" si="0"/>
        <v>1.9181991122384279E-2</v>
      </c>
      <c r="E39" s="31">
        <f>Assumptions!$C$5</f>
        <v>1.244E-2</v>
      </c>
      <c r="F39" s="32">
        <f>IF($C39="L",Assumptions!$C$8,IF($C39="LM",Assumptions!$C$9,IF($C39="UM",Assumptions!$C$10,Assumptions!$C$11)))</f>
        <v>7.4680999999999997E-2</v>
      </c>
      <c r="G39" s="33">
        <f>IF(J39&lt;Assumptions!$C$13,"",MIN(MAX(D39,E39),F39))</f>
        <v>1.9181991122384279E-2</v>
      </c>
      <c r="H39" s="12" t="str">
        <f t="shared" si="1"/>
        <v>unadjusted</v>
      </c>
      <c r="I39" s="34">
        <f t="shared" si="2"/>
        <v>0</v>
      </c>
      <c r="J39" s="12">
        <f t="shared" si="3"/>
        <v>10</v>
      </c>
      <c r="K39" s="30">
        <f>IF(OR('GNI per capita'!AJ38="",'GNI per capita'!AK38=""),"",'GNI per capita'!AK38/'GNI per capita'!AJ38-1)</f>
        <v>-3.9215686274509776E-2</v>
      </c>
      <c r="L39" s="30">
        <f>IF(OR('GNI per capita'!AK38="",'GNI per capita'!AL38=""),"",'GNI per capita'!AL38/'GNI per capita'!AK38-1)</f>
        <v>-4.081632653061229E-2</v>
      </c>
      <c r="M39" s="30">
        <f>IF(OR('GNI per capita'!AL38="",'GNI per capita'!AM38=""),"",'GNI per capita'!AM38/'GNI per capita'!AL38-1)</f>
        <v>7.8014184397163122E-2</v>
      </c>
      <c r="N39" s="30">
        <f>IF(OR('GNI per capita'!AM38="",'GNI per capita'!AN38=""),"",'GNI per capita'!AN38/'GNI per capita'!AM38-1)</f>
        <v>2.6315789473684292E-2</v>
      </c>
      <c r="O39" s="30">
        <f>IF(OR('GNI per capita'!AN38="",'GNI per capita'!AO38=""),"",'GNI per capita'!AO38/'GNI per capita'!AN38-1)</f>
        <v>-1.2820512820512775E-2</v>
      </c>
      <c r="P39" s="30">
        <f>IF(OR('GNI per capita'!AO38="",'GNI per capita'!AP38=""),"",'GNI per capita'!AP38/'GNI per capita'!AO38-1)</f>
        <v>4.5454545454545414E-2</v>
      </c>
      <c r="Q39" s="30">
        <f>IF(OR('GNI per capita'!AP38="",'GNI per capita'!AQ38=""),"",'GNI per capita'!AQ38/'GNI per capita'!AP38-1)</f>
        <v>3.105590062111796E-2</v>
      </c>
      <c r="R39" s="30">
        <f>IF(OR('GNI per capita'!AQ38="",'GNI per capita'!AR38=""),"",'GNI per capita'!AR38/'GNI per capita'!AQ38-1)</f>
        <v>1.2048192771084265E-2</v>
      </c>
      <c r="S39" s="30">
        <f>IF(OR('GNI per capita'!AR38="",'GNI per capita'!AS38=""),"",'GNI per capita'!AS38/'GNI per capita'!AR38-1)</f>
        <v>5.9523809523809312E-3</v>
      </c>
      <c r="T39" s="30">
        <f>IF(OR('GNI per capita'!AS38="",'GNI per capita'!AT38=""),"",'GNI per capita'!AT38/'GNI per capita'!AS38-1)</f>
        <v>0.10059171597633143</v>
      </c>
      <c r="U39" s="2" t="s">
        <v>162</v>
      </c>
    </row>
    <row r="40" spans="1:21" x14ac:dyDescent="0.2">
      <c r="A40" s="2" t="s">
        <v>275</v>
      </c>
      <c r="B40" s="2" t="s">
        <v>276</v>
      </c>
      <c r="C40" s="11" t="s">
        <v>79</v>
      </c>
      <c r="D40" s="30">
        <f t="shared" si="0"/>
        <v>2.8610435864606876E-2</v>
      </c>
      <c r="E40" s="31">
        <f>Assumptions!$C$5</f>
        <v>1.244E-2</v>
      </c>
      <c r="F40" s="32">
        <f>IF($C40="L",Assumptions!$C$8,IF($C40="LM",Assumptions!$C$9,IF($C40="UM",Assumptions!$C$10,Assumptions!$C$11)))</f>
        <v>7.1689000000000003E-2</v>
      </c>
      <c r="G40" s="33">
        <f>IF(J40&lt;Assumptions!$C$13,"",MIN(MAX(D40,E40),F40))</f>
        <v>2.8610435864606876E-2</v>
      </c>
      <c r="H40" s="12" t="str">
        <f t="shared" si="1"/>
        <v>unadjusted</v>
      </c>
      <c r="I40" s="34">
        <f t="shared" si="2"/>
        <v>0</v>
      </c>
      <c r="J40" s="12">
        <f t="shared" si="3"/>
        <v>10</v>
      </c>
      <c r="K40" s="30">
        <f>IF(OR('GNI per capita'!AJ39="",'GNI per capita'!AK39=""),"",'GNI per capita'!AK39/'GNI per capita'!AJ39-1)</f>
        <v>-7.7343421605716722E-2</v>
      </c>
      <c r="L40" s="30">
        <f>IF(OR('GNI per capita'!AK39="",'GNI per capita'!AL39=""),"",'GNI per capita'!AL39/'GNI per capita'!AK39-1)</f>
        <v>-2.277904328018221E-2</v>
      </c>
      <c r="M40" s="30">
        <f>IF(OR('GNI per capita'!AL39="",'GNI per capita'!AM39=""),"",'GNI per capita'!AM39/'GNI per capita'!AL39-1)</f>
        <v>5.0349650349650332E-2</v>
      </c>
      <c r="N40" s="30">
        <f>IF(OR('GNI per capita'!AM39="",'GNI per capita'!AN39=""),"",'GNI per capita'!AN39/'GNI per capita'!AM39-1)</f>
        <v>3.3732800710164268E-2</v>
      </c>
      <c r="O40" s="30">
        <f>IF(OR('GNI per capita'!AN39="",'GNI per capita'!AO39=""),"",'GNI per capita'!AO39/'GNI per capita'!AN39-1)</f>
        <v>-5.7535422928295388E-2</v>
      </c>
      <c r="P40" s="30">
        <f>IF(OR('GNI per capita'!AO39="",'GNI per capita'!AP39=""),"",'GNI per capita'!AP39/'GNI per capita'!AO39-1)</f>
        <v>0.117995444191344</v>
      </c>
      <c r="Q40" s="30">
        <f>IF(OR('GNI per capita'!AP39="",'GNI per capita'!AQ39=""),"",'GNI per capita'!AQ39/'GNI per capita'!AP39-1)</f>
        <v>0.10167074164629186</v>
      </c>
      <c r="R40" s="30">
        <f>IF(OR('GNI per capita'!AQ39="",'GNI per capita'!AR39=""),"",'GNI per capita'!AR39/'GNI per capita'!AQ39-1)</f>
        <v>2.3488071019049483E-2</v>
      </c>
      <c r="S40" s="30">
        <f>IF(OR('GNI per capita'!AR39="",'GNI per capita'!AS39=""),"",'GNI per capita'!AS39/'GNI per capita'!AR39-1)</f>
        <v>-2.2226237802674409E-2</v>
      </c>
      <c r="T40" s="30">
        <f>IF(OR('GNI per capita'!AS39="",'GNI per capita'!AT39=""),"",'GNI per capita'!AT39/'GNI per capita'!AS39-1)</f>
        <v>4.2690815006468208E-2</v>
      </c>
      <c r="U40" s="2" t="s">
        <v>162</v>
      </c>
    </row>
    <row r="41" spans="1:21" x14ac:dyDescent="0.2">
      <c r="A41" s="2" t="s">
        <v>277</v>
      </c>
      <c r="B41" s="2" t="s">
        <v>278</v>
      </c>
      <c r="C41" s="11" t="s">
        <v>79</v>
      </c>
      <c r="D41" s="30">
        <f t="shared" si="0"/>
        <v>8.4883964039305981E-2</v>
      </c>
      <c r="E41" s="31">
        <f>Assumptions!$C$5</f>
        <v>1.244E-2</v>
      </c>
      <c r="F41" s="32">
        <f>IF($C41="L",Assumptions!$C$8,IF($C41="LM",Assumptions!$C$9,IF($C41="UM",Assumptions!$C$10,Assumptions!$C$11)))</f>
        <v>7.1689000000000003E-2</v>
      </c>
      <c r="G41" s="33">
        <f>IF(J41&lt;Assumptions!$C$13,"",MIN(MAX(D41,E41),F41))</f>
        <v>7.1689000000000003E-2</v>
      </c>
      <c r="H41" s="12" t="str">
        <f t="shared" si="1"/>
        <v>cut by cap</v>
      </c>
      <c r="I41" s="34">
        <f t="shared" si="2"/>
        <v>-1.3194964039305979E-2</v>
      </c>
      <c r="J41" s="12">
        <f t="shared" si="3"/>
        <v>9</v>
      </c>
      <c r="K41" s="30">
        <f>IF(OR('GNI per capita'!AJ40="",'GNI per capita'!AK40=""),"",'GNI per capita'!AK40/'GNI per capita'!AJ40-1)</f>
        <v>7.6524870582939553E-2</v>
      </c>
      <c r="L41" s="30">
        <f>IF(OR('GNI per capita'!AK40="",'GNI per capita'!AL40=""),"",'GNI per capita'!AL40/'GNI per capita'!AK40-1)</f>
        <v>8.4883964039305981E-2</v>
      </c>
      <c r="M41" s="30">
        <f>IF(OR('GNI per capita'!AL40="",'GNI per capita'!AM40=""),"",'GNI per capita'!AM40/'GNI per capita'!AL40-1)</f>
        <v>0.11543650028907293</v>
      </c>
      <c r="N41" s="30">
        <f>IF(OR('GNI per capita'!AM40="",'GNI per capita'!AN40=""),"",'GNI per capita'!AN40/'GNI per capita'!AM40-1)</f>
        <v>0.11472011057360065</v>
      </c>
      <c r="O41" s="30">
        <f>IF(OR('GNI per capita'!AN40="",'GNI per capita'!AO40=""),"",'GNI per capita'!AO40/'GNI per capita'!AN40-1)</f>
        <v>-3.2548047117172962E-2</v>
      </c>
      <c r="P41" s="30">
        <f>IF(OR('GNI per capita'!AO40="",'GNI per capita'!AP40=""),"",'GNI per capita'!AP40/'GNI per capita'!AO40-1)</f>
        <v>0.22172380647228462</v>
      </c>
      <c r="Q41" s="30">
        <f>IF(OR('GNI per capita'!AP40="",'GNI per capita'!AQ40=""),"",'GNI per capita'!AQ40/'GNI per capita'!AP40-1)</f>
        <v>-3.0159979019145022E-2</v>
      </c>
      <c r="R41" s="30">
        <f>IF(OR('GNI per capita'!AQ40="",'GNI per capita'!AR40=""),"",'GNI per capita'!AR40/'GNI per capita'!AQ40-1)</f>
        <v>1.3520822065982152E-4</v>
      </c>
      <c r="S41" s="30">
        <f>IF(OR('GNI per capita'!AR40="",'GNI per capita'!AS40=""),"",'GNI per capita'!AS40/'GNI per capita'!AR40-1)</f>
        <v>0.10747600378531841</v>
      </c>
      <c r="T41" s="30" t="str">
        <f>IF(OR('GNI per capita'!AS40="",'GNI per capita'!AT40=""),"",'GNI per capita'!AT40/'GNI per capita'!AS40-1)</f>
        <v/>
      </c>
      <c r="U41" s="28" t="s">
        <v>279</v>
      </c>
    </row>
    <row r="42" spans="1:21" x14ac:dyDescent="0.2">
      <c r="A42" s="2" t="s">
        <v>280</v>
      </c>
      <c r="B42" s="2" t="s">
        <v>281</v>
      </c>
      <c r="C42" s="11" t="s">
        <v>75</v>
      </c>
      <c r="D42" s="30">
        <f t="shared" si="0"/>
        <v>3.322867608581892E-2</v>
      </c>
      <c r="E42" s="31">
        <f>Assumptions!$C$5</f>
        <v>1.244E-2</v>
      </c>
      <c r="F42" s="32">
        <f>IF($C42="L",Assumptions!$C$8,IF($C42="LM",Assumptions!$C$9,IF($C42="UM",Assumptions!$C$10,Assumptions!$C$11)))</f>
        <v>5.5947999999999998E-2</v>
      </c>
      <c r="G42" s="33">
        <f>IF(J42&lt;Assumptions!$C$13,"",MIN(MAX(D42,E42),F42))</f>
        <v>3.322867608581892E-2</v>
      </c>
      <c r="H42" s="12" t="str">
        <f t="shared" si="1"/>
        <v>unadjusted</v>
      </c>
      <c r="I42" s="34">
        <f t="shared" si="2"/>
        <v>0</v>
      </c>
      <c r="J42" s="12">
        <f t="shared" si="3"/>
        <v>10</v>
      </c>
      <c r="K42" s="30">
        <f>IF(OR('GNI per capita'!AJ41="",'GNI per capita'!AK41=""),"",'GNI per capita'!AK41/'GNI per capita'!AJ41-1)</f>
        <v>2.564102564102555E-2</v>
      </c>
      <c r="L42" s="30">
        <f>IF(OR('GNI per capita'!AK41="",'GNI per capita'!AL41=""),"",'GNI per capita'!AL41/'GNI per capita'!AK41-1)</f>
        <v>5.0000000000000044E-2</v>
      </c>
      <c r="M42" s="30">
        <f>IF(OR('GNI per capita'!AL41="",'GNI per capita'!AM41=""),"",'GNI per capita'!AM41/'GNI per capita'!AL41-1)</f>
        <v>0.11904761904761907</v>
      </c>
      <c r="N42" s="30">
        <f>IF(OR('GNI per capita'!AM41="",'GNI per capita'!AN41=""),"",'GNI per capita'!AN41/'GNI per capita'!AM41-1)</f>
        <v>6.3829787234042534E-2</v>
      </c>
      <c r="O42" s="30">
        <f>IF(OR('GNI per capita'!AN41="",'GNI per capita'!AO41=""),"",'GNI per capita'!AO41/'GNI per capita'!AN41-1)</f>
        <v>-2.0000000000000018E-2</v>
      </c>
      <c r="P42" s="30">
        <f>IF(OR('GNI per capita'!AO41="",'GNI per capita'!AP41=""),"",'GNI per capita'!AP41/'GNI per capita'!AO41-1)</f>
        <v>4.081632653061229E-2</v>
      </c>
      <c r="Q42" s="30">
        <f>IF(OR('GNI per capita'!AP41="",'GNI per capita'!AQ41=""),"",'GNI per capita'!AQ41/'GNI per capita'!AP41-1)</f>
        <v>1.9607843137254832E-2</v>
      </c>
      <c r="R42" s="30">
        <f>IF(OR('GNI per capita'!AQ41="",'GNI per capita'!AR41=""),"",'GNI per capita'!AR41/'GNI per capita'!AQ41-1)</f>
        <v>1.9230769230769162E-2</v>
      </c>
      <c r="S42" s="30">
        <f>IF(OR('GNI per capita'!AR41="",'GNI per capita'!AS41=""),"",'GNI per capita'!AS41/'GNI per capita'!AR41-1)</f>
        <v>-3.7735849056603765E-2</v>
      </c>
      <c r="T42" s="30">
        <f>IF(OR('GNI per capita'!AS41="",'GNI per capita'!AT41=""),"",'GNI per capita'!AT41/'GNI per capita'!AS41-1)</f>
        <v>9.8039215686274606E-2</v>
      </c>
      <c r="U42" s="2" t="s">
        <v>162</v>
      </c>
    </row>
    <row r="43" spans="1:21" x14ac:dyDescent="0.2">
      <c r="A43" s="2" t="s">
        <v>282</v>
      </c>
      <c r="B43" s="2" t="s">
        <v>283</v>
      </c>
      <c r="C43" s="11" t="s">
        <v>75</v>
      </c>
      <c r="D43" s="30">
        <f t="shared" si="0"/>
        <v>1.098901098901095E-2</v>
      </c>
      <c r="E43" s="31">
        <f>Assumptions!$C$5</f>
        <v>1.244E-2</v>
      </c>
      <c r="F43" s="32">
        <f>IF($C43="L",Assumptions!$C$8,IF($C43="LM",Assumptions!$C$9,IF($C43="UM",Assumptions!$C$10,Assumptions!$C$11)))</f>
        <v>5.5947999999999998E-2</v>
      </c>
      <c r="G43" s="33">
        <f>IF(J43&lt;Assumptions!$C$13,"",MIN(MAX(D43,E43),F43))</f>
        <v>1.244E-2</v>
      </c>
      <c r="H43" s="12" t="str">
        <f t="shared" si="1"/>
        <v>raised by floor</v>
      </c>
      <c r="I43" s="34">
        <f t="shared" si="2"/>
        <v>1.4509890109890497E-3</v>
      </c>
      <c r="J43" s="12">
        <f t="shared" si="3"/>
        <v>10</v>
      </c>
      <c r="K43" s="30">
        <f>IF(OR('GNI per capita'!AJ42="",'GNI per capita'!AK42=""),"",'GNI per capita'!AK42/'GNI per capita'!AJ42-1)</f>
        <v>-0.16814159292035402</v>
      </c>
      <c r="L43" s="30">
        <f>IF(OR('GNI per capita'!AK42="",'GNI per capita'!AL42=""),"",'GNI per capita'!AL42/'GNI per capita'!AK42-1)</f>
        <v>-0.11702127659574468</v>
      </c>
      <c r="M43" s="30">
        <f>IF(OR('GNI per capita'!AL42="",'GNI per capita'!AM42=""),"",'GNI per capita'!AM42/'GNI per capita'!AL42-1)</f>
        <v>7.2289156626506035E-2</v>
      </c>
      <c r="N43" s="30">
        <f>IF(OR('GNI per capita'!AM42="",'GNI per capita'!AN42=""),"",'GNI per capita'!AN42/'GNI per capita'!AM42-1)</f>
        <v>4.4943820224719211E-2</v>
      </c>
      <c r="O43" s="30">
        <f>IF(OR('GNI per capita'!AN42="",'GNI per capita'!AO42=""),"",'GNI per capita'!AO42/'GNI per capita'!AN42-1)</f>
        <v>-4.3010752688172005E-2</v>
      </c>
      <c r="P43" s="30">
        <f>IF(OR('GNI per capita'!AO42="",'GNI per capita'!AP42=""),"",'GNI per capita'!AP42/'GNI per capita'!AO42-1)</f>
        <v>0</v>
      </c>
      <c r="Q43" s="30">
        <f>IF(OR('GNI per capita'!AP42="",'GNI per capita'!AQ42=""),"",'GNI per capita'!AQ42/'GNI per capita'!AP42-1)</f>
        <v>3.3707865168539408E-2</v>
      </c>
      <c r="R43" s="30">
        <f>IF(OR('GNI per capita'!AQ42="",'GNI per capita'!AR42=""),"",'GNI per capita'!AR42/'GNI per capita'!AQ42-1)</f>
        <v>-1.0869565217391353E-2</v>
      </c>
      <c r="S43" s="30">
        <f>IF(OR('GNI per capita'!AR42="",'GNI per capita'!AS42=""),"",'GNI per capita'!AS42/'GNI per capita'!AR42-1)</f>
        <v>2.19780219780219E-2</v>
      </c>
      <c r="T43" s="30">
        <f>IF(OR('GNI per capita'!AS42="",'GNI per capita'!AT42=""),"",'GNI per capita'!AT42/'GNI per capita'!AS42-1)</f>
        <v>4.3010752688172005E-2</v>
      </c>
      <c r="U43" s="28" t="s">
        <v>284</v>
      </c>
    </row>
    <row r="44" spans="1:21" x14ac:dyDescent="0.2">
      <c r="A44" s="2" t="s">
        <v>285</v>
      </c>
      <c r="B44" s="2" t="s">
        <v>286</v>
      </c>
      <c r="C44" s="11" t="s">
        <v>79</v>
      </c>
      <c r="D44" s="30" t="str">
        <f t="shared" si="0"/>
        <v/>
      </c>
      <c r="E44" s="31">
        <f>Assumptions!$C$5</f>
        <v>1.244E-2</v>
      </c>
      <c r="F44" s="32">
        <f>IF($C44="L",Assumptions!$C$8,IF($C44="LM",Assumptions!$C$9,IF($C44="UM",Assumptions!$C$10,Assumptions!$C$11)))</f>
        <v>7.1689000000000003E-2</v>
      </c>
      <c r="G44" s="33" t="str">
        <f>IF(J44&lt;Assumptions!$C$13,"",MIN(MAX(D44,E44),F44))</f>
        <v/>
      </c>
      <c r="H44" s="12" t="str">
        <f t="shared" si="1"/>
        <v>frozen</v>
      </c>
      <c r="I44" s="34" t="str">
        <f t="shared" si="2"/>
        <v/>
      </c>
      <c r="J44" s="12">
        <f t="shared" si="3"/>
        <v>0</v>
      </c>
      <c r="K44" s="30" t="str">
        <f>IF(OR('GNI per capita'!AJ43="",'GNI per capita'!AK43=""),"",'GNI per capita'!AK43/'GNI per capita'!AJ43-1)</f>
        <v/>
      </c>
      <c r="L44" s="30" t="str">
        <f>IF(OR('GNI per capita'!AK43="",'GNI per capita'!AL43=""),"",'GNI per capita'!AL43/'GNI per capita'!AK43-1)</f>
        <v/>
      </c>
      <c r="M44" s="30" t="str">
        <f>IF(OR('GNI per capita'!AL43="",'GNI per capita'!AM43=""),"",'GNI per capita'!AM43/'GNI per capita'!AL43-1)</f>
        <v/>
      </c>
      <c r="N44" s="30" t="str">
        <f>IF(OR('GNI per capita'!AM43="",'GNI per capita'!AN43=""),"",'GNI per capita'!AN43/'GNI per capita'!AM43-1)</f>
        <v/>
      </c>
      <c r="O44" s="30" t="str">
        <f>IF(OR('GNI per capita'!AN43="",'GNI per capita'!AO43=""),"",'GNI per capita'!AO43/'GNI per capita'!AN43-1)</f>
        <v/>
      </c>
      <c r="P44" s="30" t="str">
        <f>IF(OR('GNI per capita'!AO43="",'GNI per capita'!AP43=""),"",'GNI per capita'!AP43/'GNI per capita'!AO43-1)</f>
        <v/>
      </c>
      <c r="Q44" s="30" t="str">
        <f>IF(OR('GNI per capita'!AP43="",'GNI per capita'!AQ43=""),"",'GNI per capita'!AQ43/'GNI per capita'!AP43-1)</f>
        <v/>
      </c>
      <c r="R44" s="30" t="str">
        <f>IF(OR('GNI per capita'!AQ43="",'GNI per capita'!AR43=""),"",'GNI per capita'!AR43/'GNI per capita'!AQ43-1)</f>
        <v/>
      </c>
      <c r="S44" s="30" t="str">
        <f>IF(OR('GNI per capita'!AR43="",'GNI per capita'!AS43=""),"",'GNI per capita'!AS43/'GNI per capita'!AR43-1)</f>
        <v/>
      </c>
      <c r="T44" s="30" t="str">
        <f>IF(OR('GNI per capita'!AS43="",'GNI per capita'!AT43=""),"",'GNI per capita'!AT43/'GNI per capita'!AS43-1)</f>
        <v/>
      </c>
      <c r="U44" s="28" t="s">
        <v>204</v>
      </c>
    </row>
    <row r="45" spans="1:21" x14ac:dyDescent="0.2">
      <c r="A45" s="2" t="s">
        <v>287</v>
      </c>
      <c r="B45" s="2" t="s">
        <v>288</v>
      </c>
      <c r="C45" s="11" t="s">
        <v>79</v>
      </c>
      <c r="D45" s="30">
        <f t="shared" si="0"/>
        <v>2.5797134966372037E-2</v>
      </c>
      <c r="E45" s="31">
        <f>Assumptions!$C$5</f>
        <v>1.244E-2</v>
      </c>
      <c r="F45" s="32">
        <f>IF($C45="L",Assumptions!$C$8,IF($C45="LM",Assumptions!$C$9,IF($C45="UM",Assumptions!$C$10,Assumptions!$C$11)))</f>
        <v>7.1689000000000003E-2</v>
      </c>
      <c r="G45" s="33">
        <f>IF(J45&lt;Assumptions!$C$13,"",MIN(MAX(D45,E45),F45))</f>
        <v>2.5797134966372037E-2</v>
      </c>
      <c r="H45" s="12" t="str">
        <f t="shared" si="1"/>
        <v>unadjusted</v>
      </c>
      <c r="I45" s="34">
        <f t="shared" si="2"/>
        <v>0</v>
      </c>
      <c r="J45" s="12">
        <f t="shared" si="3"/>
        <v>10</v>
      </c>
      <c r="K45" s="30">
        <f>IF(OR('GNI per capita'!AJ44="",'GNI per capita'!AK44=""),"",'GNI per capita'!AK44/'GNI per capita'!AJ44-1)</f>
        <v>-5.46875E-2</v>
      </c>
      <c r="L45" s="30">
        <f>IF(OR('GNI per capita'!AK44="",'GNI per capita'!AL44=""),"",'GNI per capita'!AL44/'GNI per capita'!AK44-1)</f>
        <v>-8.2644628099173278E-3</v>
      </c>
      <c r="M45" s="30">
        <f>IF(OR('GNI per capita'!AL44="",'GNI per capita'!AM44=""),"",'GNI per capita'!AM44/'GNI per capita'!AL44-1)</f>
        <v>9.5454545454545459E-2</v>
      </c>
      <c r="N45" s="30">
        <f>IF(OR('GNI per capita'!AM44="",'GNI per capita'!AN44=""),"",'GNI per capita'!AN44/'GNI per capita'!AM44-1)</f>
        <v>1.6597510373443924E-2</v>
      </c>
      <c r="O45" s="30">
        <f>IF(OR('GNI per capita'!AN44="",'GNI per capita'!AO44=""),"",'GNI per capita'!AO44/'GNI per capita'!AN44-1)</f>
        <v>-0.11836734693877549</v>
      </c>
      <c r="P45" s="30">
        <f>IF(OR('GNI per capita'!AO44="",'GNI per capita'!AP44=""),"",'GNI per capita'!AP44/'GNI per capita'!AO44-1)</f>
        <v>0.14120370370370372</v>
      </c>
      <c r="Q45" s="30">
        <f>IF(OR('GNI per capita'!AP44="",'GNI per capita'!AQ44=""),"",'GNI per capita'!AQ44/'GNI per capita'!AP44-1)</f>
        <v>4.3272481406355645E-2</v>
      </c>
      <c r="R45" s="30">
        <f>IF(OR('GNI per capita'!AQ44="",'GNI per capita'!AR44=""),"",'GNI per capita'!AR44/'GNI per capita'!AQ44-1)</f>
        <v>3.499675955930015E-2</v>
      </c>
      <c r="S45" s="30">
        <f>IF(OR('GNI per capita'!AR44="",'GNI per capita'!AS44=""),"",'GNI per capita'!AS44/'GNI per capita'!AR44-1)</f>
        <v>-8.1402629931121018E-3</v>
      </c>
      <c r="T45" s="30">
        <f>IF(OR('GNI per capita'!AS44="",'GNI per capita'!AT44=""),"",'GNI per capita'!AT44/'GNI per capita'!AS44-1)</f>
        <v>7.0707070707070718E-2</v>
      </c>
      <c r="U45" s="2" t="s">
        <v>162</v>
      </c>
    </row>
    <row r="46" spans="1:21" x14ac:dyDescent="0.2">
      <c r="A46" s="2" t="s">
        <v>289</v>
      </c>
      <c r="B46" s="2" t="s">
        <v>290</v>
      </c>
      <c r="C46" s="11" t="s">
        <v>82</v>
      </c>
      <c r="D46" s="30">
        <f t="shared" si="0"/>
        <v>5.0129789684399517E-2</v>
      </c>
      <c r="E46" s="31">
        <f>Assumptions!$C$5</f>
        <v>1.244E-2</v>
      </c>
      <c r="F46" s="32">
        <f>IF($C46="L",Assumptions!$C$8,IF($C46="LM",Assumptions!$C$9,IF($C46="UM",Assumptions!$C$10,Assumptions!$C$11)))</f>
        <v>9.0712000000000001E-2</v>
      </c>
      <c r="G46" s="33">
        <f>IF(J46&lt;Assumptions!$C$13,"",MIN(MAX(D46,E46),F46))</f>
        <v>5.0129789684399517E-2</v>
      </c>
      <c r="H46" s="12" t="str">
        <f t="shared" si="1"/>
        <v>unadjusted</v>
      </c>
      <c r="I46" s="34">
        <f t="shared" si="2"/>
        <v>0</v>
      </c>
      <c r="J46" s="12">
        <f t="shared" si="3"/>
        <v>10</v>
      </c>
      <c r="K46" s="30">
        <f>IF(OR('GNI per capita'!AJ45="",'GNI per capita'!AK45=""),"",'GNI per capita'!AK45/'GNI per capita'!AJ45-1)</f>
        <v>3.9800995024875663E-2</v>
      </c>
      <c r="L46" s="30">
        <f>IF(OR('GNI per capita'!AK45="",'GNI per capita'!AL45=""),"",'GNI per capita'!AL45/'GNI per capita'!AK45-1)</f>
        <v>5.6220095693779948E-2</v>
      </c>
      <c r="M46" s="30">
        <f>IF(OR('GNI per capita'!AL45="",'GNI per capita'!AM45=""),"",'GNI per capita'!AM45/'GNI per capita'!AL45-1)</f>
        <v>0.10079275198187987</v>
      </c>
      <c r="N46" s="30">
        <f>IF(OR('GNI per capita'!AM45="",'GNI per capita'!AN45=""),"",'GNI per capita'!AN45/'GNI per capita'!AM45-1)</f>
        <v>8.1275720164609044E-2</v>
      </c>
      <c r="O46" s="30">
        <f>IF(OR('GNI per capita'!AN45="",'GNI per capita'!AO45=""),"",'GNI per capita'!AO45/'GNI per capita'!AN45-1)</f>
        <v>2.1883920076118057E-2</v>
      </c>
      <c r="P46" s="30">
        <f>IF(OR('GNI per capita'!AO45="",'GNI per capita'!AP45=""),"",'GNI per capita'!AP45/'GNI per capita'!AO45-1)</f>
        <v>0.13780260707635006</v>
      </c>
      <c r="Q46" s="30">
        <f>IF(OR('GNI per capita'!AP45="",'GNI per capita'!AQ45=""),"",'GNI per capita'!AQ45/'GNI per capita'!AP45-1)</f>
        <v>7.774140752864156E-2</v>
      </c>
      <c r="R46" s="30">
        <f>IF(OR('GNI per capita'!AQ45="",'GNI per capita'!AR45=""),"",'GNI per capita'!AR45/'GNI per capita'!AQ45-1)</f>
        <v>4.4039483675019087E-2</v>
      </c>
      <c r="S46" s="30">
        <f>IF(OR('GNI per capita'!AR45="",'GNI per capita'!AS45=""),"",'GNI per capita'!AS45/'GNI per capita'!AR45-1)</f>
        <v>-6.545454545454521E-3</v>
      </c>
      <c r="T46" s="30">
        <f>IF(OR('GNI per capita'!AS45="",'GNI per capita'!AT45=""),"",'GNI per capita'!AT45/'GNI per capita'!AS45-1)</f>
        <v>4.1727672035139163E-2</v>
      </c>
      <c r="U46" s="2" t="s">
        <v>162</v>
      </c>
    </row>
    <row r="47" spans="1:21" x14ac:dyDescent="0.2">
      <c r="A47" s="2" t="s">
        <v>291</v>
      </c>
      <c r="B47" s="2" t="s">
        <v>292</v>
      </c>
      <c r="C47" s="11" t="s">
        <v>82</v>
      </c>
      <c r="D47" s="30">
        <f t="shared" si="0"/>
        <v>4.1857069768022281E-2</v>
      </c>
      <c r="E47" s="31">
        <f>Assumptions!$C$5</f>
        <v>1.244E-2</v>
      </c>
      <c r="F47" s="32">
        <f>IF($C47="L",Assumptions!$C$8,IF($C47="LM",Assumptions!$C$9,IF($C47="UM",Assumptions!$C$10,Assumptions!$C$11)))</f>
        <v>9.0712000000000001E-2</v>
      </c>
      <c r="G47" s="33">
        <f>IF(J47&lt;Assumptions!$C$13,"",MIN(MAX(D47,E47),F47))</f>
        <v>4.1857069768022281E-2</v>
      </c>
      <c r="H47" s="12" t="str">
        <f t="shared" si="1"/>
        <v>unadjusted</v>
      </c>
      <c r="I47" s="34">
        <f t="shared" si="2"/>
        <v>0</v>
      </c>
      <c r="J47" s="12">
        <f t="shared" si="3"/>
        <v>10</v>
      </c>
      <c r="K47" s="30">
        <f>IF(OR('GNI per capita'!AJ46="",'GNI per capita'!AK46=""),"",'GNI per capita'!AK46/'GNI per capita'!AJ46-1)</f>
        <v>-0.11590296495956875</v>
      </c>
      <c r="L47" s="30">
        <f>IF(OR('GNI per capita'!AK46="",'GNI per capita'!AL46=""),"",'GNI per capita'!AL46/'GNI per capita'!AK46-1)</f>
        <v>-8.0792682926829285E-2</v>
      </c>
      <c r="M47" s="30">
        <f>IF(OR('GNI per capita'!AL46="",'GNI per capita'!AM46=""),"",'GNI per capita'!AM46/'GNI per capita'!AL46-1)</f>
        <v>5.306799336650081E-2</v>
      </c>
      <c r="N47" s="30">
        <f>IF(OR('GNI per capita'!AM46="",'GNI per capita'!AN46=""),"",'GNI per capita'!AN46/'GNI per capita'!AM46-1)</f>
        <v>4.4094488188976433E-2</v>
      </c>
      <c r="O47" s="30">
        <f>IF(OR('GNI per capita'!AN46="",'GNI per capita'!AO46=""),"",'GNI per capita'!AO46/'GNI per capita'!AN46-1)</f>
        <v>-0.11764705882352944</v>
      </c>
      <c r="P47" s="30">
        <f>IF(OR('GNI per capita'!AO46="",'GNI per capita'!AP46=""),"",'GNI per capita'!AP46/'GNI per capita'!AO46-1)</f>
        <v>7.8632478632478575E-2</v>
      </c>
      <c r="Q47" s="30">
        <f>IF(OR('GNI per capita'!AP46="",'GNI per capita'!AQ46=""),"",'GNI per capita'!AQ46/'GNI per capita'!AP46-1)</f>
        <v>3.961965134706813E-2</v>
      </c>
      <c r="R47" s="30">
        <f>IF(OR('GNI per capita'!AQ46="",'GNI per capita'!AR46=""),"",'GNI per capita'!AR46/'GNI per capita'!AQ46-1)</f>
        <v>3.0487804878048808E-2</v>
      </c>
      <c r="S47" s="30">
        <f>IF(OR('GNI per capita'!AR46="",'GNI per capita'!AS46=""),"",'GNI per capita'!AS46/'GNI per capita'!AR46-1)</f>
        <v>4.8816568047337361E-2</v>
      </c>
      <c r="T47" s="30">
        <f>IF(OR('GNI per capita'!AS46="",'GNI per capita'!AT46=""),"",'GNI per capita'!AT46/'GNI per capita'!AS46-1)</f>
        <v>0.11424541607898453</v>
      </c>
      <c r="U47" s="2" t="s">
        <v>162</v>
      </c>
    </row>
    <row r="48" spans="1:21" x14ac:dyDescent="0.2">
      <c r="A48" s="2" t="s">
        <v>293</v>
      </c>
      <c r="B48" s="2" t="s">
        <v>294</v>
      </c>
      <c r="C48" s="11" t="s">
        <v>210</v>
      </c>
      <c r="D48" s="30">
        <f t="shared" si="0"/>
        <v>2.6001435144147544E-2</v>
      </c>
      <c r="E48" s="31">
        <f>Assumptions!$C$5</f>
        <v>1.244E-2</v>
      </c>
      <c r="F48" s="32">
        <f>IF($C48="L",Assumptions!$C$8,IF($C48="LM",Assumptions!$C$9,IF($C48="UM",Assumptions!$C$10,Assumptions!$C$11)))</f>
        <v>7.4680999999999997E-2</v>
      </c>
      <c r="G48" s="33">
        <f>IF(J48&lt;Assumptions!$C$13,"",MIN(MAX(D48,E48),F48))</f>
        <v>2.6001435144147544E-2</v>
      </c>
      <c r="H48" s="12" t="str">
        <f t="shared" si="1"/>
        <v>unadjusted</v>
      </c>
      <c r="I48" s="34">
        <f t="shared" si="2"/>
        <v>0</v>
      </c>
      <c r="J48" s="12">
        <f t="shared" si="3"/>
        <v>10</v>
      </c>
      <c r="K48" s="30">
        <f>IF(OR('GNI per capita'!AJ47="",'GNI per capita'!AK47=""),"",'GNI per capita'!AK47/'GNI per capita'!AJ47-1)</f>
        <v>-4.7297297297297258E-2</v>
      </c>
      <c r="L48" s="30">
        <f>IF(OR('GNI per capita'!AK47="",'GNI per capita'!AL47=""),"",'GNI per capita'!AL47/'GNI per capita'!AK47-1)</f>
        <v>-2.1276595744680882E-2</v>
      </c>
      <c r="M48" s="30">
        <f>IF(OR('GNI per capita'!AL47="",'GNI per capita'!AM47=""),"",'GNI per capita'!AM47/'GNI per capita'!AL47-1)</f>
        <v>7.9710144927536142E-2</v>
      </c>
      <c r="N48" s="30">
        <f>IF(OR('GNI per capita'!AM47="",'GNI per capita'!AN47=""),"",'GNI per capita'!AN47/'GNI per capita'!AM47-1)</f>
        <v>2.6845637583892579E-2</v>
      </c>
      <c r="O48" s="30">
        <f>IF(OR('GNI per capita'!AN47="",'GNI per capita'!AO47=""),"",'GNI per capita'!AO47/'GNI per capita'!AN47-1)</f>
        <v>0</v>
      </c>
      <c r="P48" s="30">
        <f>IF(OR('GNI per capita'!AO47="",'GNI per capita'!AP47=""),"",'GNI per capita'!AP47/'GNI per capita'!AO47-1)</f>
        <v>3.9215686274509887E-2</v>
      </c>
      <c r="Q48" s="30">
        <f>IF(OR('GNI per capita'!AP47="",'GNI per capita'!AQ47=""),"",'GNI per capita'!AQ47/'GNI per capita'!AP47-1)</f>
        <v>2.515723270440251E-2</v>
      </c>
      <c r="R48" s="30">
        <f>IF(OR('GNI per capita'!AQ47="",'GNI per capita'!AR47=""),"",'GNI per capita'!AR47/'GNI per capita'!AQ47-1)</f>
        <v>2.4539877300613577E-2</v>
      </c>
      <c r="S48" s="30">
        <f>IF(OR('GNI per capita'!AR47="",'GNI per capita'!AS47=""),"",'GNI per capita'!AS47/'GNI per capita'!AR47-1)</f>
        <v>3.5928143712574911E-2</v>
      </c>
      <c r="T48" s="30">
        <f>IF(OR('GNI per capita'!AS47="",'GNI per capita'!AT47=""),"",'GNI per capita'!AT47/'GNI per capita'!AS47-1)</f>
        <v>0.12716763005780352</v>
      </c>
      <c r="U48" s="2" t="s">
        <v>162</v>
      </c>
    </row>
    <row r="49" spans="1:21" x14ac:dyDescent="0.2">
      <c r="A49" s="2" t="s">
        <v>295</v>
      </c>
      <c r="B49" s="2" t="s">
        <v>296</v>
      </c>
      <c r="C49" s="11" t="s">
        <v>75</v>
      </c>
      <c r="D49" s="30">
        <f t="shared" si="0"/>
        <v>4.4466403162055301E-2</v>
      </c>
      <c r="E49" s="31">
        <f>Assumptions!$C$5</f>
        <v>1.244E-2</v>
      </c>
      <c r="F49" s="32">
        <f>IF($C49="L",Assumptions!$C$8,IF($C49="LM",Assumptions!$C$9,IF($C49="UM",Assumptions!$C$10,Assumptions!$C$11)))</f>
        <v>5.5947999999999998E-2</v>
      </c>
      <c r="G49" s="33">
        <f>IF(J49&lt;Assumptions!$C$13,"",MIN(MAX(D49,E49),F49))</f>
        <v>4.4466403162055301E-2</v>
      </c>
      <c r="H49" s="12" t="str">
        <f t="shared" si="1"/>
        <v>unadjusted</v>
      </c>
      <c r="I49" s="34">
        <f t="shared" si="2"/>
        <v>0</v>
      </c>
      <c r="J49" s="12">
        <f t="shared" si="3"/>
        <v>10</v>
      </c>
      <c r="K49" s="30">
        <f>IF(OR('GNI per capita'!AJ48="",'GNI per capita'!AK48=""),"",'GNI per capita'!AK48/'GNI per capita'!AJ48-1)</f>
        <v>0</v>
      </c>
      <c r="L49" s="30">
        <f>IF(OR('GNI per capita'!AK48="",'GNI per capita'!AL48=""),"",'GNI per capita'!AL48/'GNI per capita'!AK48-1)</f>
        <v>-4.3478260869565188E-2</v>
      </c>
      <c r="M49" s="30">
        <f>IF(OR('GNI per capita'!AL48="",'GNI per capita'!AM48=""),"",'GNI per capita'!AM48/'GNI per capita'!AL48-1)</f>
        <v>4.5454545454545414E-2</v>
      </c>
      <c r="N49" s="30">
        <f>IF(OR('GNI per capita'!AM48="",'GNI per capita'!AN48=""),"",'GNI per capita'!AN48/'GNI per capita'!AM48-1)</f>
        <v>0</v>
      </c>
      <c r="O49" s="30">
        <f>IF(OR('GNI per capita'!AN48="",'GNI per capita'!AO48=""),"",'GNI per capita'!AO48/'GNI per capita'!AN48-1)</f>
        <v>4.3478260869565188E-2</v>
      </c>
      <c r="P49" s="30">
        <f>IF(OR('GNI per capita'!AO48="",'GNI per capita'!AP48=""),"",'GNI per capita'!AP48/'GNI per capita'!AO48-1)</f>
        <v>0.10416666666666674</v>
      </c>
      <c r="Q49" s="30">
        <f>IF(OR('GNI per capita'!AP48="",'GNI per capita'!AQ48=""),"",'GNI per capita'!AQ48/'GNI per capita'!AP48-1)</f>
        <v>0.15094339622641506</v>
      </c>
      <c r="R49" s="30">
        <f>IF(OR('GNI per capita'!AQ48="",'GNI per capita'!AR48=""),"",'GNI per capita'!AR48/'GNI per capita'!AQ48-1)</f>
        <v>0.11475409836065564</v>
      </c>
      <c r="S49" s="30">
        <f>IF(OR('GNI per capita'!AR48="",'GNI per capita'!AS48=""),"",'GNI per capita'!AS48/'GNI per capita'!AR48-1)</f>
        <v>0</v>
      </c>
      <c r="T49" s="30">
        <f>IF(OR('GNI per capita'!AS48="",'GNI per capita'!AT48=""),"",'GNI per capita'!AT48/'GNI per capita'!AS48-1)</f>
        <v>5.8823529411764719E-2</v>
      </c>
      <c r="U49" s="2" t="s">
        <v>162</v>
      </c>
    </row>
    <row r="50" spans="1:21" x14ac:dyDescent="0.2">
      <c r="A50" s="2" t="s">
        <v>297</v>
      </c>
      <c r="B50" s="2" t="s">
        <v>298</v>
      </c>
      <c r="C50" s="11" t="s">
        <v>210</v>
      </c>
      <c r="D50" s="30">
        <f t="shared" si="0"/>
        <v>1.3670533080063052E-2</v>
      </c>
      <c r="E50" s="31">
        <f>Assumptions!$C$5</f>
        <v>1.244E-2</v>
      </c>
      <c r="F50" s="32">
        <f>IF($C50="L",Assumptions!$C$8,IF($C50="LM",Assumptions!$C$9,IF($C50="UM",Assumptions!$C$10,Assumptions!$C$11)))</f>
        <v>7.4680999999999997E-2</v>
      </c>
      <c r="G50" s="33">
        <f>IF(J50&lt;Assumptions!$C$13,"",MIN(MAX(D50,E50),F50))</f>
        <v>1.3670533080063052E-2</v>
      </c>
      <c r="H50" s="12" t="str">
        <f t="shared" si="1"/>
        <v>unadjusted</v>
      </c>
      <c r="I50" s="34">
        <f t="shared" si="2"/>
        <v>0</v>
      </c>
      <c r="J50" s="12">
        <f t="shared" si="3"/>
        <v>10</v>
      </c>
      <c r="K50" s="30">
        <f>IF(OR('GNI per capita'!AJ49="",'GNI per capita'!AK49=""),"",'GNI per capita'!AK49/'GNI per capita'!AJ49-1)</f>
        <v>-0.26623376623376627</v>
      </c>
      <c r="L50" s="30">
        <f>IF(OR('GNI per capita'!AK49="",'GNI per capita'!AL49=""),"",'GNI per capita'!AL49/'GNI per capita'!AK49-1)</f>
        <v>-0.23008849557522126</v>
      </c>
      <c r="M50" s="30">
        <f>IF(OR('GNI per capita'!AL49="",'GNI per capita'!AM49=""),"",'GNI per capita'!AM49/'GNI per capita'!AL49-1)</f>
        <v>0.18965517241379315</v>
      </c>
      <c r="N50" s="30">
        <f>IF(OR('GNI per capita'!AM49="",'GNI per capita'!AN49=""),"",'GNI per capita'!AN49/'GNI per capita'!AM49-1)</f>
        <v>5.3140096618357502E-2</v>
      </c>
      <c r="O50" s="30">
        <f>IF(OR('GNI per capita'!AN49="",'GNI per capita'!AO49=""),"",'GNI per capita'!AO49/'GNI per capita'!AN49-1)</f>
        <v>2.2935779816513735E-2</v>
      </c>
      <c r="P50" s="30">
        <f>IF(OR('GNI per capita'!AO49="",'GNI per capita'!AP49=""),"",'GNI per capita'!AP49/'GNI per capita'!AO49-1)</f>
        <v>-8.5201793721973118E-2</v>
      </c>
      <c r="Q50" s="30">
        <f>IF(OR('GNI per capita'!AP49="",'GNI per capita'!AQ49=""),"",'GNI per capita'!AQ49/'GNI per capita'!AP49-1)</f>
        <v>6.3725490196078427E-2</v>
      </c>
      <c r="R50" s="30">
        <f>IF(OR('GNI per capita'!AQ49="",'GNI per capita'!AR49=""),"",'GNI per capita'!AR49/'GNI per capita'!AQ49-1)</f>
        <v>6.4516129032258007E-2</v>
      </c>
      <c r="S50" s="30">
        <f>IF(OR('GNI per capita'!AR49="",'GNI per capita'!AS49=""),"",'GNI per capita'!AS49/'GNI per capita'!AR49-1)</f>
        <v>-1.7316017316017285E-2</v>
      </c>
      <c r="T50" s="30">
        <f>IF(OR('GNI per capita'!AS49="",'GNI per capita'!AT49=""),"",'GNI per capita'!AT49/'GNI per capita'!AS49-1)</f>
        <v>4.405286343612369E-3</v>
      </c>
      <c r="U50" s="2" t="s">
        <v>162</v>
      </c>
    </row>
    <row r="51" spans="1:21" x14ac:dyDescent="0.2">
      <c r="A51" s="2" t="s">
        <v>299</v>
      </c>
      <c r="B51" s="2" t="s">
        <v>300</v>
      </c>
      <c r="C51" s="11" t="s">
        <v>79</v>
      </c>
      <c r="D51" s="30">
        <f t="shared" si="0"/>
        <v>5.147211216092662E-2</v>
      </c>
      <c r="E51" s="31">
        <f>Assumptions!$C$5</f>
        <v>1.244E-2</v>
      </c>
      <c r="F51" s="32">
        <f>IF($C51="L",Assumptions!$C$8,IF($C51="LM",Assumptions!$C$9,IF($C51="UM",Assumptions!$C$10,Assumptions!$C$11)))</f>
        <v>7.1689000000000003E-2</v>
      </c>
      <c r="G51" s="33">
        <f>IF(J51&lt;Assumptions!$C$13,"",MIN(MAX(D51,E51),F51))</f>
        <v>5.147211216092662E-2</v>
      </c>
      <c r="H51" s="12" t="str">
        <f t="shared" si="1"/>
        <v>unadjusted</v>
      </c>
      <c r="I51" s="34">
        <f t="shared" si="2"/>
        <v>0</v>
      </c>
      <c r="J51" s="12">
        <f t="shared" si="3"/>
        <v>10</v>
      </c>
      <c r="K51" s="30">
        <f>IF(OR('GNI per capita'!AJ50="",'GNI per capita'!AK50=""),"",'GNI per capita'!AK50/'GNI per capita'!AJ50-1)</f>
        <v>3.7140204271123523E-2</v>
      </c>
      <c r="L51" s="30">
        <f>IF(OR('GNI per capita'!AK50="",'GNI per capita'!AL50=""),"",'GNI per capita'!AL50/'GNI per capita'!AK50-1)</f>
        <v>3.6705461056401045E-2</v>
      </c>
      <c r="M51" s="30">
        <f>IF(OR('GNI per capita'!AL50="",'GNI per capita'!AM50=""),"",'GNI per capita'!AM50/'GNI per capita'!AL50-1)</f>
        <v>4.4905008635578669E-2</v>
      </c>
      <c r="N51" s="30">
        <f>IF(OR('GNI per capita'!AM50="",'GNI per capita'!AN50=""),"",'GNI per capita'!AN50/'GNI per capita'!AM50-1)</f>
        <v>1.7355371900826366E-2</v>
      </c>
      <c r="O51" s="30">
        <f>IF(OR('GNI per capita'!AN50="",'GNI per capita'!AO50=""),"",'GNI per capita'!AO50/'GNI per capita'!AN50-1)</f>
        <v>-4.305442729488218E-2</v>
      </c>
      <c r="P51" s="30">
        <f>IF(OR('GNI per capita'!AO50="",'GNI per capita'!AP50=""),"",'GNI per capita'!AP50/'GNI per capita'!AO50-1)</f>
        <v>8.2342954159592585E-2</v>
      </c>
      <c r="Q51" s="30">
        <f>IF(OR('GNI per capita'!AP50="",'GNI per capita'!AQ50=""),"",'GNI per capita'!AQ50/'GNI per capita'!AP50-1)</f>
        <v>5.803921568627457E-2</v>
      </c>
      <c r="R51" s="30">
        <f>IF(OR('GNI per capita'!AQ50="",'GNI per capita'!AR50=""),"",'GNI per capita'!AR50/'GNI per capita'!AQ50-1)</f>
        <v>6.2268346923647133E-2</v>
      </c>
      <c r="S51" s="30">
        <f>IF(OR('GNI per capita'!AR50="",'GNI per capita'!AS50=""),"",'GNI per capita'!AS50/'GNI per capita'!AR50-1)</f>
        <v>9.6301465457083069E-2</v>
      </c>
      <c r="T51" s="30">
        <f>IF(OR('GNI per capita'!AS50="",'GNI per capita'!AT50=""),"",'GNI per capita'!AT50/'GNI per capita'!AS50-1)</f>
        <v>0.14131126670910255</v>
      </c>
      <c r="U51" s="2" t="s">
        <v>162</v>
      </c>
    </row>
    <row r="52" spans="1:21" x14ac:dyDescent="0.2">
      <c r="A52" s="2" t="s">
        <v>301</v>
      </c>
      <c r="B52" s="2" t="s">
        <v>302</v>
      </c>
      <c r="C52" s="11" t="s">
        <v>79</v>
      </c>
      <c r="D52" s="30">
        <f t="shared" si="0"/>
        <v>7.4404230887123002E-2</v>
      </c>
      <c r="E52" s="31">
        <f>Assumptions!$C$5</f>
        <v>1.244E-2</v>
      </c>
      <c r="F52" s="32">
        <f>IF($C52="L",Assumptions!$C$8,IF($C52="LM",Assumptions!$C$9,IF($C52="UM",Assumptions!$C$10,Assumptions!$C$11)))</f>
        <v>7.1689000000000003E-2</v>
      </c>
      <c r="G52" s="33">
        <f>IF(J52&lt;Assumptions!$C$13,"",MIN(MAX(D52,E52),F52))</f>
        <v>7.1689000000000003E-2</v>
      </c>
      <c r="H52" s="12" t="str">
        <f t="shared" si="1"/>
        <v>cut by cap</v>
      </c>
      <c r="I52" s="34">
        <f t="shared" si="2"/>
        <v>-2.7152308871229991E-3</v>
      </c>
      <c r="J52" s="12">
        <f t="shared" si="3"/>
        <v>10</v>
      </c>
      <c r="K52" s="30">
        <f>IF(OR('GNI per capita'!AJ51="",'GNI per capita'!AK51=""),"",'GNI per capita'!AK51/'GNI per capita'!AJ51-1)</f>
        <v>-3.537214443625647E-2</v>
      </c>
      <c r="L52" s="30">
        <f>IF(OR('GNI per capita'!AK51="",'GNI per capita'!AL51=""),"",'GNI per capita'!AL51/'GNI per capita'!AK51-1)</f>
        <v>1.9862490450725634E-2</v>
      </c>
      <c r="M52" s="30">
        <f>IF(OR('GNI per capita'!AL51="",'GNI per capita'!AM51=""),"",'GNI per capita'!AM51/'GNI per capita'!AL51-1)</f>
        <v>9.8876404494381953E-2</v>
      </c>
      <c r="N52" s="30">
        <f>IF(OR('GNI per capita'!AM51="",'GNI per capita'!AN51=""),"",'GNI per capita'!AN51/'GNI per capita'!AM51-1)</f>
        <v>7.4982958418541301E-2</v>
      </c>
      <c r="O52" s="30">
        <f>IF(OR('GNI per capita'!AN51="",'GNI per capita'!AO51=""),"",'GNI per capita'!AO51/'GNI per capita'!AN51-1)</f>
        <v>-4.5022194039315178E-2</v>
      </c>
      <c r="P52" s="30">
        <f>IF(OR('GNI per capita'!AO51="",'GNI per capita'!AP51=""),"",'GNI per capita'!AP51/'GNI per capita'!AO51-1)</f>
        <v>0.15471447543160699</v>
      </c>
      <c r="Q52" s="30">
        <f>IF(OR('GNI per capita'!AP51="",'GNI per capita'!AQ51=""),"",'GNI per capita'!AQ51/'GNI per capita'!AP51-1)</f>
        <v>0.11385853939045432</v>
      </c>
      <c r="R52" s="30">
        <f>IF(OR('GNI per capita'!AQ51="",'GNI per capita'!AR51=""),"",'GNI per capita'!AR51/'GNI per capita'!AQ51-1)</f>
        <v>7.3825503355704702E-2</v>
      </c>
      <c r="S52" s="30">
        <f>IF(OR('GNI per capita'!AR51="",'GNI per capita'!AS51=""),"",'GNI per capita'!AS51/'GNI per capita'!AR51-1)</f>
        <v>6.8750000000000089E-2</v>
      </c>
      <c r="T52" s="30">
        <f>IF(OR('GNI per capita'!AS51="",'GNI per capita'!AT51=""),"",'GNI per capita'!AT51/'GNI per capita'!AS51-1)</f>
        <v>0.14080071974808828</v>
      </c>
      <c r="U52" s="28" t="s">
        <v>303</v>
      </c>
    </row>
    <row r="53" spans="1:21" x14ac:dyDescent="0.2">
      <c r="A53" s="2" t="s">
        <v>304</v>
      </c>
      <c r="B53" s="2" t="s">
        <v>305</v>
      </c>
      <c r="C53" s="11" t="s">
        <v>82</v>
      </c>
      <c r="D53" s="30">
        <f t="shared" si="0"/>
        <v>4.9754215599774221E-2</v>
      </c>
      <c r="E53" s="31">
        <f>Assumptions!$C$5</f>
        <v>1.244E-2</v>
      </c>
      <c r="F53" s="32">
        <f>IF($C53="L",Assumptions!$C$8,IF($C53="LM",Assumptions!$C$9,IF($C53="UM",Assumptions!$C$10,Assumptions!$C$11)))</f>
        <v>9.0712000000000001E-2</v>
      </c>
      <c r="G53" s="33" t="str">
        <f>IF(J53&lt;Assumptions!$C$13,"",MIN(MAX(D53,E53),F53))</f>
        <v/>
      </c>
      <c r="H53" s="12" t="str">
        <f t="shared" si="1"/>
        <v>frozen</v>
      </c>
      <c r="I53" s="34" t="str">
        <f t="shared" si="2"/>
        <v/>
      </c>
      <c r="J53" s="12">
        <f t="shared" si="3"/>
        <v>4</v>
      </c>
      <c r="K53" s="30">
        <f>IF(OR('GNI per capita'!AJ52="",'GNI per capita'!AK52=""),"",'GNI per capita'!AK52/'GNI per capita'!AJ52-1)</f>
        <v>3.5763411279229773E-2</v>
      </c>
      <c r="L53" s="30">
        <f>IF(OR('GNI per capita'!AK52="",'GNI per capita'!AL52=""),"",'GNI per capita'!AL52/'GNI per capita'!AK52-1)</f>
        <v>6.3745019920318668E-2</v>
      </c>
      <c r="M53" s="30">
        <f>IF(OR('GNI per capita'!AL52="",'GNI per capita'!AM52=""),"",'GNI per capita'!AM52/'GNI per capita'!AL52-1)</f>
        <v>8.739076154806491E-2</v>
      </c>
      <c r="N53" s="30">
        <f>IF(OR('GNI per capita'!AM52="",'GNI per capita'!AN52=""),"",'GNI per capita'!AN52/'GNI per capita'!AM52-1)</f>
        <v>3.4443168771526977E-2</v>
      </c>
      <c r="O53" s="30" t="str">
        <f>IF(OR('GNI per capita'!AN52="",'GNI per capita'!AO52=""),"",'GNI per capita'!AO52/'GNI per capita'!AN52-1)</f>
        <v/>
      </c>
      <c r="P53" s="30" t="str">
        <f>IF(OR('GNI per capita'!AO52="",'GNI per capita'!AP52=""),"",'GNI per capita'!AP52/'GNI per capita'!AO52-1)</f>
        <v/>
      </c>
      <c r="Q53" s="30" t="str">
        <f>IF(OR('GNI per capita'!AP52="",'GNI per capita'!AQ52=""),"",'GNI per capita'!AQ52/'GNI per capita'!AP52-1)</f>
        <v/>
      </c>
      <c r="R53" s="30" t="str">
        <f>IF(OR('GNI per capita'!AQ52="",'GNI per capita'!AR52=""),"",'GNI per capita'!AR52/'GNI per capita'!AQ52-1)</f>
        <v/>
      </c>
      <c r="S53" s="30" t="str">
        <f>IF(OR('GNI per capita'!AR52="",'GNI per capita'!AS52=""),"",'GNI per capita'!AS52/'GNI per capita'!AR52-1)</f>
        <v/>
      </c>
      <c r="T53" s="30" t="str">
        <f>IF(OR('GNI per capita'!AS52="",'GNI per capita'!AT52=""),"",'GNI per capita'!AT52/'GNI per capita'!AS52-1)</f>
        <v/>
      </c>
      <c r="U53" s="28" t="s">
        <v>306</v>
      </c>
    </row>
    <row r="54" spans="1:21" x14ac:dyDescent="0.2">
      <c r="A54" s="2" t="s">
        <v>307</v>
      </c>
      <c r="B54" s="2" t="s">
        <v>308</v>
      </c>
      <c r="C54" s="11" t="s">
        <v>79</v>
      </c>
      <c r="D54" s="30">
        <f t="shared" si="0"/>
        <v>3.2364234777838785E-2</v>
      </c>
      <c r="E54" s="31">
        <f>Assumptions!$C$5</f>
        <v>1.244E-2</v>
      </c>
      <c r="F54" s="32">
        <f>IF($C54="L",Assumptions!$C$8,IF($C54="LM",Assumptions!$C$9,IF($C54="UM",Assumptions!$C$10,Assumptions!$C$11)))</f>
        <v>7.1689000000000003E-2</v>
      </c>
      <c r="G54" s="33">
        <f>IF(J54&lt;Assumptions!$C$13,"",MIN(MAX(D54,E54),F54))</f>
        <v>3.2364234777838785E-2</v>
      </c>
      <c r="H54" s="12" t="str">
        <f t="shared" si="1"/>
        <v>unadjusted</v>
      </c>
      <c r="I54" s="34">
        <f t="shared" si="2"/>
        <v>0</v>
      </c>
      <c r="J54" s="12">
        <f t="shared" si="3"/>
        <v>9</v>
      </c>
      <c r="K54" s="30">
        <f>IF(OR('GNI per capita'!AJ53="",'GNI per capita'!AK53=""),"",'GNI per capita'!AK53/'GNI per capita'!AJ53-1)</f>
        <v>-2.7689030883919052E-2</v>
      </c>
      <c r="L54" s="30">
        <f>IF(OR('GNI per capita'!AK53="",'GNI per capita'!AL53=""),"",'GNI per capita'!AL53/'GNI per capita'!AK53-1)</f>
        <v>-1.6429353778751876E-3</v>
      </c>
      <c r="M54" s="30">
        <f>IF(OR('GNI per capita'!AL53="",'GNI per capita'!AM53=""),"",'GNI per capita'!AM53/'GNI per capita'!AL53-1)</f>
        <v>3.2364234777838785E-2</v>
      </c>
      <c r="N54" s="30">
        <f>IF(OR('GNI per capita'!AM53="",'GNI per capita'!AN53=""),"",'GNI per capita'!AN53/'GNI per capita'!AM53-1)</f>
        <v>1.7003188097768351E-2</v>
      </c>
      <c r="O54" s="30">
        <f>IF(OR('GNI per capita'!AN53="",'GNI per capita'!AO53=""),"",'GNI per capita'!AO53/'GNI per capita'!AN53-1)</f>
        <v>-0.15412748171368862</v>
      </c>
      <c r="P54" s="30">
        <f>IF(OR('GNI per capita'!AO53="",'GNI per capita'!AP53=""),"",'GNI per capita'!AP53/'GNI per capita'!AO53-1)</f>
        <v>0.10870907967881416</v>
      </c>
      <c r="Q54" s="30">
        <f>IF(OR('GNI per capita'!AP53="",'GNI per capita'!AQ53=""),"",'GNI per capita'!AQ53/'GNI per capita'!AP53-1)</f>
        <v>0.1409470752089137</v>
      </c>
      <c r="R54" s="30">
        <f>IF(OR('GNI per capita'!AQ53="",'GNI per capita'!AR53=""),"",'GNI per capita'!AR53/'GNI per capita'!AQ53-1)</f>
        <v>4.4921875E-2</v>
      </c>
      <c r="S54" s="30">
        <f>IF(OR('GNI per capita'!AR53="",'GNI per capita'!AS53=""),"",'GNI per capita'!AS53/'GNI per capita'!AR53-1)</f>
        <v>5.4672897196261783E-2</v>
      </c>
      <c r="T54" s="30" t="str">
        <f>IF(OR('GNI per capita'!AS53="",'GNI per capita'!AT53=""),"",'GNI per capita'!AT53/'GNI per capita'!AS53-1)</f>
        <v/>
      </c>
      <c r="U54" s="2" t="s">
        <v>162</v>
      </c>
    </row>
    <row r="55" spans="1:21" x14ac:dyDescent="0.2">
      <c r="A55" s="2" t="s">
        <v>309</v>
      </c>
      <c r="B55" s="2" t="s">
        <v>310</v>
      </c>
      <c r="C55" s="11" t="s">
        <v>79</v>
      </c>
      <c r="D55" s="30">
        <f t="shared" si="0"/>
        <v>3.0796487507310788E-2</v>
      </c>
      <c r="E55" s="31">
        <f>Assumptions!$C$5</f>
        <v>1.244E-2</v>
      </c>
      <c r="F55" s="32">
        <f>IF($C55="L",Assumptions!$C$8,IF($C55="LM",Assumptions!$C$9,IF($C55="UM",Assumptions!$C$10,Assumptions!$C$11)))</f>
        <v>7.1689000000000003E-2</v>
      </c>
      <c r="G55" s="33">
        <f>IF(J55&lt;Assumptions!$C$13,"",MIN(MAX(D55,E55),F55))</f>
        <v>3.0796487507310788E-2</v>
      </c>
      <c r="H55" s="12" t="str">
        <f t="shared" si="1"/>
        <v>unadjusted</v>
      </c>
      <c r="I55" s="34">
        <f t="shared" si="2"/>
        <v>0</v>
      </c>
      <c r="J55" s="12">
        <f t="shared" si="3"/>
        <v>10</v>
      </c>
      <c r="K55" s="30">
        <f>IF(OR('GNI per capita'!AJ54="",'GNI per capita'!AK54=""),"",'GNI per capita'!AK54/'GNI per capita'!AJ54-1)</f>
        <v>-4.8732943469785628E-2</v>
      </c>
      <c r="L55" s="30">
        <f>IF(OR('GNI per capita'!AK54="",'GNI per capita'!AL54=""),"",'GNI per capita'!AL54/'GNI per capita'!AK54-1)</f>
        <v>8.1967213114753079E-3</v>
      </c>
      <c r="M55" s="30">
        <f>IF(OR('GNI per capita'!AL54="",'GNI per capita'!AM54=""),"",'GNI per capita'!AM54/'GNI per capita'!AL54-1)</f>
        <v>0.10243902439024399</v>
      </c>
      <c r="N55" s="30">
        <f>IF(OR('GNI per capita'!AM54="",'GNI per capita'!AN54=""),"",'GNI per capita'!AN54/'GNI per capita'!AM54-1)</f>
        <v>4.6460176991150348E-2</v>
      </c>
      <c r="O55" s="30">
        <f>IF(OR('GNI per capita'!AN54="",'GNI per capita'!AO54=""),"",'GNI per capita'!AO54/'GNI per capita'!AN54-1)</f>
        <v>-5.6377730796335457E-2</v>
      </c>
      <c r="P55" s="30">
        <f>IF(OR('GNI per capita'!AO54="",'GNI per capita'!AP54=""),"",'GNI per capita'!AP54/'GNI per capita'!AO54-1)</f>
        <v>0.10380881254667673</v>
      </c>
      <c r="Q55" s="30">
        <f>IF(OR('GNI per capita'!AP54="",'GNI per capita'!AQ54=""),"",'GNI per capita'!AQ54/'GNI per capita'!AP54-1)</f>
        <v>7.9161028416779411E-2</v>
      </c>
      <c r="R55" s="30">
        <f>IF(OR('GNI per capita'!AQ54="",'GNI per capita'!AR54=""),"",'GNI per capita'!AR54/'GNI per capita'!AQ54-1)</f>
        <v>1.5047021943573657E-2</v>
      </c>
      <c r="S55" s="30">
        <f>IF(OR('GNI per capita'!AR54="",'GNI per capita'!AS54=""),"",'GNI per capita'!AS54/'GNI per capita'!AR54-1)</f>
        <v>1.5132798023471228E-2</v>
      </c>
      <c r="T55" s="30">
        <f>IF(OR('GNI per capita'!AS54="",'GNI per capita'!AT54=""),"",'GNI per capita'!AT54/'GNI per capita'!AS54-1)</f>
        <v>9.857012473379978E-2</v>
      </c>
      <c r="U55" s="2" t="s">
        <v>162</v>
      </c>
    </row>
    <row r="56" spans="1:21" x14ac:dyDescent="0.2">
      <c r="A56" s="2" t="s">
        <v>311</v>
      </c>
      <c r="B56" s="2" t="s">
        <v>312</v>
      </c>
      <c r="C56" s="11" t="s">
        <v>79</v>
      </c>
      <c r="D56" s="30">
        <f t="shared" si="0"/>
        <v>5.7968956049895159E-2</v>
      </c>
      <c r="E56" s="31">
        <f>Assumptions!$C$5</f>
        <v>1.244E-2</v>
      </c>
      <c r="F56" s="32">
        <f>IF($C56="L",Assumptions!$C$8,IF($C56="LM",Assumptions!$C$9,IF($C56="UM",Assumptions!$C$10,Assumptions!$C$11)))</f>
        <v>7.1689000000000003E-2</v>
      </c>
      <c r="G56" s="33">
        <f>IF(J56&lt;Assumptions!$C$13,"",MIN(MAX(D56,E56),F56))</f>
        <v>5.7968956049895159E-2</v>
      </c>
      <c r="H56" s="12" t="str">
        <f t="shared" si="1"/>
        <v>unadjusted</v>
      </c>
      <c r="I56" s="34">
        <f t="shared" si="2"/>
        <v>0</v>
      </c>
      <c r="J56" s="12">
        <f t="shared" si="3"/>
        <v>10</v>
      </c>
      <c r="K56" s="30">
        <f>IF(OR('GNI per capita'!AJ55="",'GNI per capita'!AK55=""),"",'GNI per capita'!AK55/'GNI per capita'!AJ55-1)</f>
        <v>-3.7077426390403456E-2</v>
      </c>
      <c r="L56" s="30">
        <f>IF(OR('GNI per capita'!AK55="",'GNI per capita'!AL55=""),"",'GNI per capita'!AL55/'GNI per capita'!AK55-1)</f>
        <v>3.9071347678369284E-2</v>
      </c>
      <c r="M56" s="30">
        <f>IF(OR('GNI per capita'!AL55="",'GNI per capita'!AM55=""),"",'GNI per capita'!AM55/'GNI per capita'!AL55-1)</f>
        <v>0.12806539509536785</v>
      </c>
      <c r="N56" s="30">
        <f>IF(OR('GNI per capita'!AM55="",'GNI per capita'!AN55=""),"",'GNI per capita'!AN55/'GNI per capita'!AM55-1)</f>
        <v>8.405797101449286E-2</v>
      </c>
      <c r="O56" s="30">
        <f>IF(OR('GNI per capita'!AN55="",'GNI per capita'!AO55=""),"",'GNI per capita'!AO55/'GNI per capita'!AN55-1)</f>
        <v>-1.1140819964349347E-2</v>
      </c>
      <c r="P56" s="30">
        <f>IF(OR('GNI per capita'!AO55="",'GNI per capita'!AP55=""),"",'GNI per capita'!AP55/'GNI per capita'!AO55-1)</f>
        <v>0.14916629112212698</v>
      </c>
      <c r="Q56" s="30">
        <f>IF(OR('GNI per capita'!AP55="",'GNI per capita'!AQ55=""),"",'GNI per capita'!AQ55/'GNI per capita'!AP55-1)</f>
        <v>6.7058823529411837E-2</v>
      </c>
      <c r="R56" s="30">
        <f>IF(OR('GNI per capita'!AQ55="",'GNI per capita'!AR55=""),"",'GNI per capita'!AR55/'GNI per capita'!AQ55-1)</f>
        <v>4.8879088570378482E-2</v>
      </c>
      <c r="S56" s="30">
        <f>IF(OR('GNI per capita'!AR55="",'GNI per capita'!AS55=""),"",'GNI per capita'!AS55/'GNI per capita'!AR55-1)</f>
        <v>3.6089698668535286E-2</v>
      </c>
      <c r="T56" s="30">
        <f>IF(OR('GNI per capita'!AS55="",'GNI per capita'!AT55=""),"",'GNI per capita'!AT55/'GNI per capita'!AS55-1)</f>
        <v>0.11464321947920197</v>
      </c>
      <c r="U56" s="2" t="s">
        <v>162</v>
      </c>
    </row>
    <row r="57" spans="1:21" x14ac:dyDescent="0.2">
      <c r="A57" s="2" t="s">
        <v>313</v>
      </c>
      <c r="B57" s="2" t="s">
        <v>314</v>
      </c>
      <c r="C57" s="11" t="s">
        <v>210</v>
      </c>
      <c r="D57" s="30">
        <f t="shared" si="0"/>
        <v>4.1707446374684043E-2</v>
      </c>
      <c r="E57" s="31">
        <f>Assumptions!$C$5</f>
        <v>1.244E-2</v>
      </c>
      <c r="F57" s="32">
        <f>IF($C57="L",Assumptions!$C$8,IF($C57="LM",Assumptions!$C$9,IF($C57="UM",Assumptions!$C$10,Assumptions!$C$11)))</f>
        <v>7.4680999999999997E-2</v>
      </c>
      <c r="G57" s="33">
        <f>IF(J57&lt;Assumptions!$C$13,"",MIN(MAX(D57,E57),F57))</f>
        <v>4.1707446374684043E-2</v>
      </c>
      <c r="H57" s="12" t="str">
        <f t="shared" si="1"/>
        <v>unadjusted</v>
      </c>
      <c r="I57" s="34">
        <f t="shared" si="2"/>
        <v>0</v>
      </c>
      <c r="J57" s="12">
        <f t="shared" si="3"/>
        <v>10</v>
      </c>
      <c r="K57" s="30">
        <f>IF(OR('GNI per capita'!AJ56="",'GNI per capita'!AK56=""),"",'GNI per capita'!AK56/'GNI per capita'!AJ56-1)</f>
        <v>0</v>
      </c>
      <c r="L57" s="30">
        <f>IF(OR('GNI per capita'!AK56="",'GNI per capita'!AL56=""),"",'GNI per capita'!AL56/'GNI per capita'!AK56-1)</f>
        <v>-5.3191489361702482E-3</v>
      </c>
      <c r="M57" s="30">
        <f>IF(OR('GNI per capita'!AL56="",'GNI per capita'!AM56=""),"",'GNI per capita'!AM56/'GNI per capita'!AL56-1)</f>
        <v>7.4866310160427885E-2</v>
      </c>
      <c r="N57" s="30">
        <f>IF(OR('GNI per capita'!AM56="",'GNI per capita'!AN56=""),"",'GNI per capita'!AN56/'GNI per capita'!AM56-1)</f>
        <v>5.4726368159204064E-2</v>
      </c>
      <c r="O57" s="30">
        <f>IF(OR('GNI per capita'!AN56="",'GNI per capita'!AO56=""),"",'GNI per capita'!AO56/'GNI per capita'!AN56-1)</f>
        <v>0</v>
      </c>
      <c r="P57" s="30">
        <f>IF(OR('GNI per capita'!AO56="",'GNI per capita'!AP56=""),"",'GNI per capita'!AP56/'GNI per capita'!AO56-1)</f>
        <v>8.4905660377358583E-2</v>
      </c>
      <c r="Q57" s="30">
        <f>IF(OR('GNI per capita'!AP56="",'GNI per capita'!AQ56=""),"",'GNI per capita'!AQ56/'GNI per capita'!AP56-1)</f>
        <v>6.0869565217391397E-2</v>
      </c>
      <c r="R57" s="30">
        <f>IF(OR('GNI per capita'!AQ56="",'GNI per capita'!AR56=""),"",'GNI per capita'!AR56/'GNI per capita'!AQ56-1)</f>
        <v>2.8688524590164022E-2</v>
      </c>
      <c r="S57" s="30">
        <f>IF(OR('GNI per capita'!AR56="",'GNI per capita'!AS56=""),"",'GNI per capita'!AS56/'GNI per capita'!AR56-1)</f>
        <v>3.9840637450199168E-3</v>
      </c>
      <c r="T57" s="30">
        <f>IF(OR('GNI per capita'!AS56="",'GNI per capita'!AT56=""),"",'GNI per capita'!AT56/'GNI per capita'!AS56-1)</f>
        <v>0.10317460317460325</v>
      </c>
      <c r="U57" s="2" t="s">
        <v>162</v>
      </c>
    </row>
    <row r="58" spans="1:21" x14ac:dyDescent="0.2">
      <c r="A58" s="2" t="s">
        <v>315</v>
      </c>
      <c r="B58" s="2" t="s">
        <v>316</v>
      </c>
      <c r="C58" s="11" t="s">
        <v>79</v>
      </c>
      <c r="D58" s="30">
        <f t="shared" si="0"/>
        <v>1.8987265018461374E-2</v>
      </c>
      <c r="E58" s="31">
        <f>Assumptions!$C$5</f>
        <v>1.244E-2</v>
      </c>
      <c r="F58" s="32">
        <f>IF($C58="L",Assumptions!$C$8,IF($C58="LM",Assumptions!$C$9,IF($C58="UM",Assumptions!$C$10,Assumptions!$C$11)))</f>
        <v>7.1689000000000003E-2</v>
      </c>
      <c r="G58" s="33">
        <f>IF(J58&lt;Assumptions!$C$13,"",MIN(MAX(D58,E58),F58))</f>
        <v>1.8987265018461374E-2</v>
      </c>
      <c r="H58" s="12" t="str">
        <f t="shared" si="1"/>
        <v>unadjusted</v>
      </c>
      <c r="I58" s="34">
        <f t="shared" si="2"/>
        <v>0</v>
      </c>
      <c r="J58" s="12">
        <f t="shared" si="3"/>
        <v>10</v>
      </c>
      <c r="K58" s="30">
        <f>IF(OR('GNI per capita'!AJ57="",'GNI per capita'!AK57=""),"",'GNI per capita'!AK57/'GNI per capita'!AJ57-1)</f>
        <v>-4.175642087821041E-2</v>
      </c>
      <c r="L58" s="30">
        <f>IF(OR('GNI per capita'!AK57="",'GNI per capita'!AL57=""),"",'GNI per capita'!AL57/'GNI per capita'!AK57-1)</f>
        <v>-2.1269237420024178E-2</v>
      </c>
      <c r="M58" s="30">
        <f>IF(OR('GNI per capita'!AL57="",'GNI per capita'!AM57=""),"",'GNI per capita'!AM57/'GNI per capita'!AL57-1)</f>
        <v>7.9328621908127284E-2</v>
      </c>
      <c r="N58" s="30">
        <f>IF(OR('GNI per capita'!AM57="",'GNI per capita'!AN57=""),"",'GNI per capita'!AN57/'GNI per capita'!AM57-1)</f>
        <v>3.1592732034702919E-2</v>
      </c>
      <c r="O58" s="30">
        <f>IF(OR('GNI per capita'!AN57="",'GNI per capita'!AO57=""),"",'GNI per capita'!AO57/'GNI per capita'!AN57-1)</f>
        <v>-4.9190733100602513E-3</v>
      </c>
      <c r="P58" s="30">
        <f>IF(OR('GNI per capita'!AO57="",'GNI per capita'!AP57=""),"",'GNI per capita'!AP57/'GNI per capita'!AO57-1)</f>
        <v>0.11321958220379535</v>
      </c>
      <c r="Q58" s="30">
        <f>IF(OR('GNI per capita'!AP57="",'GNI per capita'!AQ57=""),"",'GNI per capita'!AQ57/'GNI per capita'!AP57-1)</f>
        <v>3.194384758630564E-2</v>
      </c>
      <c r="R58" s="30">
        <f>IF(OR('GNI per capita'!AQ57="",'GNI per capita'!AR57=""),"",'GNI per capita'!AR57/'GNI per capita'!AQ57-1)</f>
        <v>5.552470849528035E-4</v>
      </c>
      <c r="S58" s="30">
        <f>IF(OR('GNI per capita'!AR57="",'GNI per capita'!AS57=""),"",'GNI per capita'!AS57/'GNI per capita'!AR57-1)</f>
        <v>6.3817980022198295E-3</v>
      </c>
      <c r="T58" s="30">
        <f>IF(OR('GNI per capita'!AS57="",'GNI per capita'!AT57=""),"",'GNI per capita'!AT57/'GNI per capita'!AS57-1)</f>
        <v>6.4102564102564097E-2</v>
      </c>
      <c r="U58" s="2" t="s">
        <v>162</v>
      </c>
    </row>
    <row r="59" spans="1:21" x14ac:dyDescent="0.2">
      <c r="A59" s="2" t="s">
        <v>317</v>
      </c>
      <c r="B59" s="2" t="s">
        <v>318</v>
      </c>
      <c r="C59" s="11" t="s">
        <v>210</v>
      </c>
      <c r="D59" s="30">
        <f t="shared" si="0"/>
        <v>5.9313151242370132E-2</v>
      </c>
      <c r="E59" s="31">
        <f>Assumptions!$C$5</f>
        <v>1.244E-2</v>
      </c>
      <c r="F59" s="32">
        <f>IF($C59="L",Assumptions!$C$8,IF($C59="LM",Assumptions!$C$9,IF($C59="UM",Assumptions!$C$10,Assumptions!$C$11)))</f>
        <v>7.4680999999999997E-2</v>
      </c>
      <c r="G59" s="33">
        <f>IF(J59&lt;Assumptions!$C$13,"",MIN(MAX(D59,E59),F59))</f>
        <v>5.9313151242370132E-2</v>
      </c>
      <c r="H59" s="12" t="str">
        <f t="shared" si="1"/>
        <v>unadjusted</v>
      </c>
      <c r="I59" s="34">
        <f t="shared" si="2"/>
        <v>0</v>
      </c>
      <c r="J59" s="12">
        <f t="shared" si="3"/>
        <v>10</v>
      </c>
      <c r="K59" s="30">
        <f>IF(OR('GNI per capita'!AJ58="",'GNI per capita'!AK58=""),"",'GNI per capita'!AK58/'GNI per capita'!AJ58-1)</f>
        <v>3.9473684210526327E-2</v>
      </c>
      <c r="L59" s="30">
        <f>IF(OR('GNI per capita'!AK58="",'GNI per capita'!AL58=""),"",'GNI per capita'!AL58/'GNI per capita'!AK58-1)</f>
        <v>3.3755274261603407E-2</v>
      </c>
      <c r="M59" s="30">
        <f>IF(OR('GNI per capita'!AL58="",'GNI per capita'!AM58=""),"",'GNI per capita'!AM58/'GNI per capita'!AL58-1)</f>
        <v>6.1224489795918435E-2</v>
      </c>
      <c r="N59" s="30">
        <f>IF(OR('GNI per capita'!AM58="",'GNI per capita'!AN58=""),"",'GNI per capita'!AN58/'GNI per capita'!AM58-1)</f>
        <v>6.9230769230769207E-2</v>
      </c>
      <c r="O59" s="30">
        <f>IF(OR('GNI per capita'!AN58="",'GNI per capita'!AO58=""),"",'GNI per capita'!AO58/'GNI per capita'!AN58-1)</f>
        <v>0</v>
      </c>
      <c r="P59" s="30">
        <f>IF(OR('GNI per capita'!AO58="",'GNI per capita'!AP58=""),"",'GNI per capita'!AP58/'GNI per capita'!AO58-1)</f>
        <v>7.5539568345323715E-2</v>
      </c>
      <c r="Q59" s="30">
        <f>IF(OR('GNI per capita'!AP58="",'GNI per capita'!AQ58=""),"",'GNI per capita'!AQ58/'GNI per capita'!AP58-1)</f>
        <v>0.10702341137123739</v>
      </c>
      <c r="R59" s="30">
        <f>IF(OR('GNI per capita'!AQ58="",'GNI per capita'!AR58=""),"",'GNI per capita'!AR58/'GNI per capita'!AQ58-1)</f>
        <v>5.7401812688821829E-2</v>
      </c>
      <c r="S59" s="30">
        <f>IF(OR('GNI per capita'!AR58="",'GNI per capita'!AS58=""),"",'GNI per capita'!AS58/'GNI per capita'!AR58-1)</f>
        <v>4.0000000000000036E-2</v>
      </c>
      <c r="T59" s="30">
        <f>IF(OR('GNI per capita'!AS58="",'GNI per capita'!AT58=""),"",'GNI per capita'!AT58/'GNI per capita'!AS58-1)</f>
        <v>8.7912087912087822E-2</v>
      </c>
      <c r="U59" s="2" t="s">
        <v>162</v>
      </c>
    </row>
    <row r="60" spans="1:21" x14ac:dyDescent="0.2">
      <c r="A60" s="2" t="s">
        <v>319</v>
      </c>
      <c r="B60" s="2" t="s">
        <v>320</v>
      </c>
      <c r="C60" s="11" t="s">
        <v>82</v>
      </c>
      <c r="D60" s="30">
        <f t="shared" si="0"/>
        <v>5.2587900780488916E-2</v>
      </c>
      <c r="E60" s="31">
        <f>Assumptions!$C$5</f>
        <v>1.244E-2</v>
      </c>
      <c r="F60" s="32">
        <f>IF($C60="L",Assumptions!$C$8,IF($C60="LM",Assumptions!$C$9,IF($C60="UM",Assumptions!$C$10,Assumptions!$C$11)))</f>
        <v>9.0712000000000001E-2</v>
      </c>
      <c r="G60" s="33">
        <f>IF(J60&lt;Assumptions!$C$13,"",MIN(MAX(D60,E60),F60))</f>
        <v>5.2587900780488916E-2</v>
      </c>
      <c r="H60" s="12" t="str">
        <f t="shared" si="1"/>
        <v>unadjusted</v>
      </c>
      <c r="I60" s="34">
        <f t="shared" si="2"/>
        <v>0</v>
      </c>
      <c r="J60" s="12">
        <f t="shared" si="3"/>
        <v>10</v>
      </c>
      <c r="K60" s="30">
        <f>IF(OR('GNI per capita'!AJ59="",'GNI per capita'!AK59=""),"",'GNI per capita'!AK59/'GNI per capita'!AJ59-1)</f>
        <v>6.5246338215712463E-2</v>
      </c>
      <c r="L60" s="30">
        <f>IF(OR('GNI per capita'!AK59="",'GNI per capita'!AL59=""),"",'GNI per capita'!AL59/'GNI per capita'!AK59-1)</f>
        <v>8.7500000000000355E-3</v>
      </c>
      <c r="M60" s="30">
        <f>IF(OR('GNI per capita'!AL59="",'GNI per capita'!AM59=""),"",'GNI per capita'!AM59/'GNI per capita'!AL59-1)</f>
        <v>0.1003717472118959</v>
      </c>
      <c r="N60" s="30">
        <f>IF(OR('GNI per capita'!AM59="",'GNI per capita'!AN59=""),"",'GNI per capita'!AN59/'GNI per capita'!AM59-1)</f>
        <v>5.2927927927927998E-2</v>
      </c>
      <c r="O60" s="30">
        <f>IF(OR('GNI per capita'!AN59="",'GNI per capita'!AO59=""),"",'GNI per capita'!AO59/'GNI per capita'!AN59-1)</f>
        <v>-0.11978609625668446</v>
      </c>
      <c r="P60" s="30">
        <f>IF(OR('GNI per capita'!AO59="",'GNI per capita'!AP59=""),"",'GNI per capita'!AP59/'GNI per capita'!AO59-1)</f>
        <v>5.2247873633049835E-2</v>
      </c>
      <c r="Q60" s="30">
        <f>IF(OR('GNI per capita'!AP59="",'GNI per capita'!AQ59=""),"",'GNI per capita'!AQ59/'GNI per capita'!AP59-1)</f>
        <v>0.12471131639722866</v>
      </c>
      <c r="R60" s="30">
        <f>IF(OR('GNI per capita'!AQ59="",'GNI per capita'!AR59=""),"",'GNI per capita'!AR59/'GNI per capita'!AQ59-1)</f>
        <v>2.5667351129363469E-2</v>
      </c>
      <c r="S60" s="30">
        <f>IF(OR('GNI per capita'!AR59="",'GNI per capita'!AS59=""),"",'GNI per capita'!AS59/'GNI per capita'!AR59-1)</f>
        <v>-6.0060060060059817E-3</v>
      </c>
      <c r="T60" s="30">
        <f>IF(OR('GNI per capita'!AS59="",'GNI per capita'!AT59=""),"",'GNI per capita'!AT59/'GNI per capita'!AS59-1)</f>
        <v>7.6535750251762291E-2</v>
      </c>
      <c r="U60" s="2" t="s">
        <v>162</v>
      </c>
    </row>
    <row r="61" spans="1:21" x14ac:dyDescent="0.2">
      <c r="A61" s="2" t="s">
        <v>321</v>
      </c>
      <c r="B61" s="2" t="s">
        <v>322</v>
      </c>
      <c r="C61" s="11" t="s">
        <v>82</v>
      </c>
      <c r="D61" s="30">
        <f t="shared" si="0"/>
        <v>5.2423065861374796E-2</v>
      </c>
      <c r="E61" s="31">
        <f>Assumptions!$C$5</f>
        <v>1.244E-2</v>
      </c>
      <c r="F61" s="32">
        <f>IF($C61="L",Assumptions!$C$8,IF($C61="LM",Assumptions!$C$9,IF($C61="UM",Assumptions!$C$10,Assumptions!$C$11)))</f>
        <v>9.0712000000000001E-2</v>
      </c>
      <c r="G61" s="33">
        <f>IF(J61&lt;Assumptions!$C$13,"",MIN(MAX(D61,E61),F61))</f>
        <v>5.2423065861374796E-2</v>
      </c>
      <c r="H61" s="12" t="str">
        <f t="shared" si="1"/>
        <v>unadjusted</v>
      </c>
      <c r="I61" s="34">
        <f t="shared" si="2"/>
        <v>0</v>
      </c>
      <c r="J61" s="12">
        <f t="shared" si="3"/>
        <v>10</v>
      </c>
      <c r="K61" s="30">
        <f>IF(OR('GNI per capita'!AJ60="",'GNI per capita'!AK60=""),"",'GNI per capita'!AK60/'GNI per capita'!AJ60-1)</f>
        <v>4.3276661514683123E-2</v>
      </c>
      <c r="L61" s="30">
        <f>IF(OR('GNI per capita'!AK60="",'GNI per capita'!AL60=""),"",'GNI per capita'!AL60/'GNI per capita'!AK60-1)</f>
        <v>2.5185185185185199E-2</v>
      </c>
      <c r="M61" s="30">
        <f>IF(OR('GNI per capita'!AL60="",'GNI per capita'!AM60=""),"",'GNI per capita'!AM60/'GNI per capita'!AL60-1)</f>
        <v>9.8265895953757232E-2</v>
      </c>
      <c r="N61" s="30">
        <f>IF(OR('GNI per capita'!AM60="",'GNI per capita'!AN60=""),"",'GNI per capita'!AN60/'GNI per capita'!AM60-1)</f>
        <v>4.4736842105263186E-2</v>
      </c>
      <c r="O61" s="30">
        <f>IF(OR('GNI per capita'!AN60="",'GNI per capita'!AO60=""),"",'GNI per capita'!AO60/'GNI per capita'!AN60-1)</f>
        <v>-0.10831234256926947</v>
      </c>
      <c r="P61" s="30">
        <f>IF(OR('GNI per capita'!AO60="",'GNI per capita'!AP60=""),"",'GNI per capita'!AP60/'GNI per capita'!AO60-1)</f>
        <v>0.15254237288135597</v>
      </c>
      <c r="Q61" s="30">
        <f>IF(OR('GNI per capita'!AP60="",'GNI per capita'!AQ60=""),"",'GNI per capita'!AQ60/'GNI per capita'!AP60-1)</f>
        <v>0.12132352941176472</v>
      </c>
      <c r="R61" s="30">
        <f>IF(OR('GNI per capita'!AQ60="",'GNI per capita'!AR60=""),"",'GNI per capita'!AR60/'GNI per capita'!AQ60-1)</f>
        <v>6.0109289617486406E-2</v>
      </c>
      <c r="S61" s="30">
        <f>IF(OR('GNI per capita'!AR60="",'GNI per capita'!AS60=""),"",'GNI per capita'!AS60/'GNI per capita'!AR60-1)</f>
        <v>6.2886597938144329E-2</v>
      </c>
      <c r="T61" s="30">
        <f>IF(OR('GNI per capita'!AS60="",'GNI per capita'!AT60=""),"",'GNI per capita'!AT60/'GNI per capita'!AS60-1)</f>
        <v>3.0067895247332777E-2</v>
      </c>
      <c r="U61" s="2" t="s">
        <v>162</v>
      </c>
    </row>
    <row r="62" spans="1:21" x14ac:dyDescent="0.2">
      <c r="A62" s="2" t="s">
        <v>323</v>
      </c>
      <c r="B62" s="2" t="s">
        <v>324</v>
      </c>
      <c r="C62" s="11" t="s">
        <v>82</v>
      </c>
      <c r="D62" s="30">
        <f t="shared" si="0"/>
        <v>1.7178891470295388E-2</v>
      </c>
      <c r="E62" s="31">
        <f>Assumptions!$C$5</f>
        <v>1.244E-2</v>
      </c>
      <c r="F62" s="32">
        <f>IF($C62="L",Assumptions!$C$8,IF($C62="LM",Assumptions!$C$9,IF($C62="UM",Assumptions!$C$10,Assumptions!$C$11)))</f>
        <v>9.0712000000000001E-2</v>
      </c>
      <c r="G62" s="33">
        <f>IF(J62&lt;Assumptions!$C$13,"",MIN(MAX(D62,E62),F62))</f>
        <v>1.7178891470295388E-2</v>
      </c>
      <c r="H62" s="12" t="str">
        <f t="shared" si="1"/>
        <v>unadjusted</v>
      </c>
      <c r="I62" s="34">
        <f t="shared" si="2"/>
        <v>0</v>
      </c>
      <c r="J62" s="12">
        <f t="shared" si="3"/>
        <v>10</v>
      </c>
      <c r="K62" s="30">
        <f>IF(OR('GNI per capita'!AJ61="",'GNI per capita'!AK61=""),"",'GNI per capita'!AK61/'GNI per capita'!AJ61-1)</f>
        <v>-3.68509212730318E-2</v>
      </c>
      <c r="L62" s="30">
        <f>IF(OR('GNI per capita'!AK61="",'GNI per capita'!AL61=""),"",'GNI per capita'!AL61/'GNI per capita'!AK61-1)</f>
        <v>3.1304347826087042E-2</v>
      </c>
      <c r="M62" s="30">
        <f>IF(OR('GNI per capita'!AL61="",'GNI per capita'!AM61=""),"",'GNI per capita'!AM61/'GNI per capita'!AL61-1)</f>
        <v>3.2040472175379531E-2</v>
      </c>
      <c r="N62" s="30">
        <f>IF(OR('GNI per capita'!AM61="",'GNI per capita'!AN61=""),"",'GNI per capita'!AN61/'GNI per capita'!AM61-1)</f>
        <v>-3.2679738562091387E-3</v>
      </c>
      <c r="O62" s="30">
        <f>IF(OR('GNI per capita'!AN61="",'GNI per capita'!AO61=""),"",'GNI per capita'!AO61/'GNI per capita'!AN61-1)</f>
        <v>-0.11311475409836069</v>
      </c>
      <c r="P62" s="30">
        <f>IF(OR('GNI per capita'!AO61="",'GNI per capita'!AP61=""),"",'GNI per capita'!AP61/'GNI per capita'!AO61-1)</f>
        <v>0.12754158964879858</v>
      </c>
      <c r="Q62" s="30">
        <f>IF(OR('GNI per capita'!AP61="",'GNI per capita'!AQ61=""),"",'GNI per capita'!AQ61/'GNI per capita'!AP61-1)</f>
        <v>7.3770491803278659E-2</v>
      </c>
      <c r="R62" s="30">
        <f>IF(OR('GNI per capita'!AQ61="",'GNI per capita'!AR61=""),"",'GNI per capita'!AR61/'GNI per capita'!AQ61-1)</f>
        <v>3.0534351145037331E-3</v>
      </c>
      <c r="S62" s="30">
        <f>IF(OR('GNI per capita'!AR61="",'GNI per capita'!AS61=""),"",'GNI per capita'!AS61/'GNI per capita'!AR61-1)</f>
        <v>-2.5875190258751957E-2</v>
      </c>
      <c r="T62" s="30">
        <f>IF(OR('GNI per capita'!AS61="",'GNI per capita'!AT61=""),"",'GNI per capita'!AT61/'GNI per capita'!AS61-1)</f>
        <v>7.6562500000000089E-2</v>
      </c>
      <c r="U62" s="2" t="s">
        <v>162</v>
      </c>
    </row>
    <row r="63" spans="1:21" x14ac:dyDescent="0.2">
      <c r="A63" s="2" t="s">
        <v>325</v>
      </c>
      <c r="B63" s="2" t="s">
        <v>326</v>
      </c>
      <c r="C63" s="11" t="s">
        <v>210</v>
      </c>
      <c r="D63" s="30">
        <f t="shared" si="0"/>
        <v>-3.7667604398816279E-2</v>
      </c>
      <c r="E63" s="31">
        <f>Assumptions!$C$5</f>
        <v>1.244E-2</v>
      </c>
      <c r="F63" s="32">
        <f>IF($C63="L",Assumptions!$C$8,IF($C63="LM",Assumptions!$C$9,IF($C63="UM",Assumptions!$C$10,Assumptions!$C$11)))</f>
        <v>7.4680999999999997E-2</v>
      </c>
      <c r="G63" s="33">
        <f>IF(J63&lt;Assumptions!$C$13,"",MIN(MAX(D63,E63),F63))</f>
        <v>1.244E-2</v>
      </c>
      <c r="H63" s="12" t="str">
        <f t="shared" si="1"/>
        <v>raised by floor</v>
      </c>
      <c r="I63" s="34">
        <f t="shared" si="2"/>
        <v>5.0107604398816279E-2</v>
      </c>
      <c r="J63" s="12">
        <f t="shared" si="3"/>
        <v>10</v>
      </c>
      <c r="K63" s="30">
        <f>IF(OR('GNI per capita'!AJ62="",'GNI per capita'!AK62=""),"",'GNI per capita'!AK62/'GNI per capita'!AJ62-1)</f>
        <v>3.2258064516129004E-2</v>
      </c>
      <c r="L63" s="30">
        <f>IF(OR('GNI per capita'!AK62="",'GNI per capita'!AL62=""),"",'GNI per capita'!AL62/'GNI per capita'!AK62-1)</f>
        <v>-9.9999999999999978E-2</v>
      </c>
      <c r="M63" s="30">
        <f>IF(OR('GNI per capita'!AL62="",'GNI per capita'!AM62=""),"",'GNI per capita'!AM62/'GNI per capita'!AL62-1)</f>
        <v>-5.902777777777779E-2</v>
      </c>
      <c r="N63" s="30">
        <f>IF(OR('GNI per capita'!AM62="",'GNI per capita'!AN62=""),"",'GNI per capita'!AN62/'GNI per capita'!AM62-1)</f>
        <v>-2.5830258302583009E-2</v>
      </c>
      <c r="O63" s="30">
        <f>IF(OR('GNI per capita'!AN62="",'GNI per capita'!AO62=""),"",'GNI per capita'!AO62/'GNI per capita'!AN62-1)</f>
        <v>0.1212121212121211</v>
      </c>
      <c r="P63" s="30">
        <f>IF(OR('GNI per capita'!AO62="",'GNI per capita'!AP62=""),"",'GNI per capita'!AP62/'GNI per capita'!AO62-1)</f>
        <v>0.17229729729729737</v>
      </c>
      <c r="Q63" s="30">
        <f>IF(OR('GNI per capita'!AP62="",'GNI per capita'!AQ62=""),"",'GNI per capita'!AQ62/'GNI per capita'!AP62-1)</f>
        <v>0.16426512968299711</v>
      </c>
      <c r="R63" s="30">
        <f>IF(OR('GNI per capita'!AQ62="",'GNI per capita'!AR62=""),"",'GNI per capita'!AR62/'GNI per capita'!AQ62-1)</f>
        <v>-4.9504950495049549E-2</v>
      </c>
      <c r="S63" s="30">
        <f>IF(OR('GNI per capita'!AR62="",'GNI per capita'!AS62=""),"",'GNI per capita'!AS62/'GNI per capita'!AR62-1)</f>
        <v>-8.59375E-2</v>
      </c>
      <c r="T63" s="30">
        <f>IF(OR('GNI per capita'!AS62="",'GNI per capita'!AT62=""),"",'GNI per capita'!AT62/'GNI per capita'!AS62-1)</f>
        <v>-7.1225071225071268E-2</v>
      </c>
      <c r="U63" s="28" t="s">
        <v>327</v>
      </c>
    </row>
    <row r="64" spans="1:21" x14ac:dyDescent="0.2">
      <c r="A64" s="2" t="s">
        <v>328</v>
      </c>
      <c r="B64" s="2" t="s">
        <v>329</v>
      </c>
      <c r="C64" s="11" t="s">
        <v>82</v>
      </c>
      <c r="D64" s="30">
        <f t="shared" si="0"/>
        <v>4.7466239882742234E-2</v>
      </c>
      <c r="E64" s="31">
        <f>Assumptions!$C$5</f>
        <v>1.244E-2</v>
      </c>
      <c r="F64" s="32">
        <f>IF($C64="L",Assumptions!$C$8,IF($C64="LM",Assumptions!$C$9,IF($C64="UM",Assumptions!$C$10,Assumptions!$C$11)))</f>
        <v>9.0712000000000001E-2</v>
      </c>
      <c r="G64" s="33">
        <f>IF(J64&lt;Assumptions!$C$13,"",MIN(MAX(D64,E64),F64))</f>
        <v>4.7466239882742234E-2</v>
      </c>
      <c r="H64" s="12" t="str">
        <f t="shared" si="1"/>
        <v>unadjusted</v>
      </c>
      <c r="I64" s="34">
        <f t="shared" si="2"/>
        <v>0</v>
      </c>
      <c r="J64" s="12">
        <f t="shared" si="3"/>
        <v>10</v>
      </c>
      <c r="K64" s="30">
        <f>IF(OR('GNI per capita'!AJ63="",'GNI per capita'!AK63=""),"",'GNI per capita'!AK63/'GNI per capita'!AJ63-1)</f>
        <v>2.2727272727272707E-2</v>
      </c>
      <c r="L64" s="30">
        <f>IF(OR('GNI per capita'!AK63="",'GNI per capita'!AL63=""),"",'GNI per capita'!AL63/'GNI per capita'!AK63-1)</f>
        <v>2.7777777777777679E-2</v>
      </c>
      <c r="M64" s="30">
        <f>IF(OR('GNI per capita'!AL63="",'GNI per capita'!AM63=""),"",'GNI per capita'!AM63/'GNI per capita'!AL63-1)</f>
        <v>6.4864864864864868E-2</v>
      </c>
      <c r="N64" s="30">
        <f>IF(OR('GNI per capita'!AM63="",'GNI per capita'!AN63=""),"",'GNI per capita'!AN63/'GNI per capita'!AM63-1)</f>
        <v>4.8223350253807196E-2</v>
      </c>
      <c r="O64" s="30">
        <f>IF(OR('GNI per capita'!AN63="",'GNI per capita'!AO63=""),"",'GNI per capita'!AO63/'GNI per capita'!AN63-1)</f>
        <v>-7.9903147699757815E-2</v>
      </c>
      <c r="P64" s="30">
        <f>IF(OR('GNI per capita'!AO63="",'GNI per capita'!AP63=""),"",'GNI per capita'!AP63/'GNI per capita'!AO63-1)</f>
        <v>0.15263157894736845</v>
      </c>
      <c r="Q64" s="30">
        <f>IF(OR('GNI per capita'!AP63="",'GNI per capita'!AQ63=""),"",'GNI per capita'!AQ63/'GNI per capita'!AP63-1)</f>
        <v>7.5342465753424737E-2</v>
      </c>
      <c r="R64" s="30">
        <f>IF(OR('GNI per capita'!AQ63="",'GNI per capita'!AR63=""),"",'GNI per capita'!AR63/'GNI per capita'!AQ63-1)</f>
        <v>4.6709129511677272E-2</v>
      </c>
      <c r="S64" s="30">
        <f>IF(OR('GNI per capita'!AR63="",'GNI per capita'!AS63=""),"",'GNI per capita'!AS63/'GNI per capita'!AR63-1)</f>
        <v>2.8397565922920975E-2</v>
      </c>
      <c r="T64" s="30">
        <f>IF(OR('GNI per capita'!AS63="",'GNI per capita'!AT63=""),"",'GNI per capita'!AT63/'GNI per capita'!AS63-1)</f>
        <v>6.7061143984220806E-2</v>
      </c>
      <c r="U64" s="2" t="s">
        <v>162</v>
      </c>
    </row>
    <row r="65" spans="1:21" x14ac:dyDescent="0.2">
      <c r="A65" s="2" t="s">
        <v>330</v>
      </c>
      <c r="B65" s="2" t="s">
        <v>331</v>
      </c>
      <c r="C65" s="11" t="s">
        <v>82</v>
      </c>
      <c r="D65" s="30">
        <f t="shared" si="0"/>
        <v>-3.8836471831813046E-2</v>
      </c>
      <c r="E65" s="31">
        <f>Assumptions!$C$5</f>
        <v>1.244E-2</v>
      </c>
      <c r="F65" s="32">
        <f>IF($C65="L",Assumptions!$C$8,IF($C65="LM",Assumptions!$C$9,IF($C65="UM",Assumptions!$C$10,Assumptions!$C$11)))</f>
        <v>9.0712000000000001E-2</v>
      </c>
      <c r="G65" s="33">
        <f>IF(J65&lt;Assumptions!$C$13,"",MIN(MAX(D65,E65),F65))</f>
        <v>1.244E-2</v>
      </c>
      <c r="H65" s="12" t="str">
        <f t="shared" si="1"/>
        <v>raised by floor</v>
      </c>
      <c r="I65" s="34">
        <f t="shared" si="2"/>
        <v>5.1276471831813046E-2</v>
      </c>
      <c r="J65" s="12">
        <f t="shared" si="3"/>
        <v>10</v>
      </c>
      <c r="K65" s="30">
        <f>IF(OR('GNI per capita'!AJ64="",'GNI per capita'!AK64=""),"",'GNI per capita'!AK64/'GNI per capita'!AJ64-1)</f>
        <v>-0.2973790322580645</v>
      </c>
      <c r="L65" s="30">
        <f>IF(OR('GNI per capita'!AK64="",'GNI per capita'!AL64=""),"",'GNI per capita'!AL64/'GNI per capita'!AK64-1)</f>
        <v>-4.8780487804878092E-2</v>
      </c>
      <c r="M65" s="30">
        <f>IF(OR('GNI per capita'!AL64="",'GNI per capita'!AM64=""),"",'GNI per capita'!AM64/'GNI per capita'!AL64-1)</f>
        <v>-5.4298642533936681E-2</v>
      </c>
      <c r="N65" s="30">
        <f>IF(OR('GNI per capita'!AM64="",'GNI per capita'!AN64=""),"",'GNI per capita'!AN64/'GNI per capita'!AM64-1)</f>
        <v>-0.11164274322169054</v>
      </c>
      <c r="O65" s="30">
        <f>IF(OR('GNI per capita'!AN64="",'GNI per capita'!AO64=""),"",'GNI per capita'!AO64/'GNI per capita'!AN64-1)</f>
        <v>0.10233393177737882</v>
      </c>
      <c r="P65" s="30">
        <f>IF(OR('GNI per capita'!AO64="",'GNI per capita'!AP64=""),"",'GNI per capita'!AP64/'GNI per capita'!AO64-1)</f>
        <v>-2.6058631921824116E-2</v>
      </c>
      <c r="Q65" s="30">
        <f>IF(OR('GNI per capita'!AP64="",'GNI per capita'!AQ64=""),"",'GNI per capita'!AQ64/'GNI per capita'!AP64-1)</f>
        <v>-0.12876254180602009</v>
      </c>
      <c r="R65" s="30">
        <f>IF(OR('GNI per capita'!AQ64="",'GNI per capita'!AR64=""),"",'GNI per capita'!AR64/'GNI per capita'!AQ64-1)</f>
        <v>0.19577735124760087</v>
      </c>
      <c r="S65" s="30">
        <f>IF(OR('GNI per capita'!AR64="",'GNI per capita'!AS64=""),"",'GNI per capita'!AS64/'GNI per capita'!AR64-1)</f>
        <v>-2.8892455858748001E-2</v>
      </c>
      <c r="T65" s="30">
        <f>IF(OR('GNI per capita'!AS64="",'GNI per capita'!AT64=""),"",'GNI per capita'!AT64/'GNI per capita'!AS64-1)</f>
        <v>-2.6446280991735516E-2</v>
      </c>
      <c r="U65" s="28" t="s">
        <v>332</v>
      </c>
    </row>
    <row r="66" spans="1:21" x14ac:dyDescent="0.2">
      <c r="A66" s="2" t="s">
        <v>333</v>
      </c>
      <c r="B66" s="2" t="s">
        <v>334</v>
      </c>
      <c r="C66" s="11" t="s">
        <v>75</v>
      </c>
      <c r="D66" s="30" t="str">
        <f t="shared" si="0"/>
        <v/>
      </c>
      <c r="E66" s="31">
        <f>Assumptions!$C$5</f>
        <v>1.244E-2</v>
      </c>
      <c r="F66" s="32">
        <f>IF($C66="L",Assumptions!$C$8,IF($C66="LM",Assumptions!$C$9,IF($C66="UM",Assumptions!$C$10,Assumptions!$C$11)))</f>
        <v>5.5947999999999998E-2</v>
      </c>
      <c r="G66" s="33" t="str">
        <f>IF(J66&lt;Assumptions!$C$13,"",MIN(MAX(D66,E66),F66))</f>
        <v/>
      </c>
      <c r="H66" s="12" t="str">
        <f t="shared" si="1"/>
        <v>frozen</v>
      </c>
      <c r="I66" s="34" t="str">
        <f t="shared" si="2"/>
        <v/>
      </c>
      <c r="J66" s="12">
        <f t="shared" si="3"/>
        <v>0</v>
      </c>
      <c r="K66" s="30" t="str">
        <f>IF(OR('GNI per capita'!AJ65="",'GNI per capita'!AK65=""),"",'GNI per capita'!AK65/'GNI per capita'!AJ65-1)</f>
        <v/>
      </c>
      <c r="L66" s="30" t="str">
        <f>IF(OR('GNI per capita'!AK65="",'GNI per capita'!AL65=""),"",'GNI per capita'!AL65/'GNI per capita'!AK65-1)</f>
        <v/>
      </c>
      <c r="M66" s="30" t="str">
        <f>IF(OR('GNI per capita'!AL65="",'GNI per capita'!AM65=""),"",'GNI per capita'!AM65/'GNI per capita'!AL65-1)</f>
        <v/>
      </c>
      <c r="N66" s="30" t="str">
        <f>IF(OR('GNI per capita'!AM65="",'GNI per capita'!AN65=""),"",'GNI per capita'!AN65/'GNI per capita'!AM65-1)</f>
        <v/>
      </c>
      <c r="O66" s="30" t="str">
        <f>IF(OR('GNI per capita'!AN65="",'GNI per capita'!AO65=""),"",'GNI per capita'!AO65/'GNI per capita'!AN65-1)</f>
        <v/>
      </c>
      <c r="P66" s="30" t="str">
        <f>IF(OR('GNI per capita'!AO65="",'GNI per capita'!AP65=""),"",'GNI per capita'!AP65/'GNI per capita'!AO65-1)</f>
        <v/>
      </c>
      <c r="Q66" s="30" t="str">
        <f>IF(OR('GNI per capita'!AP65="",'GNI per capita'!AQ65=""),"",'GNI per capita'!AQ65/'GNI per capita'!AP65-1)</f>
        <v/>
      </c>
      <c r="R66" s="30" t="str">
        <f>IF(OR('GNI per capita'!AQ65="",'GNI per capita'!AR65=""),"",'GNI per capita'!AR65/'GNI per capita'!AQ65-1)</f>
        <v/>
      </c>
      <c r="S66" s="30" t="str">
        <f>IF(OR('GNI per capita'!AR65="",'GNI per capita'!AS65=""),"",'GNI per capita'!AS65/'GNI per capita'!AR65-1)</f>
        <v/>
      </c>
      <c r="T66" s="30" t="str">
        <f>IF(OR('GNI per capita'!AS65="",'GNI per capita'!AT65=""),"",'GNI per capita'!AT65/'GNI per capita'!AS65-1)</f>
        <v/>
      </c>
      <c r="U66" s="28" t="s">
        <v>204</v>
      </c>
    </row>
    <row r="67" spans="1:21" x14ac:dyDescent="0.2">
      <c r="A67" s="2" t="s">
        <v>335</v>
      </c>
      <c r="B67" s="2" t="s">
        <v>336</v>
      </c>
      <c r="C67" s="11" t="s">
        <v>79</v>
      </c>
      <c r="D67" s="30">
        <f t="shared" si="0"/>
        <v>4.2816116081881517E-2</v>
      </c>
      <c r="E67" s="31">
        <f>Assumptions!$C$5</f>
        <v>1.244E-2</v>
      </c>
      <c r="F67" s="32">
        <f>IF($C67="L",Assumptions!$C$8,IF($C67="LM",Assumptions!$C$9,IF($C67="UM",Assumptions!$C$10,Assumptions!$C$11)))</f>
        <v>7.1689000000000003E-2</v>
      </c>
      <c r="G67" s="33">
        <f>IF(J67&lt;Assumptions!$C$13,"",MIN(MAX(D67,E67),F67))</f>
        <v>4.2816116081881517E-2</v>
      </c>
      <c r="H67" s="12" t="str">
        <f t="shared" si="1"/>
        <v>unadjusted</v>
      </c>
      <c r="I67" s="34">
        <f t="shared" si="2"/>
        <v>0</v>
      </c>
      <c r="J67" s="12">
        <f t="shared" si="3"/>
        <v>10</v>
      </c>
      <c r="K67" s="30">
        <f>IF(OR('GNI per capita'!AJ66="",'GNI per capita'!AK66=""),"",'GNI per capita'!AK66/'GNI per capita'!AJ66-1)</f>
        <v>-1.3756613756613745E-2</v>
      </c>
      <c r="L67" s="30">
        <f>IF(OR('GNI per capita'!AK66="",'GNI per capita'!AL66=""),"",'GNI per capita'!AL66/'GNI per capita'!AK66-1)</f>
        <v>2.682403433476388E-2</v>
      </c>
      <c r="M67" s="30">
        <f>IF(OR('GNI per capita'!AL66="",'GNI per capita'!AM66=""),"",'GNI per capita'!AM66/'GNI per capita'!AL66-1)</f>
        <v>0.12852664576802497</v>
      </c>
      <c r="N67" s="30">
        <f>IF(OR('GNI per capita'!AM66="",'GNI per capita'!AN66=""),"",'GNI per capita'!AN66/'GNI per capita'!AM66-1)</f>
        <v>8.7499999999999911E-2</v>
      </c>
      <c r="O67" s="30">
        <f>IF(OR('GNI per capita'!AN66="",'GNI per capita'!AO66=""),"",'GNI per capita'!AO66/'GNI per capita'!AN66-1)</f>
        <v>3.8314176245211051E-3</v>
      </c>
      <c r="P67" s="30">
        <f>IF(OR('GNI per capita'!AO66="",'GNI per capita'!AP66=""),"",'GNI per capita'!AP66/'GNI per capita'!AO66-1)</f>
        <v>0.12340966921119589</v>
      </c>
      <c r="Q67" s="30">
        <f>IF(OR('GNI per capita'!AP66="",'GNI per capita'!AQ66=""),"",'GNI per capita'!AQ66/'GNI per capita'!AP66-1)</f>
        <v>4.1147602869007205E-2</v>
      </c>
      <c r="R67" s="30">
        <f>IF(OR('GNI per capita'!AQ66="",'GNI per capita'!AR66=""),"",'GNI per capita'!AR66/'GNI per capita'!AQ66-1)</f>
        <v>2.5380710659899108E-3</v>
      </c>
      <c r="S67" s="30">
        <f>IF(OR('GNI per capita'!AR66="",'GNI per capita'!AS66=""),"",'GNI per capita'!AS66/'GNI per capita'!AR66-1)</f>
        <v>4.4484629294755829E-2</v>
      </c>
      <c r="T67" s="30">
        <f>IF(OR('GNI per capita'!AS66="",'GNI per capita'!AT66=""),"",'GNI per capita'!AT66/'GNI per capita'!AS66-1)</f>
        <v>0.11876731301939047</v>
      </c>
      <c r="U67" s="2" t="s">
        <v>162</v>
      </c>
    </row>
    <row r="68" spans="1:21" x14ac:dyDescent="0.2">
      <c r="A68" s="2" t="s">
        <v>337</v>
      </c>
      <c r="B68" s="2" t="s">
        <v>338</v>
      </c>
      <c r="C68" s="11" t="s">
        <v>210</v>
      </c>
      <c r="D68" s="30">
        <f t="shared" si="0"/>
        <v>1.7842276545826152E-2</v>
      </c>
      <c r="E68" s="31">
        <f>Assumptions!$C$5</f>
        <v>1.244E-2</v>
      </c>
      <c r="F68" s="32">
        <f>IF($C68="L",Assumptions!$C$8,IF($C68="LM",Assumptions!$C$9,IF($C68="UM",Assumptions!$C$10,Assumptions!$C$11)))</f>
        <v>7.4680999999999997E-2</v>
      </c>
      <c r="G68" s="33">
        <f>IF(J68&lt;Assumptions!$C$13,"",MIN(MAX(D68,E68),F68))</f>
        <v>1.7842276545826152E-2</v>
      </c>
      <c r="H68" s="12" t="str">
        <f t="shared" si="1"/>
        <v>unadjusted</v>
      </c>
      <c r="I68" s="34">
        <f t="shared" si="2"/>
        <v>0</v>
      </c>
      <c r="J68" s="12">
        <f t="shared" si="3"/>
        <v>10</v>
      </c>
      <c r="K68" s="30">
        <f>IF(OR('GNI per capita'!AJ67="",'GNI per capita'!AK67=""),"",'GNI per capita'!AK67/'GNI per capita'!AJ67-1)</f>
        <v>-7.6271186440677985E-2</v>
      </c>
      <c r="L68" s="30">
        <f>IF(OR('GNI per capita'!AK67="",'GNI per capita'!AL67=""),"",'GNI per capita'!AL67/'GNI per capita'!AK67-1)</f>
        <v>6.1162079510703737E-3</v>
      </c>
      <c r="M68" s="30">
        <f>IF(OR('GNI per capita'!AL67="",'GNI per capita'!AM67=""),"",'GNI per capita'!AM67/'GNI per capita'!AL67-1)</f>
        <v>5.1671732522796443E-2</v>
      </c>
      <c r="N68" s="30">
        <f>IF(OR('GNI per capita'!AM67="",'GNI per capita'!AN67=""),"",'GNI per capita'!AN67/'GNI per capita'!AM67-1)</f>
        <v>6.3583815028901647E-2</v>
      </c>
      <c r="O68" s="30">
        <f>IF(OR('GNI per capita'!AN67="",'GNI per capita'!AO67=""),"",'GNI per capita'!AO67/'GNI per capita'!AN67-1)</f>
        <v>-6.7934782608695676E-2</v>
      </c>
      <c r="P68" s="30">
        <f>IF(OR('GNI per capita'!AO67="",'GNI per capita'!AP67=""),"",'GNI per capita'!AP67/'GNI per capita'!AO67-1)</f>
        <v>5.5393586005830997E-2</v>
      </c>
      <c r="Q68" s="30">
        <f>IF(OR('GNI per capita'!AP67="",'GNI per capita'!AQ67=""),"",'GNI per capita'!AQ67/'GNI per capita'!AP67-1)</f>
        <v>8.2872928176795924E-3</v>
      </c>
      <c r="R68" s="30">
        <f>IF(OR('GNI per capita'!AQ67="",'GNI per capita'!AR67=""),"",'GNI per capita'!AR67/'GNI per capita'!AQ67-1)</f>
        <v>2.7397260273972712E-2</v>
      </c>
      <c r="S68" s="30">
        <f>IF(OR('GNI per capita'!AR67="",'GNI per capita'!AS67=""),"",'GNI per capita'!AS67/'GNI per capita'!AR67-1)</f>
        <v>-8.2666666666666666E-2</v>
      </c>
      <c r="T68" s="30">
        <f>IF(OR('GNI per capita'!AS67="",'GNI per capita'!AT67=""),"",'GNI per capita'!AT67/'GNI per capita'!AS67-1)</f>
        <v>8.4302325581395277E-2</v>
      </c>
      <c r="U68" s="2" t="s">
        <v>162</v>
      </c>
    </row>
    <row r="69" spans="1:21" x14ac:dyDescent="0.2">
      <c r="A69" s="2" t="s">
        <v>339</v>
      </c>
      <c r="B69" s="2" t="s">
        <v>340</v>
      </c>
      <c r="C69" s="11" t="s">
        <v>75</v>
      </c>
      <c r="D69" s="30">
        <f t="shared" ref="D69:D132" si="4">IFERROR(MEDIAN(K69:T69),"")</f>
        <v>7.6907946498819824E-2</v>
      </c>
      <c r="E69" s="31">
        <f>Assumptions!$C$5</f>
        <v>1.244E-2</v>
      </c>
      <c r="F69" s="32">
        <f>IF($C69="L",Assumptions!$C$8,IF($C69="LM",Assumptions!$C$9,IF($C69="UM",Assumptions!$C$10,Assumptions!$C$11)))</f>
        <v>5.5947999999999998E-2</v>
      </c>
      <c r="G69" s="33">
        <f>IF(J69&lt;Assumptions!$C$13,"",MIN(MAX(D69,E69),F69))</f>
        <v>5.5947999999999998E-2</v>
      </c>
      <c r="H69" s="12" t="str">
        <f t="shared" ref="H69:H132" si="5">IF(G69="","frozen",IF(ROUND(G69-D69,8)&gt;0,"raised by floor",IF(ROUND(G69-D69,8)&lt;0,"cut by cap","unadjusted")))</f>
        <v>cut by cap</v>
      </c>
      <c r="I69" s="34">
        <f t="shared" ref="I69:I132" si="6">IF(OR(G69="",D69=""),"",G69-D69)</f>
        <v>-2.0959946498819826E-2</v>
      </c>
      <c r="J69" s="12">
        <f t="shared" ref="J69:J132" si="7">COUNT(K69:T69)</f>
        <v>10</v>
      </c>
      <c r="K69" s="30">
        <f>IF(OR('GNI per capita'!AJ68="",'GNI per capita'!AK68=""),"",'GNI per capita'!AK68/'GNI per capita'!AJ68-1)</f>
        <v>8.7719298245614086E-2</v>
      </c>
      <c r="L69" s="30">
        <f>IF(OR('GNI per capita'!AK68="",'GNI per capita'!AL68=""),"",'GNI per capita'!AL68/'GNI per capita'!AK68-1)</f>
        <v>8.0645161290322509E-2</v>
      </c>
      <c r="M69" s="30">
        <f>IF(OR('GNI per capita'!AL68="",'GNI per capita'!AM68=""),"",'GNI per capita'!AM68/'GNI per capita'!AL68-1)</f>
        <v>8.9552238805970186E-2</v>
      </c>
      <c r="N69" s="30">
        <f>IF(OR('GNI per capita'!AM68="",'GNI per capita'!AN68=""),"",'GNI per capita'!AN68/'GNI per capita'!AM68-1)</f>
        <v>8.2191780821917915E-2</v>
      </c>
      <c r="O69" s="30">
        <f>IF(OR('GNI per capita'!AN68="",'GNI per capita'!AO68=""),"",'GNI per capita'!AO68/'GNI per capita'!AN68-1)</f>
        <v>3.7974683544303778E-2</v>
      </c>
      <c r="P69" s="30">
        <f>IF(OR('GNI per capita'!AO68="",'GNI per capita'!AP68=""),"",'GNI per capita'!AP68/'GNI per capita'!AO68-1)</f>
        <v>7.3170731707317138E-2</v>
      </c>
      <c r="Q69" s="30">
        <f>IF(OR('GNI per capita'!AP68="",'GNI per capita'!AQ68=""),"",'GNI per capita'!AQ68/'GNI per capita'!AP68-1)</f>
        <v>9.0909090909090828E-2</v>
      </c>
      <c r="R69" s="30">
        <f>IF(OR('GNI per capita'!AQ68="",'GNI per capita'!AR68=""),"",'GNI per capita'!AR68/'GNI per capita'!AQ68-1)</f>
        <v>7.2916666666666741E-2</v>
      </c>
      <c r="S69" s="30">
        <f>IF(OR('GNI per capita'!AR68="",'GNI per capita'!AS68=""),"",'GNI per capita'!AS68/'GNI per capita'!AR68-1)</f>
        <v>6.7961165048543659E-2</v>
      </c>
      <c r="T69" s="30">
        <f>IF(OR('GNI per capita'!AS68="",'GNI per capita'!AT68=""),"",'GNI per capita'!AT68/'GNI per capita'!AS68-1)</f>
        <v>9.0909090909090384E-3</v>
      </c>
      <c r="U69" s="28" t="s">
        <v>341</v>
      </c>
    </row>
    <row r="70" spans="1:21" x14ac:dyDescent="0.2">
      <c r="A70" s="2" t="s">
        <v>342</v>
      </c>
      <c r="B70" s="2" t="s">
        <v>343</v>
      </c>
      <c r="C70" s="11" t="s">
        <v>79</v>
      </c>
      <c r="D70" s="30">
        <f t="shared" si="4"/>
        <v>8.883469778784292E-3</v>
      </c>
      <c r="E70" s="31">
        <f>Assumptions!$C$5</f>
        <v>1.244E-2</v>
      </c>
      <c r="F70" s="32">
        <f>IF($C70="L",Assumptions!$C$8,IF($C70="LM",Assumptions!$C$9,IF($C70="UM",Assumptions!$C$10,Assumptions!$C$11)))</f>
        <v>7.1689000000000003E-2</v>
      </c>
      <c r="G70" s="33">
        <f>IF(J70&lt;Assumptions!$C$13,"",MIN(MAX(D70,E70),F70))</f>
        <v>1.244E-2</v>
      </c>
      <c r="H70" s="12" t="str">
        <f t="shared" si="5"/>
        <v>raised by floor</v>
      </c>
      <c r="I70" s="34">
        <f t="shared" si="6"/>
        <v>3.5565302212157077E-3</v>
      </c>
      <c r="J70" s="12">
        <f t="shared" si="7"/>
        <v>9</v>
      </c>
      <c r="K70" s="30">
        <f>IF(OR('GNI per capita'!AJ69="",'GNI per capita'!AK69=""),"",'GNI per capita'!AK69/'GNI per capita'!AJ69-1)</f>
        <v>-4.5084099185017656E-3</v>
      </c>
      <c r="L70" s="30">
        <f>IF(OR('GNI per capita'!AK69="",'GNI per capita'!AL69=""),"",'GNI per capita'!AL69/'GNI per capita'!AK69-1)</f>
        <v>8.883469778784292E-3</v>
      </c>
      <c r="M70" s="30">
        <f>IF(OR('GNI per capita'!AL69="",'GNI per capita'!AM69=""),"",'GNI per capita'!AM69/'GNI per capita'!AL69-1)</f>
        <v>8.5980662983425438E-2</v>
      </c>
      <c r="N70" s="30">
        <f>IF(OR('GNI per capita'!AM69="",'GNI per capita'!AN69=""),"",'GNI per capita'!AN69/'GNI per capita'!AM69-1)</f>
        <v>4.9602543720190795E-2</v>
      </c>
      <c r="O70" s="30">
        <f>IF(OR('GNI per capita'!AN69="",'GNI per capita'!AO69=""),"",'GNI per capita'!AO69/'GNI per capita'!AN69-1)</f>
        <v>-2.741593456528324E-2</v>
      </c>
      <c r="P70" s="30">
        <f>IF(OR('GNI per capita'!AO69="",'GNI per capita'!AP69=""),"",'GNI per capita'!AP69/'GNI per capita'!AO69-1)</f>
        <v>9.0951565176763838E-2</v>
      </c>
      <c r="Q70" s="30">
        <f>IF(OR('GNI per capita'!AP69="",'GNI per capita'!AQ69=""),"",'GNI per capita'!AQ69/'GNI per capita'!AP69-1)</f>
        <v>4.1684511063525997E-2</v>
      </c>
      <c r="R70" s="30">
        <f>IF(OR('GNI per capita'!AQ69="",'GNI per capita'!AR69=""),"",'GNI per capita'!AR69/'GNI per capita'!AQ69-1)</f>
        <v>6.1669179114705042E-3</v>
      </c>
      <c r="S70" s="30">
        <f>IF(OR('GNI per capita'!AR69="",'GNI per capita'!AS69=""),"",'GNI per capita'!AS69/'GNI per capita'!AR69-1)</f>
        <v>-4.0860800871697078E-3</v>
      </c>
      <c r="T70" s="30" t="str">
        <f>IF(OR('GNI per capita'!AS69="",'GNI per capita'!AT69=""),"",'GNI per capita'!AT69/'GNI per capita'!AS69-1)</f>
        <v/>
      </c>
      <c r="U70" s="28" t="s">
        <v>344</v>
      </c>
    </row>
    <row r="71" spans="1:21" x14ac:dyDescent="0.2">
      <c r="A71" s="2" t="s">
        <v>345</v>
      </c>
      <c r="B71" s="2" t="s">
        <v>346</v>
      </c>
      <c r="C71" s="11" t="s">
        <v>82</v>
      </c>
      <c r="D71" s="30">
        <f t="shared" si="4"/>
        <v>3.2937056795978026E-2</v>
      </c>
      <c r="E71" s="31">
        <f>Assumptions!$C$5</f>
        <v>1.244E-2</v>
      </c>
      <c r="F71" s="32">
        <f>IF($C71="L",Assumptions!$C$8,IF($C71="LM",Assumptions!$C$9,IF($C71="UM",Assumptions!$C$10,Assumptions!$C$11)))</f>
        <v>9.0712000000000001E-2</v>
      </c>
      <c r="G71" s="33">
        <f>IF(J71&lt;Assumptions!$C$13,"",MIN(MAX(D71,E71),F71))</f>
        <v>3.2937056795978026E-2</v>
      </c>
      <c r="H71" s="12" t="str">
        <f t="shared" si="5"/>
        <v>unadjusted</v>
      </c>
      <c r="I71" s="34">
        <f t="shared" si="6"/>
        <v>0</v>
      </c>
      <c r="J71" s="12">
        <f t="shared" si="7"/>
        <v>10</v>
      </c>
      <c r="K71" s="30">
        <f>IF(OR('GNI per capita'!AJ70="",'GNI per capita'!AK70=""),"",'GNI per capita'!AK70/'GNI per capita'!AJ70-1)</f>
        <v>3.9419087136929543E-2</v>
      </c>
      <c r="L71" s="30">
        <f>IF(OR('GNI per capita'!AK70="",'GNI per capita'!AL70=""),"",'GNI per capita'!AL70/'GNI per capita'!AK70-1)</f>
        <v>2.1956087824351211E-2</v>
      </c>
      <c r="M71" s="30">
        <f>IF(OR('GNI per capita'!AL70="",'GNI per capita'!AM70=""),"",'GNI per capita'!AM70/'GNI per capita'!AL70-1)</f>
        <v>0.111328125</v>
      </c>
      <c r="N71" s="30">
        <f>IF(OR('GNI per capita'!AM70="",'GNI per capita'!AN70=""),"",'GNI per capita'!AN70/'GNI per capita'!AM70-1)</f>
        <v>-2.1089630931458658E-2</v>
      </c>
      <c r="O71" s="30">
        <f>IF(OR('GNI per capita'!AN70="",'GNI per capita'!AO70=""),"",'GNI per capita'!AO70/'GNI per capita'!AN70-1)</f>
        <v>-0.18132854578096946</v>
      </c>
      <c r="P71" s="30">
        <f>IF(OR('GNI per capita'!AO70="",'GNI per capita'!AP70=""),"",'GNI per capita'!AP70/'GNI per capita'!AO70-1)</f>
        <v>-3.9473684210526327E-2</v>
      </c>
      <c r="Q71" s="30">
        <f>IF(OR('GNI per capita'!AP70="",'GNI per capita'!AQ70=""),"",'GNI per capita'!AQ70/'GNI per capita'!AP70-1)</f>
        <v>0.19863013698630128</v>
      </c>
      <c r="R71" s="30">
        <f>IF(OR('GNI per capita'!AQ70="",'GNI per capita'!AR70=""),"",'GNI per capita'!AR70/'GNI per capita'!AQ70-1)</f>
        <v>8.0000000000000071E-2</v>
      </c>
      <c r="S71" s="30">
        <f>IF(OR('GNI per capita'!AR70="",'GNI per capita'!AS70=""),"",'GNI per capita'!AS70/'GNI per capita'!AR70-1)</f>
        <v>2.6455026455026509E-2</v>
      </c>
      <c r="T71" s="30">
        <f>IF(OR('GNI per capita'!AS70="",'GNI per capita'!AT70=""),"",'GNI per capita'!AT70/'GNI per capita'!AS70-1)</f>
        <v>7.0446735395188975E-2</v>
      </c>
      <c r="U71" s="2" t="s">
        <v>162</v>
      </c>
    </row>
    <row r="72" spans="1:21" x14ac:dyDescent="0.2">
      <c r="A72" s="2" t="s">
        <v>347</v>
      </c>
      <c r="B72" s="2" t="s">
        <v>348</v>
      </c>
      <c r="C72" s="11" t="s">
        <v>79</v>
      </c>
      <c r="D72" s="30">
        <f t="shared" si="4"/>
        <v>1.2806261104358119E-2</v>
      </c>
      <c r="E72" s="31">
        <f>Assumptions!$C$5</f>
        <v>1.244E-2</v>
      </c>
      <c r="F72" s="32">
        <f>IF($C72="L",Assumptions!$C$8,IF($C72="LM",Assumptions!$C$9,IF($C72="UM",Assumptions!$C$10,Assumptions!$C$11)))</f>
        <v>7.1689000000000003E-2</v>
      </c>
      <c r="G72" s="33">
        <f>IF(J72&lt;Assumptions!$C$13,"",MIN(MAX(D72,E72),F72))</f>
        <v>1.2806261104358119E-2</v>
      </c>
      <c r="H72" s="12" t="str">
        <f t="shared" si="5"/>
        <v>unadjusted</v>
      </c>
      <c r="I72" s="34">
        <f t="shared" si="6"/>
        <v>0</v>
      </c>
      <c r="J72" s="12">
        <f t="shared" si="7"/>
        <v>10</v>
      </c>
      <c r="K72" s="30">
        <f>IF(OR('GNI per capita'!AJ71="",'GNI per capita'!AK71=""),"",'GNI per capita'!AK71/'GNI per capita'!AJ71-1)</f>
        <v>-3.6278275714895392E-2</v>
      </c>
      <c r="L72" s="30">
        <f>IF(OR('GNI per capita'!AK71="",'GNI per capita'!AL71=""),"",'GNI per capita'!AL71/'GNI per capita'!AK71-1)</f>
        <v>-1.417183348095663E-2</v>
      </c>
      <c r="M72" s="30">
        <f>IF(OR('GNI per capita'!AL71="",'GNI per capita'!AM71=""),"",'GNI per capita'!AM71/'GNI per capita'!AL71-1)</f>
        <v>7.5920934411500385E-2</v>
      </c>
      <c r="N72" s="30">
        <f>IF(OR('GNI per capita'!AM71="",'GNI per capita'!AN71=""),"",'GNI per capita'!AN71/'GNI per capita'!AM71-1)</f>
        <v>3.5281837160751506E-2</v>
      </c>
      <c r="O72" s="30">
        <f>IF(OR('GNI per capita'!AN71="",'GNI per capita'!AO71=""),"",'GNI per capita'!AO71/'GNI per capita'!AN71-1)</f>
        <v>8.0661423674133204E-4</v>
      </c>
      <c r="P72" s="30">
        <f>IF(OR('GNI per capita'!AO71="",'GNI per capita'!AP71=""),"",'GNI per capita'!AP71/'GNI per capita'!AO71-1)</f>
        <v>6.407414870038286E-2</v>
      </c>
      <c r="Q72" s="30">
        <f>IF(OR('GNI per capita'!AP71="",'GNI per capita'!AQ71=""),"",'GNI per capita'!AQ71/'GNI per capita'!AP71-1)</f>
        <v>2.4805907971974905E-2</v>
      </c>
      <c r="R72" s="30">
        <f>IF(OR('GNI per capita'!AQ71="",'GNI per capita'!AR71=""),"",'GNI per capita'!AR71/'GNI per capita'!AQ71-1)</f>
        <v>-2.3096821877309659E-2</v>
      </c>
      <c r="S72" s="30">
        <f>IF(OR('GNI per capita'!AR71="",'GNI per capita'!AS71=""),"",'GNI per capita'!AS71/'GNI per capita'!AR71-1)</f>
        <v>-2.1940609041044112E-2</v>
      </c>
      <c r="T72" s="30">
        <f>IF(OR('GNI per capita'!AS71="",'GNI per capita'!AT71=""),"",'GNI per capita'!AT71/'GNI per capita'!AS71-1)</f>
        <v>6.8458712047959835E-2</v>
      </c>
      <c r="U72" s="2" t="s">
        <v>162</v>
      </c>
    </row>
    <row r="73" spans="1:21" x14ac:dyDescent="0.2">
      <c r="A73" s="2" t="s">
        <v>349</v>
      </c>
      <c r="B73" s="2" t="s">
        <v>350</v>
      </c>
      <c r="C73" s="11" t="s">
        <v>79</v>
      </c>
      <c r="D73" s="30">
        <f t="shared" si="4"/>
        <v>1.6692097065953371E-2</v>
      </c>
      <c r="E73" s="31">
        <f>Assumptions!$C$5</f>
        <v>1.244E-2</v>
      </c>
      <c r="F73" s="32">
        <f>IF($C73="L",Assumptions!$C$8,IF($C73="LM",Assumptions!$C$9,IF($C73="UM",Assumptions!$C$10,Assumptions!$C$11)))</f>
        <v>7.1689000000000003E-2</v>
      </c>
      <c r="G73" s="33">
        <f>IF(J73&lt;Assumptions!$C$13,"",MIN(MAX(D73,E73),F73))</f>
        <v>1.6692097065953371E-2</v>
      </c>
      <c r="H73" s="12" t="str">
        <f t="shared" si="5"/>
        <v>unadjusted</v>
      </c>
      <c r="I73" s="34">
        <f t="shared" si="6"/>
        <v>0</v>
      </c>
      <c r="J73" s="12">
        <f t="shared" si="7"/>
        <v>10</v>
      </c>
      <c r="K73" s="30">
        <f>IF(OR('GNI per capita'!AJ72="",'GNI per capita'!AK72=""),"",'GNI per capita'!AK72/'GNI per capita'!AJ72-1)</f>
        <v>-5.1300753707755886E-2</v>
      </c>
      <c r="L73" s="30">
        <f>IF(OR('GNI per capita'!AK72="",'GNI per capita'!AL72=""),"",'GNI per capita'!AL72/'GNI per capita'!AK72-1)</f>
        <v>-2.3065094823167653E-2</v>
      </c>
      <c r="M73" s="30">
        <f>IF(OR('GNI per capita'!AL72="",'GNI per capita'!AM72=""),"",'GNI per capita'!AM72/'GNI per capita'!AL72-1)</f>
        <v>7.4501573976915036E-2</v>
      </c>
      <c r="N73" s="30">
        <f>IF(OR('GNI per capita'!AM72="",'GNI per capita'!AN72=""),"",'GNI per capita'!AN72/'GNI per capita'!AM72-1)</f>
        <v>4.296875E-2</v>
      </c>
      <c r="O73" s="30">
        <f>IF(OR('GNI per capita'!AN72="",'GNI per capita'!AO72=""),"",'GNI per capita'!AO72/'GNI per capita'!AN72-1)</f>
        <v>-7.0926966292134797E-2</v>
      </c>
      <c r="P73" s="30">
        <f>IF(OR('GNI per capita'!AO72="",'GNI per capita'!AP72=""),"",'GNI per capita'!AP72/'GNI per capita'!AO72-1)</f>
        <v>0.11615016376921128</v>
      </c>
      <c r="Q73" s="30">
        <f>IF(OR('GNI per capita'!AP72="",'GNI per capita'!AQ72=""),"",'GNI per capita'!AQ72/'GNI per capita'!AP72-1)</f>
        <v>3.8600451467268648E-2</v>
      </c>
      <c r="R73" s="30">
        <f>IF(OR('GNI per capita'!AQ72="",'GNI per capita'!AR72=""),"",'GNI per capita'!AR72/'GNI per capita'!AQ72-1)</f>
        <v>-5.2162573353619068E-3</v>
      </c>
      <c r="S73" s="30">
        <f>IF(OR('GNI per capita'!AR72="",'GNI per capita'!AS72=""),"",'GNI per capita'!AS72/'GNI per capita'!AR72-1)</f>
        <v>-1.3327507100720948E-2</v>
      </c>
      <c r="T73" s="30">
        <f>IF(OR('GNI per capita'!AS72="",'GNI per capita'!AT72=""),"",'GNI per capita'!AT72/'GNI per capita'!AS72-1)</f>
        <v>7.6837909654561498E-2</v>
      </c>
      <c r="U73" s="2" t="s">
        <v>162</v>
      </c>
    </row>
    <row r="74" spans="1:21" x14ac:dyDescent="0.2">
      <c r="A74" s="2" t="s">
        <v>351</v>
      </c>
      <c r="B74" s="2" t="s">
        <v>352</v>
      </c>
      <c r="C74" s="11" t="s">
        <v>79</v>
      </c>
      <c r="D74" s="30">
        <f t="shared" si="4"/>
        <v>9.1097308488612416E-3</v>
      </c>
      <c r="E74" s="31">
        <f>Assumptions!$C$5</f>
        <v>1.244E-2</v>
      </c>
      <c r="F74" s="32">
        <f>IF($C74="L",Assumptions!$C$8,IF($C74="LM",Assumptions!$C$9,IF($C74="UM",Assumptions!$C$10,Assumptions!$C$11)))</f>
        <v>7.1689000000000003E-2</v>
      </c>
      <c r="G74" s="33">
        <f>IF(J74&lt;Assumptions!$C$13,"",MIN(MAX(D74,E74),F74))</f>
        <v>1.244E-2</v>
      </c>
      <c r="H74" s="12" t="str">
        <f t="shared" si="5"/>
        <v>raised by floor</v>
      </c>
      <c r="I74" s="34">
        <f t="shared" si="6"/>
        <v>3.330269151138758E-3</v>
      </c>
      <c r="J74" s="12">
        <f t="shared" si="7"/>
        <v>9</v>
      </c>
      <c r="K74" s="30">
        <f>IF(OR('GNI per capita'!AJ73="",'GNI per capita'!AK73=""),"",'GNI per capita'!AK73/'GNI per capita'!AJ73-1)</f>
        <v>-3.8594969644405897E-2</v>
      </c>
      <c r="L74" s="30">
        <f>IF(OR('GNI per capita'!AK73="",'GNI per capita'!AL73=""),"",'GNI per capita'!AL73/'GNI per capita'!AK73-1)</f>
        <v>2.2552999548939301E-3</v>
      </c>
      <c r="M74" s="30">
        <f>IF(OR('GNI per capita'!AL73="",'GNI per capita'!AM73=""),"",'GNI per capita'!AM73/'GNI per capita'!AL73-1)</f>
        <v>6.6606660666066686E-2</v>
      </c>
      <c r="N74" s="30">
        <f>IF(OR('GNI per capita'!AM73="",'GNI per capita'!AN73=""),"",'GNI per capita'!AN73/'GNI per capita'!AM73-1)</f>
        <v>3.5021097046413541E-2</v>
      </c>
      <c r="O74" s="30">
        <f>IF(OR('GNI per capita'!AN73="",'GNI per capita'!AO73=""),"",'GNI per capita'!AO73/'GNI per capita'!AN73-1)</f>
        <v>-9.6208724011414559E-2</v>
      </c>
      <c r="P74" s="30">
        <f>IF(OR('GNI per capita'!AO73="",'GNI per capita'!AP73=""),"",'GNI per capita'!AP73/'GNI per capita'!AO73-1)</f>
        <v>5.8186738836265128E-2</v>
      </c>
      <c r="Q74" s="30">
        <f>IF(OR('GNI per capita'!AP73="",'GNI per capita'!AQ73=""),"",'GNI per capita'!AQ73/'GNI per capita'!AP73-1)</f>
        <v>2.9411764705882248E-2</v>
      </c>
      <c r="R74" s="30">
        <f>IF(OR('GNI per capita'!AQ73="",'GNI per capita'!AR73=""),"",'GNI per capita'!AR73/'GNI per capita'!AQ73-1)</f>
        <v>9.1097308488612416E-3</v>
      </c>
      <c r="S74" s="30">
        <f>IF(OR('GNI per capita'!AR73="",'GNI per capita'!AS73=""),"",'GNI per capita'!AS73/'GNI per capita'!AR73-1)</f>
        <v>-1.1079195732457969E-2</v>
      </c>
      <c r="T74" s="30" t="str">
        <f>IF(OR('GNI per capita'!AS73="",'GNI per capita'!AT73=""),"",'GNI per capita'!AT73/'GNI per capita'!AS73-1)</f>
        <v/>
      </c>
      <c r="U74" s="28" t="s">
        <v>344</v>
      </c>
    </row>
    <row r="75" spans="1:21" x14ac:dyDescent="0.2">
      <c r="A75" s="2" t="s">
        <v>353</v>
      </c>
      <c r="B75" s="2" t="s">
        <v>354</v>
      </c>
      <c r="C75" s="11" t="s">
        <v>82</v>
      </c>
      <c r="D75" s="30">
        <f t="shared" si="4"/>
        <v>2.6904052739982975E-2</v>
      </c>
      <c r="E75" s="31">
        <f>Assumptions!$C$5</f>
        <v>1.244E-2</v>
      </c>
      <c r="F75" s="32">
        <f>IF($C75="L",Assumptions!$C$8,IF($C75="LM",Assumptions!$C$9,IF($C75="UM",Assumptions!$C$10,Assumptions!$C$11)))</f>
        <v>9.0712000000000001E-2</v>
      </c>
      <c r="G75" s="33">
        <f>IF(J75&lt;Assumptions!$C$13,"",MIN(MAX(D75,E75),F75))</f>
        <v>2.6904052739982975E-2</v>
      </c>
      <c r="H75" s="12" t="str">
        <f t="shared" si="5"/>
        <v>unadjusted</v>
      </c>
      <c r="I75" s="34">
        <f t="shared" si="6"/>
        <v>0</v>
      </c>
      <c r="J75" s="12">
        <f t="shared" si="7"/>
        <v>10</v>
      </c>
      <c r="K75" s="30">
        <f>IF(OR('GNI per capita'!AJ74="",'GNI per capita'!AK74=""),"",'GNI per capita'!AK74/'GNI per capita'!AJ74-1)</f>
        <v>-5.65045992115637E-2</v>
      </c>
      <c r="L75" s="30">
        <f>IF(OR('GNI per capita'!AK74="",'GNI per capita'!AL74=""),"",'GNI per capita'!AL74/'GNI per capita'!AK74-1)</f>
        <v>-0.13091922005571033</v>
      </c>
      <c r="M75" s="30">
        <f>IF(OR('GNI per capita'!AL74="",'GNI per capita'!AM74=""),"",'GNI per capita'!AM74/'GNI per capita'!AL74-1)</f>
        <v>7.2115384615384581E-2</v>
      </c>
      <c r="N75" s="30">
        <f>IF(OR('GNI per capita'!AM74="",'GNI per capita'!AN74=""),"",'GNI per capita'!AN74/'GNI per capita'!AM74-1)</f>
        <v>5.231689088191338E-2</v>
      </c>
      <c r="O75" s="30">
        <f>IF(OR('GNI per capita'!AN74="",'GNI per capita'!AO74=""),"",'GNI per capita'!AO74/'GNI per capita'!AN74-1)</f>
        <v>-3.125E-2</v>
      </c>
      <c r="P75" s="30">
        <f>IF(OR('GNI per capita'!AO74="",'GNI per capita'!AP74=""),"",'GNI per capita'!AP74/'GNI per capita'!AO74-1)</f>
        <v>2.6392961876832821E-2</v>
      </c>
      <c r="Q75" s="30">
        <f>IF(OR('GNI per capita'!AP74="",'GNI per capita'!AQ74=""),"",'GNI per capita'!AQ74/'GNI per capita'!AP74-1)</f>
        <v>2.1428571428571352E-2</v>
      </c>
      <c r="R75" s="30">
        <f>IF(OR('GNI per capita'!AQ74="",'GNI per capita'!AR74=""),"",'GNI per capita'!AR74/'GNI per capita'!AQ74-1)</f>
        <v>7.1328671328671378E-2</v>
      </c>
      <c r="S75" s="30">
        <f>IF(OR('GNI per capita'!AR74="",'GNI per capita'!AS74=""),"",'GNI per capita'!AS74/'GNI per capita'!AR74-1)</f>
        <v>2.741514360313313E-2</v>
      </c>
      <c r="T75" s="30">
        <f>IF(OR('GNI per capita'!AS74="",'GNI per capita'!AT74=""),"",'GNI per capita'!AT74/'GNI per capita'!AS74-1)</f>
        <v>2.7954256670902122E-2</v>
      </c>
      <c r="U75" s="2" t="s">
        <v>162</v>
      </c>
    </row>
    <row r="76" spans="1:21" x14ac:dyDescent="0.2">
      <c r="A76" s="2" t="s">
        <v>355</v>
      </c>
      <c r="B76" s="2" t="s">
        <v>356</v>
      </c>
      <c r="C76" s="11" t="s">
        <v>75</v>
      </c>
      <c r="D76" s="30">
        <f t="shared" si="4"/>
        <v>5.3201506591337155E-2</v>
      </c>
      <c r="E76" s="31">
        <f>Assumptions!$C$5</f>
        <v>1.244E-2</v>
      </c>
      <c r="F76" s="32">
        <f>IF($C76="L",Assumptions!$C$8,IF($C76="LM",Assumptions!$C$9,IF($C76="UM",Assumptions!$C$10,Assumptions!$C$11)))</f>
        <v>5.5947999999999998E-2</v>
      </c>
      <c r="G76" s="33">
        <f>IF(J76&lt;Assumptions!$C$13,"",MIN(MAX(D76,E76),F76))</f>
        <v>5.3201506591337155E-2</v>
      </c>
      <c r="H76" s="12" t="str">
        <f t="shared" si="5"/>
        <v>unadjusted</v>
      </c>
      <c r="I76" s="34">
        <f t="shared" si="6"/>
        <v>0</v>
      </c>
      <c r="J76" s="12">
        <f t="shared" si="7"/>
        <v>10</v>
      </c>
      <c r="K76" s="30">
        <f>IF(OR('GNI per capita'!AJ75="",'GNI per capita'!AK75=""),"",'GNI per capita'!AK75/'GNI per capita'!AJ75-1)</f>
        <v>0</v>
      </c>
      <c r="L76" s="30">
        <f>IF(OR('GNI per capita'!AK75="",'GNI per capita'!AL75=""),"",'GNI per capita'!AL75/'GNI per capita'!AK75-1)</f>
        <v>5.0847457627118731E-2</v>
      </c>
      <c r="M76" s="30">
        <f>IF(OR('GNI per capita'!AL75="",'GNI per capita'!AM75=""),"",'GNI per capita'!AM75/'GNI per capita'!AL75-1)</f>
        <v>9.6774193548387011E-2</v>
      </c>
      <c r="N76" s="30">
        <f>IF(OR('GNI per capita'!AM75="",'GNI per capita'!AN75=""),"",'GNI per capita'!AN75/'GNI per capita'!AM75-1)</f>
        <v>5.8823529411764719E-2</v>
      </c>
      <c r="O76" s="30">
        <f>IF(OR('GNI per capita'!AN75="",'GNI per capita'!AO75=""),"",'GNI per capita'!AO75/'GNI per capita'!AN75-1)</f>
        <v>0</v>
      </c>
      <c r="P76" s="30">
        <f>IF(OR('GNI per capita'!AO75="",'GNI per capita'!AP75=""),"",'GNI per capita'!AP75/'GNI per capita'!AO75-1)</f>
        <v>5.555555555555558E-2</v>
      </c>
      <c r="Q76" s="30">
        <f>IF(OR('GNI per capita'!AP75="",'GNI per capita'!AQ75=""),"",'GNI per capita'!AQ75/'GNI per capita'!AP75-1)</f>
        <v>9.210526315789469E-2</v>
      </c>
      <c r="R76" s="30">
        <f>IF(OR('GNI per capita'!AQ75="",'GNI per capita'!AR75=""),"",'GNI per capita'!AR75/'GNI per capita'!AQ75-1)</f>
        <v>4.8192771084337283E-2</v>
      </c>
      <c r="S76" s="30">
        <f>IF(OR('GNI per capita'!AR75="",'GNI per capita'!AS75=""),"",'GNI per capita'!AS75/'GNI per capita'!AR75-1)</f>
        <v>1.1494252873563315E-2</v>
      </c>
      <c r="T76" s="30">
        <f>IF(OR('GNI per capita'!AS75="",'GNI per capita'!AT75=""),"",'GNI per capita'!AT75/'GNI per capita'!AS75-1)</f>
        <v>5.6818181818181879E-2</v>
      </c>
      <c r="U76" s="2" t="s">
        <v>162</v>
      </c>
    </row>
    <row r="77" spans="1:21" x14ac:dyDescent="0.2">
      <c r="A77" s="2" t="s">
        <v>357</v>
      </c>
      <c r="B77" s="2" t="s">
        <v>358</v>
      </c>
      <c r="C77" s="11" t="s">
        <v>82</v>
      </c>
      <c r="D77" s="30">
        <f t="shared" si="4"/>
        <v>0.10413299856287295</v>
      </c>
      <c r="E77" s="31">
        <f>Assumptions!$C$5</f>
        <v>1.244E-2</v>
      </c>
      <c r="F77" s="32">
        <f>IF($C77="L",Assumptions!$C$8,IF($C77="LM",Assumptions!$C$9,IF($C77="UM",Assumptions!$C$10,Assumptions!$C$11)))</f>
        <v>9.0712000000000001E-2</v>
      </c>
      <c r="G77" s="33">
        <f>IF(J77&lt;Assumptions!$C$13,"",MIN(MAX(D77,E77),F77))</f>
        <v>9.0712000000000001E-2</v>
      </c>
      <c r="H77" s="12" t="str">
        <f t="shared" si="5"/>
        <v>cut by cap</v>
      </c>
      <c r="I77" s="34">
        <f t="shared" si="6"/>
        <v>-1.3420998562872946E-2</v>
      </c>
      <c r="J77" s="12">
        <f t="shared" si="7"/>
        <v>10</v>
      </c>
      <c r="K77" s="30">
        <f>IF(OR('GNI per capita'!AJ76="",'GNI per capita'!AK76=""),"",'GNI per capita'!AK76/'GNI per capita'!AJ76-1)</f>
        <v>-7.1111111111111125E-2</v>
      </c>
      <c r="L77" s="30">
        <f>IF(OR('GNI per capita'!AK76="",'GNI per capita'!AL76=""),"",'GNI per capita'!AL76/'GNI per capita'!AK76-1)</f>
        <v>-1.1961722488038284E-2</v>
      </c>
      <c r="M77" s="30">
        <f>IF(OR('GNI per capita'!AL76="",'GNI per capita'!AM76=""),"",'GNI per capita'!AM76/'GNI per capita'!AL76-1)</f>
        <v>0.10895883777239712</v>
      </c>
      <c r="N77" s="30">
        <f>IF(OR('GNI per capita'!AM76="",'GNI per capita'!AN76=""),"",'GNI per capita'!AN76/'GNI per capita'!AM76-1)</f>
        <v>4.366812227074246E-2</v>
      </c>
      <c r="O77" s="30">
        <f>IF(OR('GNI per capita'!AN76="",'GNI per capita'!AO76=""),"",'GNI per capita'!AO76/'GNI per capita'!AN76-1)</f>
        <v>-9.4142259414225937E-2</v>
      </c>
      <c r="P77" s="30">
        <f>IF(OR('GNI per capita'!AO76="",'GNI per capita'!AP76=""),"",'GNI per capita'!AP76/'GNI per capita'!AO76-1)</f>
        <v>9.9307159353348773E-2</v>
      </c>
      <c r="Q77" s="30">
        <f>IF(OR('GNI per capita'!AP76="",'GNI per capita'!AQ76=""),"",'GNI per capita'!AQ76/'GNI per capita'!AP76-1)</f>
        <v>0.19537815126050417</v>
      </c>
      <c r="R77" s="30">
        <f>IF(OR('GNI per capita'!AQ76="",'GNI per capita'!AR76=""),"",'GNI per capita'!AR76/'GNI per capita'!AQ76-1)</f>
        <v>0.17926186291739898</v>
      </c>
      <c r="S77" s="30">
        <f>IF(OR('GNI per capita'!AR76="",'GNI per capita'!AS76=""),"",'GNI per capita'!AS76/'GNI per capita'!AR76-1)</f>
        <v>0.17287630402384502</v>
      </c>
      <c r="T77" s="30">
        <f>IF(OR('GNI per capita'!AS76="",'GNI per capita'!AT76=""),"",'GNI per capita'!AT76/'GNI per capita'!AS76-1)</f>
        <v>0.14231257941550202</v>
      </c>
      <c r="U77" s="28" t="s">
        <v>359</v>
      </c>
    </row>
    <row r="78" spans="1:21" x14ac:dyDescent="0.2">
      <c r="A78" s="2" t="s">
        <v>360</v>
      </c>
      <c r="B78" s="2" t="s">
        <v>361</v>
      </c>
      <c r="C78" s="11" t="s">
        <v>79</v>
      </c>
      <c r="D78" s="30">
        <f t="shared" si="4"/>
        <v>1.8191236296963287E-2</v>
      </c>
      <c r="E78" s="31">
        <f>Assumptions!$C$5</f>
        <v>1.244E-2</v>
      </c>
      <c r="F78" s="32">
        <f>IF($C78="L",Assumptions!$C$8,IF($C78="LM",Assumptions!$C$9,IF($C78="UM",Assumptions!$C$10,Assumptions!$C$11)))</f>
        <v>7.1689000000000003E-2</v>
      </c>
      <c r="G78" s="33">
        <f>IF(J78&lt;Assumptions!$C$13,"",MIN(MAX(D78,E78),F78))</f>
        <v>1.8191236296963287E-2</v>
      </c>
      <c r="H78" s="12" t="str">
        <f t="shared" si="5"/>
        <v>unadjusted</v>
      </c>
      <c r="I78" s="34">
        <f t="shared" si="6"/>
        <v>0</v>
      </c>
      <c r="J78" s="12">
        <f t="shared" si="7"/>
        <v>10</v>
      </c>
      <c r="K78" s="30">
        <f>IF(OR('GNI per capita'!AJ77="",'GNI per capita'!AK77=""),"",'GNI per capita'!AK77/'GNI per capita'!AJ77-1)</f>
        <v>-2.6829791800815572E-2</v>
      </c>
      <c r="L78" s="30">
        <f>IF(OR('GNI per capita'!AK77="",'GNI per capita'!AL77=""),"",'GNI per capita'!AL77/'GNI per capita'!AK77-1)</f>
        <v>-1.3453903837670977E-2</v>
      </c>
      <c r="M78" s="30">
        <f>IF(OR('GNI per capita'!AL77="",'GNI per capita'!AM77=""),"",'GNI per capita'!AM77/'GNI per capita'!AL77-1)</f>
        <v>9.0319695953498869E-2</v>
      </c>
      <c r="N78" s="30">
        <f>IF(OR('GNI per capita'!AM77="",'GNI per capita'!AN77=""),"",'GNI per capita'!AN77/'GNI per capita'!AM77-1)</f>
        <v>3.2396965347549767E-2</v>
      </c>
      <c r="O78" s="30">
        <f>IF(OR('GNI per capita'!AN77="",'GNI per capita'!AO77=""),"",'GNI per capita'!AO77/'GNI per capita'!AN77-1)</f>
        <v>-3.5948361469712031E-2</v>
      </c>
      <c r="P78" s="30">
        <f>IF(OR('GNI per capita'!AO77="",'GNI per capita'!AP77=""),"",'GNI per capita'!AP77/'GNI per capita'!AO77-1)</f>
        <v>8.8792748248866848E-2</v>
      </c>
      <c r="Q78" s="30">
        <f>IF(OR('GNI per capita'!AP77="",'GNI per capita'!AQ77=""),"",'GNI per capita'!AQ77/'GNI per capita'!AP77-1)</f>
        <v>4.4465468306527978E-2</v>
      </c>
      <c r="R78" s="30">
        <f>IF(OR('GNI per capita'!AQ77="",'GNI per capita'!AR77=""),"",'GNI per capita'!AR77/'GNI per capita'!AQ77-1)</f>
        <v>3.9855072463768071E-3</v>
      </c>
      <c r="S78" s="30">
        <f>IF(OR('GNI per capita'!AR77="",'GNI per capita'!AS77=""),"",'GNI per capita'!AS77/'GNI per capita'!AR77-1)</f>
        <v>-5.9545290508841164E-3</v>
      </c>
      <c r="T78" s="30">
        <f>IF(OR('GNI per capita'!AS77="",'GNI per capita'!AT77=""),"",'GNI per capita'!AT77/'GNI per capita'!AS77-1)</f>
        <v>9.2757306226175285E-2</v>
      </c>
      <c r="U78" s="2" t="s">
        <v>162</v>
      </c>
    </row>
    <row r="79" spans="1:21" x14ac:dyDescent="0.2">
      <c r="A79" s="2" t="s">
        <v>362</v>
      </c>
      <c r="B79" s="2" t="s">
        <v>363</v>
      </c>
      <c r="C79" s="11" t="s">
        <v>210</v>
      </c>
      <c r="D79" s="30">
        <f t="shared" si="4"/>
        <v>2.8696936323588274E-2</v>
      </c>
      <c r="E79" s="31">
        <f>Assumptions!$C$5</f>
        <v>1.244E-2</v>
      </c>
      <c r="F79" s="32">
        <f>IF($C79="L",Assumptions!$C$8,IF($C79="LM",Assumptions!$C$9,IF($C79="UM",Assumptions!$C$10,Assumptions!$C$11)))</f>
        <v>7.4680999999999997E-2</v>
      </c>
      <c r="G79" s="33">
        <f>IF(J79&lt;Assumptions!$C$13,"",MIN(MAX(D79,E79),F79))</f>
        <v>2.8696936323588274E-2</v>
      </c>
      <c r="H79" s="12" t="str">
        <f t="shared" si="5"/>
        <v>unadjusted</v>
      </c>
      <c r="I79" s="34">
        <f t="shared" si="6"/>
        <v>0</v>
      </c>
      <c r="J79" s="12">
        <f t="shared" si="7"/>
        <v>10</v>
      </c>
      <c r="K79" s="30">
        <f>IF(OR('GNI per capita'!AJ78="",'GNI per capita'!AK78=""),"",'GNI per capita'!AK78/'GNI per capita'!AJ78-1)</f>
        <v>-6.3829787234042534E-2</v>
      </c>
      <c r="L79" s="30">
        <f>IF(OR('GNI per capita'!AK78="",'GNI per capita'!AL78=""),"",'GNI per capita'!AL78/'GNI per capita'!AK78-1)</f>
        <v>3.9772727272727293E-2</v>
      </c>
      <c r="M79" s="30">
        <f>IF(OR('GNI per capita'!AL78="",'GNI per capita'!AM78=""),"",'GNI per capita'!AM78/'GNI per capita'!AL78-1)</f>
        <v>0.12568306010928953</v>
      </c>
      <c r="N79" s="30">
        <f>IF(OR('GNI per capita'!AM78="",'GNI per capita'!AN78=""),"",'GNI per capita'!AN78/'GNI per capita'!AM78-1)</f>
        <v>5.3398058252427161E-2</v>
      </c>
      <c r="O79" s="30">
        <f>IF(OR('GNI per capita'!AN78="",'GNI per capita'!AO78=""),"",'GNI per capita'!AO78/'GNI per capita'!AN78-1)</f>
        <v>-2.3041474654377891E-2</v>
      </c>
      <c r="P79" s="30">
        <f>IF(OR('GNI per capita'!AO78="",'GNI per capita'!AP78=""),"",'GNI per capita'!AP78/'GNI per capita'!AO78-1)</f>
        <v>6.1320754716981174E-2</v>
      </c>
      <c r="Q79" s="30">
        <f>IF(OR('GNI per capita'!AP78="",'GNI per capita'!AQ78=""),"",'GNI per capita'!AQ78/'GNI per capita'!AP78-1)</f>
        <v>8.8888888888889461E-3</v>
      </c>
      <c r="R79" s="30">
        <f>IF(OR('GNI per capita'!AQ78="",'GNI per capita'!AR78=""),"",'GNI per capita'!AR78/'GNI per capita'!AQ78-1)</f>
        <v>1.7621145374449254E-2</v>
      </c>
      <c r="S79" s="30">
        <f>IF(OR('GNI per capita'!AR78="",'GNI per capita'!AS78=""),"",'GNI per capita'!AS78/'GNI per capita'!AR78-1)</f>
        <v>-2.1645021645021689E-2</v>
      </c>
      <c r="T79" s="30">
        <f>IF(OR('GNI per capita'!AS78="",'GNI per capita'!AT78=""),"",'GNI per capita'!AT78/'GNI per capita'!AS78-1)</f>
        <v>0.16371681415929196</v>
      </c>
      <c r="U79" s="2" t="s">
        <v>162</v>
      </c>
    </row>
    <row r="80" spans="1:21" x14ac:dyDescent="0.2">
      <c r="A80" s="2" t="s">
        <v>364</v>
      </c>
      <c r="B80" s="2" t="s">
        <v>365</v>
      </c>
      <c r="C80" s="11" t="s">
        <v>79</v>
      </c>
      <c r="D80" s="30" t="str">
        <f t="shared" si="4"/>
        <v/>
      </c>
      <c r="E80" s="31">
        <f>Assumptions!$C$5</f>
        <v>1.244E-2</v>
      </c>
      <c r="F80" s="32">
        <f>IF($C80="L",Assumptions!$C$8,IF($C80="LM",Assumptions!$C$9,IF($C80="UM",Assumptions!$C$10,Assumptions!$C$11)))</f>
        <v>7.1689000000000003E-2</v>
      </c>
      <c r="G80" s="33" t="str">
        <f>IF(J80&lt;Assumptions!$C$13,"",MIN(MAX(D80,E80),F80))</f>
        <v/>
      </c>
      <c r="H80" s="12" t="str">
        <f t="shared" si="5"/>
        <v>frozen</v>
      </c>
      <c r="I80" s="34" t="str">
        <f t="shared" si="6"/>
        <v/>
      </c>
      <c r="J80" s="12">
        <f t="shared" si="7"/>
        <v>0</v>
      </c>
      <c r="K80" s="30" t="str">
        <f>IF(OR('GNI per capita'!AJ79="",'GNI per capita'!AK79=""),"",'GNI per capita'!AK79/'GNI per capita'!AJ79-1)</f>
        <v/>
      </c>
      <c r="L80" s="30" t="str">
        <f>IF(OR('GNI per capita'!AK79="",'GNI per capita'!AL79=""),"",'GNI per capita'!AL79/'GNI per capita'!AK79-1)</f>
        <v/>
      </c>
      <c r="M80" s="30" t="str">
        <f>IF(OR('GNI per capita'!AL79="",'GNI per capita'!AM79=""),"",'GNI per capita'!AM79/'GNI per capita'!AL79-1)</f>
        <v/>
      </c>
      <c r="N80" s="30" t="str">
        <f>IF(OR('GNI per capita'!AM79="",'GNI per capita'!AN79=""),"",'GNI per capita'!AN79/'GNI per capita'!AM79-1)</f>
        <v/>
      </c>
      <c r="O80" s="30" t="str">
        <f>IF(OR('GNI per capita'!AN79="",'GNI per capita'!AO79=""),"",'GNI per capita'!AO79/'GNI per capita'!AN79-1)</f>
        <v/>
      </c>
      <c r="P80" s="30" t="str">
        <f>IF(OR('GNI per capita'!AO79="",'GNI per capita'!AP79=""),"",'GNI per capita'!AP79/'GNI per capita'!AO79-1)</f>
        <v/>
      </c>
      <c r="Q80" s="30" t="str">
        <f>IF(OR('GNI per capita'!AP79="",'GNI per capita'!AQ79=""),"",'GNI per capita'!AQ79/'GNI per capita'!AP79-1)</f>
        <v/>
      </c>
      <c r="R80" s="30" t="str">
        <f>IF(OR('GNI per capita'!AQ79="",'GNI per capita'!AR79=""),"",'GNI per capita'!AR79/'GNI per capita'!AQ79-1)</f>
        <v/>
      </c>
      <c r="S80" s="30" t="str">
        <f>IF(OR('GNI per capita'!AR79="",'GNI per capita'!AS79=""),"",'GNI per capita'!AS79/'GNI per capita'!AR79-1)</f>
        <v/>
      </c>
      <c r="T80" s="30" t="str">
        <f>IF(OR('GNI per capita'!AS79="",'GNI per capita'!AT79=""),"",'GNI per capita'!AT79/'GNI per capita'!AS79-1)</f>
        <v/>
      </c>
      <c r="U80" s="28" t="s">
        <v>204</v>
      </c>
    </row>
    <row r="81" spans="1:21" x14ac:dyDescent="0.2">
      <c r="A81" s="2" t="s">
        <v>366</v>
      </c>
      <c r="B81" s="2" t="s">
        <v>367</v>
      </c>
      <c r="C81" s="11" t="s">
        <v>79</v>
      </c>
      <c r="D81" s="30">
        <f t="shared" si="4"/>
        <v>2.8266649099609964E-2</v>
      </c>
      <c r="E81" s="31">
        <f>Assumptions!$C$5</f>
        <v>1.244E-2</v>
      </c>
      <c r="F81" s="32">
        <f>IF($C81="L",Assumptions!$C$8,IF($C81="LM",Assumptions!$C$9,IF($C81="UM",Assumptions!$C$10,Assumptions!$C$11)))</f>
        <v>7.1689000000000003E-2</v>
      </c>
      <c r="G81" s="33">
        <f>IF(J81&lt;Assumptions!$C$13,"",MIN(MAX(D81,E81),F81))</f>
        <v>2.8266649099609964E-2</v>
      </c>
      <c r="H81" s="12" t="str">
        <f t="shared" si="5"/>
        <v>unadjusted</v>
      </c>
      <c r="I81" s="34">
        <f t="shared" si="6"/>
        <v>0</v>
      </c>
      <c r="J81" s="12">
        <f t="shared" si="7"/>
        <v>10</v>
      </c>
      <c r="K81" s="30">
        <f>IF(OR('GNI per capita'!AJ80="",'GNI per capita'!AK80=""),"",'GNI per capita'!AK80/'GNI per capita'!AJ80-1)</f>
        <v>-7.1285140562248994E-2</v>
      </c>
      <c r="L81" s="30">
        <f>IF(OR('GNI per capita'!AK80="",'GNI per capita'!AL80=""),"",'GNI per capita'!AL80/'GNI per capita'!AK80-1)</f>
        <v>-3.2972972972972969E-2</v>
      </c>
      <c r="M81" s="30">
        <f>IF(OR('GNI per capita'!AL80="",'GNI per capita'!AM80=""),"",'GNI per capita'!AM80/'GNI per capita'!AL80-1)</f>
        <v>6.5399664617104447E-2</v>
      </c>
      <c r="N81" s="30">
        <f>IF(OR('GNI per capita'!AM80="",'GNI per capita'!AN80=""),"",'GNI per capita'!AN80/'GNI per capita'!AM80-1)</f>
        <v>3.7250786988457518E-2</v>
      </c>
      <c r="O81" s="30">
        <f>IF(OR('GNI per capita'!AN80="",'GNI per capita'!AO80=""),"",'GNI per capita'!AO80/'GNI per capita'!AN80-1)</f>
        <v>-8.8012139605462836E-2</v>
      </c>
      <c r="P81" s="30">
        <f>IF(OR('GNI per capita'!AO80="",'GNI per capita'!AP80=""),"",'GNI per capita'!AP80/'GNI per capita'!AO80-1)</f>
        <v>0.12867443150305058</v>
      </c>
      <c r="Q81" s="30">
        <f>IF(OR('GNI per capita'!AP80="",'GNI per capita'!AQ80=""),"",'GNI per capita'!AQ80/'GNI per capita'!AP80-1)</f>
        <v>8.0098280098280128E-2</v>
      </c>
      <c r="R81" s="30">
        <f>IF(OR('GNI per capita'!AQ80="",'GNI per capita'!AR80=""),"",'GNI per capita'!AR80/'GNI per capita'!AQ80-1)</f>
        <v>1.4558689717925288E-2</v>
      </c>
      <c r="S81" s="30">
        <f>IF(OR('GNI per capita'!AR80="",'GNI per capita'!AS80=""),"",'GNI per capita'!AS80/'GNI per capita'!AR80-1)</f>
        <v>1.928251121076241E-2</v>
      </c>
      <c r="T81" s="30">
        <f>IF(OR('GNI per capita'!AS80="",'GNI per capita'!AT80=""),"",'GNI per capita'!AT80/'GNI per capita'!AS80-1)</f>
        <v>0.11570611526616803</v>
      </c>
      <c r="U81" s="2" t="s">
        <v>162</v>
      </c>
    </row>
    <row r="82" spans="1:21" x14ac:dyDescent="0.2">
      <c r="A82" s="2" t="s">
        <v>368</v>
      </c>
      <c r="B82" s="2" t="s">
        <v>369</v>
      </c>
      <c r="C82" s="11" t="s">
        <v>79</v>
      </c>
      <c r="D82" s="30" t="str">
        <f t="shared" si="4"/>
        <v/>
      </c>
      <c r="E82" s="31">
        <f>Assumptions!$C$5</f>
        <v>1.244E-2</v>
      </c>
      <c r="F82" s="32">
        <f>IF($C82="L",Assumptions!$C$8,IF($C82="LM",Assumptions!$C$9,IF($C82="UM",Assumptions!$C$10,Assumptions!$C$11)))</f>
        <v>7.1689000000000003E-2</v>
      </c>
      <c r="G82" s="33" t="str">
        <f>IF(J82&lt;Assumptions!$C$13,"",MIN(MAX(D82,E82),F82))</f>
        <v/>
      </c>
      <c r="H82" s="12" t="str">
        <f t="shared" si="5"/>
        <v>frozen</v>
      </c>
      <c r="I82" s="34" t="str">
        <f t="shared" si="6"/>
        <v/>
      </c>
      <c r="J82" s="12">
        <f t="shared" si="7"/>
        <v>0</v>
      </c>
      <c r="K82" s="30" t="str">
        <f>IF(OR('GNI per capita'!AJ81="",'GNI per capita'!AK81=""),"",'GNI per capita'!AK81/'GNI per capita'!AJ81-1)</f>
        <v/>
      </c>
      <c r="L82" s="30" t="str">
        <f>IF(OR('GNI per capita'!AK81="",'GNI per capita'!AL81=""),"",'GNI per capita'!AL81/'GNI per capita'!AK81-1)</f>
        <v/>
      </c>
      <c r="M82" s="30" t="str">
        <f>IF(OR('GNI per capita'!AL81="",'GNI per capita'!AM81=""),"",'GNI per capita'!AM81/'GNI per capita'!AL81-1)</f>
        <v/>
      </c>
      <c r="N82" s="30" t="str">
        <f>IF(OR('GNI per capita'!AM81="",'GNI per capita'!AN81=""),"",'GNI per capita'!AN81/'GNI per capita'!AM81-1)</f>
        <v/>
      </c>
      <c r="O82" s="30" t="str">
        <f>IF(OR('GNI per capita'!AN81="",'GNI per capita'!AO81=""),"",'GNI per capita'!AO81/'GNI per capita'!AN81-1)</f>
        <v/>
      </c>
      <c r="P82" s="30" t="str">
        <f>IF(OR('GNI per capita'!AO81="",'GNI per capita'!AP81=""),"",'GNI per capita'!AP81/'GNI per capita'!AO81-1)</f>
        <v/>
      </c>
      <c r="Q82" s="30" t="str">
        <f>IF(OR('GNI per capita'!AP81="",'GNI per capita'!AQ81=""),"",'GNI per capita'!AQ81/'GNI per capita'!AP81-1)</f>
        <v/>
      </c>
      <c r="R82" s="30" t="str">
        <f>IF(OR('GNI per capita'!AQ81="",'GNI per capita'!AR81=""),"",'GNI per capita'!AR81/'GNI per capita'!AQ81-1)</f>
        <v/>
      </c>
      <c r="S82" s="30" t="str">
        <f>IF(OR('GNI per capita'!AR81="",'GNI per capita'!AS81=""),"",'GNI per capita'!AS81/'GNI per capita'!AR81-1)</f>
        <v/>
      </c>
      <c r="T82" s="30" t="str">
        <f>IF(OR('GNI per capita'!AS81="",'GNI per capita'!AT81=""),"",'GNI per capita'!AT81/'GNI per capita'!AS81-1)</f>
        <v/>
      </c>
      <c r="U82" s="28" t="s">
        <v>204</v>
      </c>
    </row>
    <row r="83" spans="1:21" x14ac:dyDescent="0.2">
      <c r="A83" s="2" t="s">
        <v>370</v>
      </c>
      <c r="B83" s="2" t="s">
        <v>371</v>
      </c>
      <c r="C83" s="11" t="s">
        <v>82</v>
      </c>
      <c r="D83" s="30">
        <f t="shared" si="4"/>
        <v>6.395579367233506E-2</v>
      </c>
      <c r="E83" s="31">
        <f>Assumptions!$C$5</f>
        <v>1.244E-2</v>
      </c>
      <c r="F83" s="32">
        <f>IF($C83="L",Assumptions!$C$8,IF($C83="LM",Assumptions!$C$9,IF($C83="UM",Assumptions!$C$10,Assumptions!$C$11)))</f>
        <v>9.0712000000000001E-2</v>
      </c>
      <c r="G83" s="33">
        <f>IF(J83&lt;Assumptions!$C$13,"",MIN(MAX(D83,E83),F83))</f>
        <v>6.395579367233506E-2</v>
      </c>
      <c r="H83" s="12" t="str">
        <f t="shared" si="5"/>
        <v>unadjusted</v>
      </c>
      <c r="I83" s="34">
        <f t="shared" si="6"/>
        <v>0</v>
      </c>
      <c r="J83" s="12">
        <f t="shared" si="7"/>
        <v>10</v>
      </c>
      <c r="K83" s="30">
        <f>IF(OR('GNI per capita'!AJ82="",'GNI per capita'!AK82=""),"",'GNI per capita'!AK82/'GNI per capita'!AJ82-1)</f>
        <v>7.9622132253711175E-2</v>
      </c>
      <c r="L83" s="30">
        <f>IF(OR('GNI per capita'!AK82="",'GNI per capita'!AL82=""),"",'GNI per capita'!AL82/'GNI per capita'!AK82-1)</f>
        <v>5.0000000000000044E-2</v>
      </c>
      <c r="M83" s="30">
        <f>IF(OR('GNI per capita'!AL82="",'GNI per capita'!AM82=""),"",'GNI per capita'!AM82/'GNI per capita'!AL82-1)</f>
        <v>9.7619047619047716E-2</v>
      </c>
      <c r="N83" s="30">
        <f>IF(OR('GNI per capita'!AM82="",'GNI per capita'!AN82=""),"",'GNI per capita'!AN82/'GNI per capita'!AM82-1)</f>
        <v>1.952277657266821E-2</v>
      </c>
      <c r="O83" s="30">
        <f>IF(OR('GNI per capita'!AN82="",'GNI per capita'!AO82=""),"",'GNI per capita'!AO82/'GNI per capita'!AN82-1)</f>
        <v>-0.10744680851063826</v>
      </c>
      <c r="P83" s="30">
        <f>IF(OR('GNI per capita'!AO82="",'GNI per capita'!AP82=""),"",'GNI per capita'!AP82/'GNI per capita'!AO82-1)</f>
        <v>5.9594755661501742E-2</v>
      </c>
      <c r="Q83" s="30">
        <f>IF(OR('GNI per capita'!AP82="",'GNI per capita'!AQ82=""),"",'GNI per capita'!AQ82/'GNI per capita'!AP82-1)</f>
        <v>0.12260967379077625</v>
      </c>
      <c r="R83" s="30">
        <f>IF(OR('GNI per capita'!AQ82="",'GNI per capita'!AR82=""),"",'GNI per capita'!AR82/'GNI per capita'!AQ82-1)</f>
        <v>1.2024048096192397E-2</v>
      </c>
      <c r="S83" s="30">
        <f>IF(OR('GNI per capita'!AR82="",'GNI per capita'!AS82=""),"",'GNI per capita'!AS82/'GNI per capita'!AR82-1)</f>
        <v>6.8316831683168378E-2</v>
      </c>
      <c r="T83" s="30">
        <f>IF(OR('GNI per capita'!AS82="",'GNI per capita'!AT82=""),"",'GNI per capita'!AT82/'GNI per capita'!AS82-1)</f>
        <v>8.0630213160333586E-2</v>
      </c>
      <c r="U83" s="2" t="s">
        <v>162</v>
      </c>
    </row>
    <row r="84" spans="1:21" x14ac:dyDescent="0.2">
      <c r="A84" s="2" t="s">
        <v>372</v>
      </c>
      <c r="B84" s="2" t="s">
        <v>373</v>
      </c>
      <c r="C84" s="11" t="s">
        <v>79</v>
      </c>
      <c r="D84" s="30" t="str">
        <f t="shared" si="4"/>
        <v/>
      </c>
      <c r="E84" s="31">
        <f>Assumptions!$C$5</f>
        <v>1.244E-2</v>
      </c>
      <c r="F84" s="32">
        <f>IF($C84="L",Assumptions!$C$8,IF($C84="LM",Assumptions!$C$9,IF($C84="UM",Assumptions!$C$10,Assumptions!$C$11)))</f>
        <v>7.1689000000000003E-2</v>
      </c>
      <c r="G84" s="33" t="str">
        <f>IF(J84&lt;Assumptions!$C$13,"",MIN(MAX(D84,E84),F84))</f>
        <v/>
      </c>
      <c r="H84" s="12" t="str">
        <f t="shared" si="5"/>
        <v>frozen</v>
      </c>
      <c r="I84" s="34" t="str">
        <f t="shared" si="6"/>
        <v/>
      </c>
      <c r="J84" s="12">
        <f t="shared" si="7"/>
        <v>0</v>
      </c>
      <c r="K84" s="30" t="str">
        <f>IF(OR('GNI per capita'!AJ83="",'GNI per capita'!AK83=""),"",'GNI per capita'!AK83/'GNI per capita'!AJ83-1)</f>
        <v/>
      </c>
      <c r="L84" s="30" t="str">
        <f>IF(OR('GNI per capita'!AK83="",'GNI per capita'!AL83=""),"",'GNI per capita'!AL83/'GNI per capita'!AK83-1)</f>
        <v/>
      </c>
      <c r="M84" s="30" t="str">
        <f>IF(OR('GNI per capita'!AL83="",'GNI per capita'!AM83=""),"",'GNI per capita'!AM83/'GNI per capita'!AL83-1)</f>
        <v/>
      </c>
      <c r="N84" s="30" t="str">
        <f>IF(OR('GNI per capita'!AM83="",'GNI per capita'!AN83=""),"",'GNI per capita'!AN83/'GNI per capita'!AM83-1)</f>
        <v/>
      </c>
      <c r="O84" s="30" t="str">
        <f>IF(OR('GNI per capita'!AN83="",'GNI per capita'!AO83=""),"",'GNI per capita'!AO83/'GNI per capita'!AN83-1)</f>
        <v/>
      </c>
      <c r="P84" s="30" t="str">
        <f>IF(OR('GNI per capita'!AO83="",'GNI per capita'!AP83=""),"",'GNI per capita'!AP83/'GNI per capita'!AO83-1)</f>
        <v/>
      </c>
      <c r="Q84" s="30" t="str">
        <f>IF(OR('GNI per capita'!AP83="",'GNI per capita'!AQ83=""),"",'GNI per capita'!AQ83/'GNI per capita'!AP83-1)</f>
        <v/>
      </c>
      <c r="R84" s="30" t="str">
        <f>IF(OR('GNI per capita'!AQ83="",'GNI per capita'!AR83=""),"",'GNI per capita'!AR83/'GNI per capita'!AQ83-1)</f>
        <v/>
      </c>
      <c r="S84" s="30" t="str">
        <f>IF(OR('GNI per capita'!AR83="",'GNI per capita'!AS83=""),"",'GNI per capita'!AS83/'GNI per capita'!AR83-1)</f>
        <v/>
      </c>
      <c r="T84" s="30" t="str">
        <f>IF(OR('GNI per capita'!AS83="",'GNI per capita'!AT83=""),"",'GNI per capita'!AT83/'GNI per capita'!AS83-1)</f>
        <v/>
      </c>
      <c r="U84" s="28" t="s">
        <v>204</v>
      </c>
    </row>
    <row r="85" spans="1:21" x14ac:dyDescent="0.2">
      <c r="A85" s="2" t="s">
        <v>374</v>
      </c>
      <c r="B85" s="2" t="s">
        <v>375</v>
      </c>
      <c r="C85" s="11" t="s">
        <v>82</v>
      </c>
      <c r="D85" s="30">
        <f t="shared" si="4"/>
        <v>5.7591699404877739E-2</v>
      </c>
      <c r="E85" s="31">
        <f>Assumptions!$C$5</f>
        <v>1.244E-2</v>
      </c>
      <c r="F85" s="32">
        <f>IF($C85="L",Assumptions!$C$8,IF($C85="LM",Assumptions!$C$9,IF($C85="UM",Assumptions!$C$10,Assumptions!$C$11)))</f>
        <v>9.0712000000000001E-2</v>
      </c>
      <c r="G85" s="33">
        <f>IF(J85&lt;Assumptions!$C$13,"",MIN(MAX(D85,E85),F85))</f>
        <v>5.7591699404877739E-2</v>
      </c>
      <c r="H85" s="12" t="str">
        <f t="shared" si="5"/>
        <v>unadjusted</v>
      </c>
      <c r="I85" s="34">
        <f t="shared" si="6"/>
        <v>0</v>
      </c>
      <c r="J85" s="12">
        <f t="shared" si="7"/>
        <v>10</v>
      </c>
      <c r="K85" s="30">
        <f>IF(OR('GNI per capita'!AJ84="",'GNI per capita'!AK84=""),"",'GNI per capita'!AK84/'GNI per capita'!AJ84-1)</f>
        <v>4.1551246537396169E-2</v>
      </c>
      <c r="L85" s="30">
        <f>IF(OR('GNI per capita'!AK84="",'GNI per capita'!AL84=""),"",'GNI per capita'!AL84/'GNI per capita'!AK84-1)</f>
        <v>5.8510638297872397E-2</v>
      </c>
      <c r="M85" s="30">
        <f>IF(OR('GNI per capita'!AL84="",'GNI per capita'!AM84=""),"",'GNI per capita'!AM84/'GNI per capita'!AL84-1)</f>
        <v>7.2864321608040239E-2</v>
      </c>
      <c r="N85" s="30">
        <f>IF(OR('GNI per capita'!AM84="",'GNI per capita'!AN84=""),"",'GNI per capita'!AN84/'GNI per capita'!AM84-1)</f>
        <v>5.1522248243559776E-2</v>
      </c>
      <c r="O85" s="30">
        <f>IF(OR('GNI per capita'!AN84="",'GNI per capita'!AO84=""),"",'GNI per capita'!AO84/'GNI per capita'!AN84-1)</f>
        <v>-2.8953229398663738E-2</v>
      </c>
      <c r="P85" s="30">
        <f>IF(OR('GNI per capita'!AO84="",'GNI per capita'!AP84=""),"",'GNI per capita'!AP84/'GNI per capita'!AO84-1)</f>
        <v>0.10091743119266061</v>
      </c>
      <c r="Q85" s="30">
        <f>IF(OR('GNI per capita'!AP84="",'GNI per capita'!AQ84=""),"",'GNI per capita'!AQ84/'GNI per capita'!AP84-1)</f>
        <v>8.7499999999999911E-2</v>
      </c>
      <c r="R85" s="30">
        <f>IF(OR('GNI per capita'!AQ84="",'GNI per capita'!AR84=""),"",'GNI per capita'!AR84/'GNI per capita'!AQ84-1)</f>
        <v>4.789272030651337E-2</v>
      </c>
      <c r="S85" s="30">
        <f>IF(OR('GNI per capita'!AR84="",'GNI per capita'!AS84=""),"",'GNI per capita'!AS84/'GNI per capita'!AR84-1)</f>
        <v>5.667276051188308E-2</v>
      </c>
      <c r="T85" s="30">
        <f>IF(OR('GNI per capita'!AS84="",'GNI per capita'!AT84=""),"",'GNI per capita'!AT84/'GNI per capita'!AS84-1)</f>
        <v>0.10034602076124566</v>
      </c>
      <c r="U85" s="2" t="s">
        <v>162</v>
      </c>
    </row>
    <row r="86" spans="1:21" x14ac:dyDescent="0.2">
      <c r="A86" s="2" t="s">
        <v>376</v>
      </c>
      <c r="B86" s="2" t="s">
        <v>377</v>
      </c>
      <c r="C86" s="11" t="s">
        <v>210</v>
      </c>
      <c r="D86" s="30">
        <f t="shared" si="4"/>
        <v>7.481343283582087E-2</v>
      </c>
      <c r="E86" s="31">
        <f>Assumptions!$C$5</f>
        <v>1.244E-2</v>
      </c>
      <c r="F86" s="32">
        <f>IF($C86="L",Assumptions!$C$8,IF($C86="LM",Assumptions!$C$9,IF($C86="UM",Assumptions!$C$10,Assumptions!$C$11)))</f>
        <v>7.4680999999999997E-2</v>
      </c>
      <c r="G86" s="33">
        <f>IF(J86&lt;Assumptions!$C$13,"",MIN(MAX(D86,E86),F86))</f>
        <v>7.4680999999999997E-2</v>
      </c>
      <c r="H86" s="12" t="str">
        <f t="shared" si="5"/>
        <v>cut by cap</v>
      </c>
      <c r="I86" s="34">
        <f t="shared" si="6"/>
        <v>-1.3243283582087262E-4</v>
      </c>
      <c r="J86" s="12">
        <f t="shared" si="7"/>
        <v>10</v>
      </c>
      <c r="K86" s="30">
        <f>IF(OR('GNI per capita'!AJ85="",'GNI per capita'!AK85=""),"",'GNI per capita'!AK85/'GNI per capita'!AJ85-1)</f>
        <v>2.7027027027026973E-2</v>
      </c>
      <c r="L86" s="30">
        <f>IF(OR('GNI per capita'!AK85="",'GNI per capita'!AL85=""),"",'GNI per capita'!AL85/'GNI per capita'!AK85-1)</f>
        <v>5.2631578947368363E-2</v>
      </c>
      <c r="M86" s="30">
        <f>IF(OR('GNI per capita'!AL85="",'GNI per capita'!AM85=""),"",'GNI per capita'!AM85/'GNI per capita'!AL85-1)</f>
        <v>7.4999999999999956E-2</v>
      </c>
      <c r="N86" s="30">
        <f>IF(OR('GNI per capita'!AM85="",'GNI per capita'!AN85=""),"",'GNI per capita'!AN85/'GNI per capita'!AM85-1)</f>
        <v>0.12790697674418605</v>
      </c>
      <c r="O86" s="30">
        <f>IF(OR('GNI per capita'!AN85="",'GNI per capita'!AO85=""),"",'GNI per capita'!AO85/'GNI per capita'!AN85-1)</f>
        <v>6.1855670103092786E-2</v>
      </c>
      <c r="P86" s="30">
        <f>IF(OR('GNI per capita'!AO85="",'GNI per capita'!AP85=""),"",'GNI per capita'!AP85/'GNI per capita'!AO85-1)</f>
        <v>8.737864077669899E-2</v>
      </c>
      <c r="Q86" s="30">
        <f>IF(OR('GNI per capita'!AP85="",'GNI per capita'!AQ85=""),"",'GNI per capita'!AQ85/'GNI per capita'!AP85-1)</f>
        <v>0.14285714285714279</v>
      </c>
      <c r="R86" s="30">
        <f>IF(OR('GNI per capita'!AQ85="",'GNI per capita'!AR85=""),"",'GNI per capita'!AR85/'GNI per capita'!AQ85-1)</f>
        <v>4.6875E-2</v>
      </c>
      <c r="S86" s="30">
        <f>IF(OR('GNI per capita'!AR85="",'GNI per capita'!AS85=""),"",'GNI per capita'!AS85/'GNI per capita'!AR85-1)</f>
        <v>7.4626865671641784E-2</v>
      </c>
      <c r="T86" s="30">
        <f>IF(OR('GNI per capita'!AS85="",'GNI per capita'!AT85=""),"",'GNI per capita'!AT85/'GNI per capita'!AS85-1)</f>
        <v>0.20138888888888884</v>
      </c>
      <c r="U86" s="28" t="s">
        <v>378</v>
      </c>
    </row>
    <row r="87" spans="1:21" x14ac:dyDescent="0.2">
      <c r="A87" s="2" t="s">
        <v>379</v>
      </c>
      <c r="B87" s="2" t="s">
        <v>380</v>
      </c>
      <c r="C87" s="11" t="s">
        <v>75</v>
      </c>
      <c r="D87" s="30">
        <f t="shared" si="4"/>
        <v>5.5641541557034491E-2</v>
      </c>
      <c r="E87" s="31">
        <f>Assumptions!$C$5</f>
        <v>1.244E-2</v>
      </c>
      <c r="F87" s="32">
        <f>IF($C87="L",Assumptions!$C$8,IF($C87="LM",Assumptions!$C$9,IF($C87="UM",Assumptions!$C$10,Assumptions!$C$11)))</f>
        <v>5.5947999999999998E-2</v>
      </c>
      <c r="G87" s="33">
        <f>IF(J87&lt;Assumptions!$C$13,"",MIN(MAX(D87,E87),F87))</f>
        <v>5.5641541557034491E-2</v>
      </c>
      <c r="H87" s="12" t="str">
        <f t="shared" si="5"/>
        <v>unadjusted</v>
      </c>
      <c r="I87" s="34">
        <f t="shared" si="6"/>
        <v>0</v>
      </c>
      <c r="J87" s="12">
        <f t="shared" si="7"/>
        <v>10</v>
      </c>
      <c r="K87" s="30">
        <f>IF(OR('GNI per capita'!AJ86="",'GNI per capita'!AK86=""),"",'GNI per capita'!AK86/'GNI per capita'!AJ86-1)</f>
        <v>0</v>
      </c>
      <c r="L87" s="30">
        <f>IF(OR('GNI per capita'!AK86="",'GNI per capita'!AL86=""),"",'GNI per capita'!AL86/'GNI per capita'!AK86-1)</f>
        <v>5.9701492537313383E-2</v>
      </c>
      <c r="M87" s="30">
        <f>IF(OR('GNI per capita'!AL86="",'GNI per capita'!AM86=""),"",'GNI per capita'!AM86/'GNI per capita'!AL86-1)</f>
        <v>5.6338028169014009E-2</v>
      </c>
      <c r="N87" s="30">
        <f>IF(OR('GNI per capita'!AM86="",'GNI per capita'!AN86=""),"",'GNI per capita'!AN86/'GNI per capita'!AM86-1)</f>
        <v>0.1333333333333333</v>
      </c>
      <c r="O87" s="30">
        <f>IF(OR('GNI per capita'!AN86="",'GNI per capita'!AO86=""),"",'GNI per capita'!AO86/'GNI per capita'!AN86-1)</f>
        <v>1.1764705882352899E-2</v>
      </c>
      <c r="P87" s="30">
        <f>IF(OR('GNI per capita'!AO86="",'GNI per capita'!AP86=""),"",'GNI per capita'!AP86/'GNI per capita'!AO86-1)</f>
        <v>5.8139534883721034E-2</v>
      </c>
      <c r="Q87" s="30">
        <f>IF(OR('GNI per capita'!AP86="",'GNI per capita'!AQ86=""),"",'GNI per capita'!AQ86/'GNI per capita'!AP86-1)</f>
        <v>5.4945054945054972E-2</v>
      </c>
      <c r="R87" s="30">
        <f>IF(OR('GNI per capita'!AQ86="",'GNI per capita'!AR86=""),"",'GNI per capita'!AR86/'GNI per capita'!AQ86-1)</f>
        <v>1.0416666666666741E-2</v>
      </c>
      <c r="S87" s="30">
        <f>IF(OR('GNI per capita'!AR86="",'GNI per capita'!AS86=""),"",'GNI per capita'!AS86/'GNI per capita'!AR86-1)</f>
        <v>1.0309278350515427E-2</v>
      </c>
      <c r="T87" s="30">
        <f>IF(OR('GNI per capita'!AS86="",'GNI per capita'!AT86=""),"",'GNI per capita'!AT86/'GNI per capita'!AS86-1)</f>
        <v>0.11224489795918369</v>
      </c>
      <c r="U87" s="2" t="s">
        <v>162</v>
      </c>
    </row>
    <row r="88" spans="1:21" x14ac:dyDescent="0.2">
      <c r="A88" s="2" t="s">
        <v>381</v>
      </c>
      <c r="B88" s="2" t="s">
        <v>382</v>
      </c>
      <c r="C88" s="11" t="s">
        <v>79</v>
      </c>
      <c r="D88" s="30">
        <f t="shared" si="4"/>
        <v>6.2377450980392157E-2</v>
      </c>
      <c r="E88" s="31">
        <f>Assumptions!$C$5</f>
        <v>1.244E-2</v>
      </c>
      <c r="F88" s="32">
        <f>IF($C88="L",Assumptions!$C$8,IF($C88="LM",Assumptions!$C$9,IF($C88="UM",Assumptions!$C$10,Assumptions!$C$11)))</f>
        <v>7.1689000000000003E-2</v>
      </c>
      <c r="G88" s="33">
        <f>IF(J88&lt;Assumptions!$C$13,"",MIN(MAX(D88,E88),F88))</f>
        <v>6.2377450980392157E-2</v>
      </c>
      <c r="H88" s="12" t="str">
        <f t="shared" si="5"/>
        <v>unadjusted</v>
      </c>
      <c r="I88" s="34">
        <f t="shared" si="6"/>
        <v>0</v>
      </c>
      <c r="J88" s="12">
        <f t="shared" si="7"/>
        <v>10</v>
      </c>
      <c r="K88" s="30">
        <f>IF(OR('GNI per capita'!AJ87="",'GNI per capita'!AK87=""),"",'GNI per capita'!AK87/'GNI per capita'!AJ87-1)</f>
        <v>1.4466546112115841E-2</v>
      </c>
      <c r="L88" s="30">
        <f>IF(OR('GNI per capita'!AK87="",'GNI per capita'!AL87=""),"",'GNI per capita'!AL87/'GNI per capita'!AK87-1)</f>
        <v>4.6345811051693442E-2</v>
      </c>
      <c r="M88" s="30">
        <f>IF(OR('GNI per capita'!AL87="",'GNI per capita'!AM87=""),"",'GNI per capita'!AM87/'GNI per capita'!AL87-1)</f>
        <v>3.918228279386704E-2</v>
      </c>
      <c r="N88" s="30">
        <f>IF(OR('GNI per capita'!AM87="",'GNI per capita'!AN87=""),"",'GNI per capita'!AN87/'GNI per capita'!AM87-1)</f>
        <v>4.590163934426239E-2</v>
      </c>
      <c r="O88" s="30">
        <f>IF(OR('GNI per capita'!AN87="",'GNI per capita'!AO87=""),"",'GNI per capita'!AO87/'GNI per capita'!AN87-1)</f>
        <v>0.26802507836990586</v>
      </c>
      <c r="P88" s="30">
        <f>IF(OR('GNI per capita'!AO87="",'GNI per capita'!AP87=""),"",'GNI per capita'!AP87/'GNI per capita'!AO87-1)</f>
        <v>-3.4610630407911014E-2</v>
      </c>
      <c r="Q88" s="30">
        <f>IF(OR('GNI per capita'!AP87="",'GNI per capita'!AQ87=""),"",'GNI per capita'!AQ87/'GNI per capita'!AP87-1)</f>
        <v>0.87964148527528807</v>
      </c>
      <c r="R88" s="30">
        <f>IF(OR('GNI per capita'!AQ87="",'GNI per capita'!AR87=""),"",'GNI per capita'!AR87/'GNI per capita'!AQ87-1)</f>
        <v>0.21049046321525888</v>
      </c>
      <c r="S88" s="30">
        <f>IF(OR('GNI per capita'!AR87="",'GNI per capita'!AS87=""),"",'GNI per capita'!AS87/'GNI per capita'!AR87-1)</f>
        <v>0.48564997186268988</v>
      </c>
      <c r="T88" s="30">
        <f>IF(OR('GNI per capita'!AS87="",'GNI per capita'!AT87=""),"",'GNI per capita'!AT87/'GNI per capita'!AS87-1)</f>
        <v>7.8409090909090873E-2</v>
      </c>
      <c r="U88" s="2" t="s">
        <v>162</v>
      </c>
    </row>
    <row r="89" spans="1:21" x14ac:dyDescent="0.2">
      <c r="A89" s="2" t="s">
        <v>383</v>
      </c>
      <c r="B89" s="2" t="s">
        <v>384</v>
      </c>
      <c r="C89" s="11" t="s">
        <v>210</v>
      </c>
      <c r="D89" s="30">
        <f t="shared" si="4"/>
        <v>1.9024247000587247E-2</v>
      </c>
      <c r="E89" s="31">
        <f>Assumptions!$C$5</f>
        <v>1.244E-2</v>
      </c>
      <c r="F89" s="32">
        <f>IF($C89="L",Assumptions!$C$8,IF($C89="LM",Assumptions!$C$9,IF($C89="UM",Assumptions!$C$10,Assumptions!$C$11)))</f>
        <v>7.4680999999999997E-2</v>
      </c>
      <c r="G89" s="33">
        <f>IF(J89&lt;Assumptions!$C$13,"",MIN(MAX(D89,E89),F89))</f>
        <v>1.9024247000587247E-2</v>
      </c>
      <c r="H89" s="12" t="str">
        <f t="shared" si="5"/>
        <v>unadjusted</v>
      </c>
      <c r="I89" s="34">
        <f t="shared" si="6"/>
        <v>0</v>
      </c>
      <c r="J89" s="12">
        <f t="shared" si="7"/>
        <v>10</v>
      </c>
      <c r="K89" s="30">
        <f>IF(OR('GNI per capita'!AJ88="",'GNI per capita'!AK88=""),"",'GNI per capita'!AK88/'GNI per capita'!AJ88-1)</f>
        <v>-3.4965034965035002E-2</v>
      </c>
      <c r="L89" s="30">
        <f>IF(OR('GNI per capita'!AK88="",'GNI per capita'!AL88=""),"",'GNI per capita'!AL88/'GNI per capita'!AK88-1)</f>
        <v>-7.2463768115942351E-3</v>
      </c>
      <c r="M89" s="30">
        <f>IF(OR('GNI per capita'!AL88="",'GNI per capita'!AM88=""),"",'GNI per capita'!AM88/'GNI per capita'!AL88-1)</f>
        <v>4.3795620437956151E-2</v>
      </c>
      <c r="N89" s="30">
        <f>IF(OR('GNI per capita'!AM88="",'GNI per capita'!AN88=""),"",'GNI per capita'!AN88/'GNI per capita'!AM88-1)</f>
        <v>-1.3986013986013957E-2</v>
      </c>
      <c r="O89" s="30">
        <f>IF(OR('GNI per capita'!AN88="",'GNI per capita'!AO88=""),"",'GNI per capita'!AO88/'GNI per capita'!AN88-1)</f>
        <v>-4.9645390070921946E-2</v>
      </c>
      <c r="P89" s="30">
        <f>IF(OR('GNI per capita'!AO88="",'GNI per capita'!AP88=""),"",'GNI per capita'!AP88/'GNI per capita'!AO88-1)</f>
        <v>8.2089552238805874E-2</v>
      </c>
      <c r="Q89" s="30">
        <f>IF(OR('GNI per capita'!AP88="",'GNI per capita'!AQ88=""),"",'GNI per capita'!AQ88/'GNI per capita'!AP88-1)</f>
        <v>0.1103448275862069</v>
      </c>
      <c r="R89" s="30">
        <f>IF(OR('GNI per capita'!AQ88="",'GNI per capita'!AR88=""),"",'GNI per capita'!AR88/'GNI per capita'!AQ88-1)</f>
        <v>8.0745341614906874E-2</v>
      </c>
      <c r="S89" s="30">
        <f>IF(OR('GNI per capita'!AR88="",'GNI per capita'!AS88=""),"",'GNI per capita'!AS88/'GNI per capita'!AR88-1)</f>
        <v>-5.7471264367816577E-3</v>
      </c>
      <c r="T89" s="30">
        <f>IF(OR('GNI per capita'!AS88="",'GNI per capita'!AT88=""),"",'GNI per capita'!AT88/'GNI per capita'!AS88-1)</f>
        <v>0.16184971098265888</v>
      </c>
      <c r="U89" s="2" t="s">
        <v>162</v>
      </c>
    </row>
    <row r="90" spans="1:21" x14ac:dyDescent="0.2">
      <c r="A90" s="2" t="s">
        <v>385</v>
      </c>
      <c r="B90" s="2" t="s">
        <v>386</v>
      </c>
      <c r="C90" s="11" t="s">
        <v>210</v>
      </c>
      <c r="D90" s="30">
        <f t="shared" si="4"/>
        <v>5.4840538152476581E-2</v>
      </c>
      <c r="E90" s="31">
        <f>Assumptions!$C$5</f>
        <v>1.244E-2</v>
      </c>
      <c r="F90" s="32">
        <f>IF($C90="L",Assumptions!$C$8,IF($C90="LM",Assumptions!$C$9,IF($C90="UM",Assumptions!$C$10,Assumptions!$C$11)))</f>
        <v>7.4680999999999997E-2</v>
      </c>
      <c r="G90" s="33">
        <f>IF(J90&lt;Assumptions!$C$13,"",MIN(MAX(D90,E90),F90))</f>
        <v>5.4840538152476581E-2</v>
      </c>
      <c r="H90" s="12" t="str">
        <f t="shared" si="5"/>
        <v>unadjusted</v>
      </c>
      <c r="I90" s="34">
        <f t="shared" si="6"/>
        <v>0</v>
      </c>
      <c r="J90" s="12">
        <f t="shared" si="7"/>
        <v>10</v>
      </c>
      <c r="K90" s="30">
        <f>IF(OR('GNI per capita'!AJ89="",'GNI per capita'!AK89=""),"",'GNI per capita'!AK89/'GNI per capita'!AJ89-1)</f>
        <v>2.9556650246305383E-2</v>
      </c>
      <c r="L90" s="30">
        <f>IF(OR('GNI per capita'!AK89="",'GNI per capita'!AL89=""),"",'GNI per capita'!AL89/'GNI per capita'!AK89-1)</f>
        <v>5.741626794258381E-2</v>
      </c>
      <c r="M90" s="30">
        <f>IF(OR('GNI per capita'!AL89="",'GNI per capita'!AM89=""),"",'GNI per capita'!AM89/'GNI per capita'!AL89-1)</f>
        <v>3.167420814479649E-2</v>
      </c>
      <c r="N90" s="30">
        <f>IF(OR('GNI per capita'!AM89="",'GNI per capita'!AN89=""),"",'GNI per capita'!AN89/'GNI per capita'!AM89-1)</f>
        <v>2.1929824561403466E-2</v>
      </c>
      <c r="O90" s="30">
        <f>IF(OR('GNI per capita'!AN89="",'GNI per capita'!AO89=""),"",'GNI per capita'!AO89/'GNI per capita'!AN89-1)</f>
        <v>-9.0128755364806912E-2</v>
      </c>
      <c r="P90" s="30">
        <f>IF(OR('GNI per capita'!AO89="",'GNI per capita'!AP89=""),"",'GNI per capita'!AP89/'GNI per capita'!AO89-1)</f>
        <v>0.15094339622641506</v>
      </c>
      <c r="Q90" s="30">
        <f>IF(OR('GNI per capita'!AP89="",'GNI per capita'!AQ89=""),"",'GNI per capita'!AQ89/'GNI per capita'!AP89-1)</f>
        <v>0.10655737704918034</v>
      </c>
      <c r="R90" s="30">
        <f>IF(OR('GNI per capita'!AQ89="",'GNI per capita'!AR89=""),"",'GNI per capita'!AR89/'GNI per capita'!AQ89-1)</f>
        <v>6.2962962962962887E-2</v>
      </c>
      <c r="S90" s="30">
        <f>IF(OR('GNI per capita'!AR89="",'GNI per capita'!AS89=""),"",'GNI per capita'!AS89/'GNI per capita'!AR89-1)</f>
        <v>5.2264808362369353E-2</v>
      </c>
      <c r="T90" s="30">
        <f>IF(OR('GNI per capita'!AS89="",'GNI per capita'!AT89=""),"",'GNI per capita'!AT89/'GNI per capita'!AS89-1)</f>
        <v>8.2781456953642474E-2</v>
      </c>
      <c r="U90" s="2" t="s">
        <v>162</v>
      </c>
    </row>
    <row r="91" spans="1:21" x14ac:dyDescent="0.2">
      <c r="A91" s="2" t="s">
        <v>387</v>
      </c>
      <c r="B91" s="2" t="s">
        <v>388</v>
      </c>
      <c r="C91" s="11" t="s">
        <v>79</v>
      </c>
      <c r="D91" s="30">
        <f t="shared" si="4"/>
        <v>4.487946829686984E-2</v>
      </c>
      <c r="E91" s="31">
        <f>Assumptions!$C$5</f>
        <v>1.244E-2</v>
      </c>
      <c r="F91" s="32">
        <f>IF($C91="L",Assumptions!$C$8,IF($C91="LM",Assumptions!$C$9,IF($C91="UM",Assumptions!$C$10,Assumptions!$C$11)))</f>
        <v>7.1689000000000003E-2</v>
      </c>
      <c r="G91" s="33">
        <f>IF(J91&lt;Assumptions!$C$13,"",MIN(MAX(D91,E91),F91))</f>
        <v>4.487946829686984E-2</v>
      </c>
      <c r="H91" s="12" t="str">
        <f t="shared" si="5"/>
        <v>unadjusted</v>
      </c>
      <c r="I91" s="34">
        <f t="shared" si="6"/>
        <v>0</v>
      </c>
      <c r="J91" s="12">
        <f t="shared" si="7"/>
        <v>10</v>
      </c>
      <c r="K91" s="30">
        <f>IF(OR('GNI per capita'!AJ90="",'GNI per capita'!AK90=""),"",'GNI per capita'!AK90/'GNI per capita'!AJ90-1)</f>
        <v>4.3467702768334116E-2</v>
      </c>
      <c r="L91" s="30">
        <f>IF(OR('GNI per capita'!AK90="",'GNI per capita'!AL90=""),"",'GNI per capita'!AL90/'GNI per capita'!AK90-1)</f>
        <v>7.9357691412613507E-2</v>
      </c>
      <c r="M91" s="30">
        <f>IF(OR('GNI per capita'!AL90="",'GNI per capita'!AM90=""),"",'GNI per capita'!AM90/'GNI per capita'!AL90-1)</f>
        <v>7.9128934885726698E-2</v>
      </c>
      <c r="N91" s="30">
        <f>IF(OR('GNI per capita'!AM90="",'GNI per capita'!AN90=""),"",'GNI per capita'!AN90/'GNI per capita'!AM90-1)</f>
        <v>8.5914085914085003E-3</v>
      </c>
      <c r="O91" s="30">
        <f>IF(OR('GNI per capita'!AN90="",'GNI per capita'!AO90=""),"",'GNI per capita'!AO90/'GNI per capita'!AN90-1)</f>
        <v>-3.8232963549920784E-2</v>
      </c>
      <c r="P91" s="30">
        <f>IF(OR('GNI per capita'!AO90="",'GNI per capita'!AP90=""),"",'GNI per capita'!AP90/'GNI per capita'!AO90-1)</f>
        <v>0.1200823892893923</v>
      </c>
      <c r="Q91" s="30">
        <f>IF(OR('GNI per capita'!AP90="",'GNI per capita'!AQ90=""),"",'GNI per capita'!AQ90/'GNI per capita'!AP90-1)</f>
        <v>-6.9878631849944473E-3</v>
      </c>
      <c r="R91" s="30">
        <f>IF(OR('GNI per capita'!AQ90="",'GNI per capita'!AR90=""),"",'GNI per capita'!AR90/'GNI per capita'!AQ90-1)</f>
        <v>1.6111111111111187E-2</v>
      </c>
      <c r="S91" s="30">
        <f>IF(OR('GNI per capita'!AR90="",'GNI per capita'!AS90=""),"",'GNI per capita'!AS90/'GNI per capita'!AR90-1)</f>
        <v>4.6291233825405564E-2</v>
      </c>
      <c r="T91" s="30">
        <f>IF(OR('GNI per capita'!AS90="",'GNI per capita'!AT90=""),"",'GNI per capita'!AT90/'GNI per capita'!AS90-1)</f>
        <v>8.8660512105904976E-2</v>
      </c>
      <c r="U91" s="2" t="s">
        <v>162</v>
      </c>
    </row>
    <row r="92" spans="1:21" x14ac:dyDescent="0.2">
      <c r="A92" s="2" t="s">
        <v>389</v>
      </c>
      <c r="B92" s="2" t="s">
        <v>390</v>
      </c>
      <c r="C92" s="11" t="s">
        <v>79</v>
      </c>
      <c r="D92" s="30">
        <f t="shared" si="4"/>
        <v>5.5989796379926293E-2</v>
      </c>
      <c r="E92" s="31">
        <f>Assumptions!$C$5</f>
        <v>1.244E-2</v>
      </c>
      <c r="F92" s="32">
        <f>IF($C92="L",Assumptions!$C$8,IF($C92="LM",Assumptions!$C$9,IF($C92="UM",Assumptions!$C$10,Assumptions!$C$11)))</f>
        <v>7.1689000000000003E-2</v>
      </c>
      <c r="G92" s="33">
        <f>IF(J92&lt;Assumptions!$C$13,"",MIN(MAX(D92,E92),F92))</f>
        <v>5.5989796379926293E-2</v>
      </c>
      <c r="H92" s="12" t="str">
        <f t="shared" si="5"/>
        <v>unadjusted</v>
      </c>
      <c r="I92" s="34">
        <f t="shared" si="6"/>
        <v>0</v>
      </c>
      <c r="J92" s="12">
        <f t="shared" si="7"/>
        <v>10</v>
      </c>
      <c r="K92" s="30">
        <f>IF(OR('GNI per capita'!AJ91="",'GNI per capita'!AK91=""),"",'GNI per capita'!AK91/'GNI per capita'!AJ91-1)</f>
        <v>-6.0105184072126727E-3</v>
      </c>
      <c r="L92" s="30">
        <f>IF(OR('GNI per capita'!AK91="",'GNI per capita'!AL91=""),"",'GNI per capita'!AL91/'GNI per capita'!AK91-1)</f>
        <v>6.046863189720364E-3</v>
      </c>
      <c r="M92" s="30">
        <f>IF(OR('GNI per capita'!AL91="",'GNI per capita'!AM91=""),"",'GNI per capita'!AM91/'GNI per capita'!AL91-1)</f>
        <v>0.14049586776859502</v>
      </c>
      <c r="N92" s="30">
        <f>IF(OR('GNI per capita'!AM91="",'GNI per capita'!AN91=""),"",'GNI per capita'!AN91/'GNI per capita'!AM91-1)</f>
        <v>0.10935441370223975</v>
      </c>
      <c r="O92" s="30">
        <f>IF(OR('GNI per capita'!AN91="",'GNI per capita'!AO91=""),"",'GNI per capita'!AO91/'GNI per capita'!AN91-1)</f>
        <v>-3.0285035629453727E-2</v>
      </c>
      <c r="P92" s="30">
        <f>IF(OR('GNI per capita'!AO91="",'GNI per capita'!AP91=""),"",'GNI per capita'!AP91/'GNI per capita'!AO91-1)</f>
        <v>0.10655235762400483</v>
      </c>
      <c r="Q92" s="30">
        <f>IF(OR('GNI per capita'!AP91="",'GNI per capita'!AQ91=""),"",'GNI per capita'!AQ91/'GNI per capita'!AP91-1)</f>
        <v>6.2534587714443868E-2</v>
      </c>
      <c r="R92" s="30">
        <f>IF(OR('GNI per capita'!AQ91="",'GNI per capita'!AR91=""),"",'GNI per capita'!AR91/'GNI per capita'!AQ91-1)</f>
        <v>3.2291666666666607E-2</v>
      </c>
      <c r="S92" s="30">
        <f>IF(OR('GNI per capita'!AR91="",'GNI per capita'!AS91=""),"",'GNI per capita'!AS91/'GNI per capita'!AR91-1)</f>
        <v>4.9445005045408719E-2</v>
      </c>
      <c r="T92" s="30">
        <f>IF(OR('GNI per capita'!AS91="",'GNI per capita'!AT91=""),"",'GNI per capita'!AT91/'GNI per capita'!AS91-1)</f>
        <v>0.14663461538461542</v>
      </c>
      <c r="U92" s="2" t="s">
        <v>162</v>
      </c>
    </row>
    <row r="93" spans="1:21" x14ac:dyDescent="0.2">
      <c r="A93" s="2" t="s">
        <v>391</v>
      </c>
      <c r="B93" s="2" t="s">
        <v>392</v>
      </c>
      <c r="C93" s="11" t="s">
        <v>79</v>
      </c>
      <c r="D93" s="30">
        <f t="shared" si="4"/>
        <v>7.1941342298813216E-2</v>
      </c>
      <c r="E93" s="31">
        <f>Assumptions!$C$5</f>
        <v>1.244E-2</v>
      </c>
      <c r="F93" s="32">
        <f>IF($C93="L",Assumptions!$C$8,IF($C93="LM",Assumptions!$C$9,IF($C93="UM",Assumptions!$C$10,Assumptions!$C$11)))</f>
        <v>7.1689000000000003E-2</v>
      </c>
      <c r="G93" s="33">
        <f>IF(J93&lt;Assumptions!$C$13,"",MIN(MAX(D93,E93),F93))</f>
        <v>7.1689000000000003E-2</v>
      </c>
      <c r="H93" s="12" t="str">
        <f t="shared" si="5"/>
        <v>cut by cap</v>
      </c>
      <c r="I93" s="34">
        <f t="shared" si="6"/>
        <v>-2.5234229881321291E-4</v>
      </c>
      <c r="J93" s="12">
        <f t="shared" si="7"/>
        <v>10</v>
      </c>
      <c r="K93" s="30">
        <f>IF(OR('GNI per capita'!AJ92="",'GNI per capita'!AK92=""),"",'GNI per capita'!AK92/'GNI per capita'!AJ92-1)</f>
        <v>0.11359789354899386</v>
      </c>
      <c r="L93" s="30">
        <f>IF(OR('GNI per capita'!AK92="",'GNI per capita'!AL92=""),"",'GNI per capita'!AL92/'GNI per capita'!AK92-1)</f>
        <v>6.0124978888701275E-2</v>
      </c>
      <c r="M93" s="30">
        <f>IF(OR('GNI per capita'!AL92="",'GNI per capita'!AM92=""),"",'GNI per capita'!AM92/'GNI per capita'!AL92-1)</f>
        <v>0.16042695555201525</v>
      </c>
      <c r="N93" s="30">
        <f>IF(OR('GNI per capita'!AM92="",'GNI per capita'!AN92=""),"",'GNI per capita'!AN92/'GNI per capita'!AM92-1)</f>
        <v>3.7342119714442568E-2</v>
      </c>
      <c r="O93" s="30">
        <f>IF(OR('GNI per capita'!AN92="",'GNI per capita'!AO92=""),"",'GNI per capita'!AO92/'GNI per capita'!AN92-1)</f>
        <v>-0.11686077289571206</v>
      </c>
      <c r="P93" s="30">
        <f>IF(OR('GNI per capita'!AO92="",'GNI per capita'!AP92=""),"",'GNI per capita'!AP92/'GNI per capita'!AO92-1)</f>
        <v>1.9031919676307574E-2</v>
      </c>
      <c r="Q93" s="30">
        <f>IF(OR('GNI per capita'!AP92="",'GNI per capita'!AQ92=""),"",'GNI per capita'!AQ92/'GNI per capita'!AP92-1)</f>
        <v>9.7352941176470642E-2</v>
      </c>
      <c r="R93" s="30">
        <f>IF(OR('GNI per capita'!AQ92="",'GNI per capita'!AR92=""),"",'GNI per capita'!AR92/'GNI per capita'!AQ92-1)</f>
        <v>8.3757705708925156E-2</v>
      </c>
      <c r="S93" s="30">
        <f>IF(OR('GNI per capita'!AR92="",'GNI per capita'!AS92=""),"",'GNI per capita'!AS92/'GNI per capita'!AR92-1)</f>
        <v>4.9462099666119919E-4</v>
      </c>
      <c r="T93" s="30">
        <f>IF(OR('GNI per capita'!AS92="",'GNI per capita'!AT92=""),"",'GNI per capita'!AT92/'GNI per capita'!AS92-1)</f>
        <v>0.10270671116054886</v>
      </c>
      <c r="U93" s="28" t="s">
        <v>393</v>
      </c>
    </row>
    <row r="94" spans="1:21" x14ac:dyDescent="0.2">
      <c r="A94" s="2" t="s">
        <v>394</v>
      </c>
      <c r="B94" s="2" t="s">
        <v>395</v>
      </c>
      <c r="C94" s="11" t="s">
        <v>210</v>
      </c>
      <c r="D94" s="30">
        <f t="shared" si="4"/>
        <v>6.4409156370802689E-2</v>
      </c>
      <c r="E94" s="31">
        <f>Assumptions!$C$5</f>
        <v>1.244E-2</v>
      </c>
      <c r="F94" s="32">
        <f>IF($C94="L",Assumptions!$C$8,IF($C94="LM",Assumptions!$C$9,IF($C94="UM",Assumptions!$C$10,Assumptions!$C$11)))</f>
        <v>7.4680999999999997E-2</v>
      </c>
      <c r="G94" s="33">
        <f>IF(J94&lt;Assumptions!$C$13,"",MIN(MAX(D94,E94),F94))</f>
        <v>6.4409156370802689E-2</v>
      </c>
      <c r="H94" s="12" t="str">
        <f t="shared" si="5"/>
        <v>unadjusted</v>
      </c>
      <c r="I94" s="34">
        <f t="shared" si="6"/>
        <v>0</v>
      </c>
      <c r="J94" s="12">
        <f t="shared" si="7"/>
        <v>10</v>
      </c>
      <c r="K94" s="30">
        <f>IF(OR('GNI per capita'!AJ93="",'GNI per capita'!AK93=""),"",'GNI per capita'!AK93/'GNI per capita'!AJ93-1)</f>
        <v>5.6962025316455778E-2</v>
      </c>
      <c r="L94" s="30">
        <f>IF(OR('GNI per capita'!AK93="",'GNI per capita'!AL93=""),"",'GNI per capita'!AL93/'GNI per capita'!AK93-1)</f>
        <v>7.1856287425149601E-2</v>
      </c>
      <c r="M94" s="30">
        <f>IF(OR('GNI per capita'!AL93="",'GNI per capita'!AM93=""),"",'GNI per capita'!AM93/'GNI per capita'!AL93-1)</f>
        <v>0.1005586592178771</v>
      </c>
      <c r="N94" s="30">
        <f>IF(OR('GNI per capita'!AM93="",'GNI per capita'!AN93=""),"",'GNI per capita'!AN93/'GNI per capita'!AM93-1)</f>
        <v>5.0761421319796884E-2</v>
      </c>
      <c r="O94" s="30">
        <f>IF(OR('GNI per capita'!AN93="",'GNI per capita'!AO93=""),"",'GNI per capita'!AO93/'GNI per capita'!AN93-1)</f>
        <v>-8.2125603864734331E-2</v>
      </c>
      <c r="P94" s="30">
        <f>IF(OR('GNI per capita'!AO93="",'GNI per capita'!AP93=""),"",'GNI per capita'!AP93/'GNI per capita'!AO93-1)</f>
        <v>0.14210526315789473</v>
      </c>
      <c r="Q94" s="30">
        <f>IF(OR('GNI per capita'!AP93="",'GNI per capita'!AQ93=""),"",'GNI per capita'!AQ93/'GNI per capita'!AP93-1)</f>
        <v>8.7557603686635899E-2</v>
      </c>
      <c r="R94" s="30">
        <f>IF(OR('GNI per capita'!AQ93="",'GNI per capita'!AR93=""),"",'GNI per capita'!AR93/'GNI per capita'!AQ93-1)</f>
        <v>5.508474576271194E-2</v>
      </c>
      <c r="S94" s="30">
        <f>IF(OR('GNI per capita'!AR93="",'GNI per capita'!AS93=""),"",'GNI per capita'!AS93/'GNI per capita'!AR93-1)</f>
        <v>2.4096385542168752E-2</v>
      </c>
      <c r="T94" s="30">
        <f>IF(OR('GNI per capita'!AS93="",'GNI per capita'!AT93=""),"",'GNI per capita'!AT93/'GNI per capita'!AS93-1)</f>
        <v>8.2352941176470518E-2</v>
      </c>
      <c r="U94" s="2" t="s">
        <v>162</v>
      </c>
    </row>
    <row r="95" spans="1:21" x14ac:dyDescent="0.2">
      <c r="A95" s="2" t="s">
        <v>396</v>
      </c>
      <c r="B95" s="2" t="s">
        <v>397</v>
      </c>
      <c r="C95" s="11" t="s">
        <v>82</v>
      </c>
      <c r="D95" s="30">
        <f t="shared" si="4"/>
        <v>4.7884258370142763E-2</v>
      </c>
      <c r="E95" s="31">
        <f>Assumptions!$C$5</f>
        <v>1.244E-2</v>
      </c>
      <c r="F95" s="32">
        <f>IF($C95="L",Assumptions!$C$8,IF($C95="LM",Assumptions!$C$9,IF($C95="UM",Assumptions!$C$10,Assumptions!$C$11)))</f>
        <v>9.0712000000000001E-2</v>
      </c>
      <c r="G95" s="33">
        <f>IF(J95&lt;Assumptions!$C$13,"",MIN(MAX(D95,E95),F95))</f>
        <v>4.7884258370142763E-2</v>
      </c>
      <c r="H95" s="12" t="str">
        <f t="shared" si="5"/>
        <v>unadjusted</v>
      </c>
      <c r="I95" s="34">
        <f t="shared" si="6"/>
        <v>0</v>
      </c>
      <c r="J95" s="12">
        <f t="shared" si="7"/>
        <v>10</v>
      </c>
      <c r="K95" s="30">
        <f>IF(OR('GNI per capita'!AJ94="",'GNI per capita'!AK94=""),"",'GNI per capita'!AK94/'GNI per capita'!AJ94-1)</f>
        <v>-5.8997050147492347E-3</v>
      </c>
      <c r="L95" s="30">
        <f>IF(OR('GNI per capita'!AK94="",'GNI per capita'!AL94=""),"",'GNI per capita'!AL94/'GNI per capita'!AK94-1)</f>
        <v>3.5608308605341144E-2</v>
      </c>
      <c r="M95" s="30">
        <f>IF(OR('GNI per capita'!AL94="",'GNI per capita'!AM94=""),"",'GNI per capita'!AM94/'GNI per capita'!AL94-1)</f>
        <v>9.1690544412607489E-2</v>
      </c>
      <c r="N95" s="30">
        <f>IF(OR('GNI per capita'!AM94="",'GNI per capita'!AN94=""),"",'GNI per capita'!AN94/'GNI per capita'!AM94-1)</f>
        <v>5.5118110236220375E-2</v>
      </c>
      <c r="O95" s="30">
        <f>IF(OR('GNI per capita'!AN94="",'GNI per capita'!AO94=""),"",'GNI per capita'!AO94/'GNI per capita'!AN94-1)</f>
        <v>-4.2288557213930322E-2</v>
      </c>
      <c r="P95" s="30">
        <f>IF(OR('GNI per capita'!AO94="",'GNI per capita'!AP94=""),"",'GNI per capita'!AP94/'GNI per capita'!AO94-1)</f>
        <v>7.2727272727272751E-2</v>
      </c>
      <c r="Q95" s="30">
        <f>IF(OR('GNI per capita'!AP94="",'GNI per capita'!AQ94=""),"",'GNI per capita'!AQ94/'GNI per capita'!AP94-1)</f>
        <v>9.4430992736077579E-2</v>
      </c>
      <c r="R95" s="30">
        <f>IF(OR('GNI per capita'!AQ94="",'GNI per capita'!AR94=""),"",'GNI per capita'!AR94/'GNI per capita'!AQ94-1)</f>
        <v>6.4159292035398163E-2</v>
      </c>
      <c r="S95" s="30">
        <f>IF(OR('GNI per capita'!AR94="",'GNI per capita'!AS94=""),"",'GNI per capita'!AS94/'GNI per capita'!AR94-1)</f>
        <v>2.2869022869022926E-2</v>
      </c>
      <c r="T95" s="30">
        <f>IF(OR('GNI per capita'!AS94="",'GNI per capita'!AT94=""),"",'GNI per capita'!AT94/'GNI per capita'!AS94-1)</f>
        <v>4.0650406504065151E-2</v>
      </c>
      <c r="U95" s="2" t="s">
        <v>162</v>
      </c>
    </row>
    <row r="96" spans="1:21" x14ac:dyDescent="0.2">
      <c r="A96" s="2" t="s">
        <v>398</v>
      </c>
      <c r="B96" s="2" t="s">
        <v>399</v>
      </c>
      <c r="C96" s="11" t="s">
        <v>82</v>
      </c>
      <c r="D96" s="30">
        <f t="shared" si="4"/>
        <v>1.2327416173570027E-2</v>
      </c>
      <c r="E96" s="31">
        <f>Assumptions!$C$5</f>
        <v>1.244E-2</v>
      </c>
      <c r="F96" s="32">
        <f>IF($C96="L",Assumptions!$C$8,IF($C96="LM",Assumptions!$C$9,IF($C96="UM",Assumptions!$C$10,Assumptions!$C$11)))</f>
        <v>9.0712000000000001E-2</v>
      </c>
      <c r="G96" s="33">
        <f>IF(J96&lt;Assumptions!$C$13,"",MIN(MAX(D96,E96),F96))</f>
        <v>1.244E-2</v>
      </c>
      <c r="H96" s="12" t="str">
        <f t="shared" si="5"/>
        <v>raised by floor</v>
      </c>
      <c r="I96" s="34">
        <f t="shared" si="6"/>
        <v>1.125838264299725E-4</v>
      </c>
      <c r="J96" s="12">
        <f t="shared" si="7"/>
        <v>10</v>
      </c>
      <c r="K96" s="30">
        <f>IF(OR('GNI per capita'!AJ95="",'GNI per capita'!AK95=""),"",'GNI per capita'!AK95/'GNI per capita'!AJ95-1)</f>
        <v>1.2820512820512775E-2</v>
      </c>
      <c r="L96" s="30">
        <f>IF(OR('GNI per capita'!AK95="",'GNI per capita'!AL95=""),"",'GNI per capita'!AL95/'GNI per capita'!AK95-1)</f>
        <v>1.9891500904159143E-2</v>
      </c>
      <c r="M96" s="30">
        <f>IF(OR('GNI per capita'!AL95="",'GNI per capita'!AM95=""),"",'GNI per capita'!AM95/'GNI per capita'!AL95-1)</f>
        <v>-4.4326241134751809E-2</v>
      </c>
      <c r="N96" s="30">
        <f>IF(OR('GNI per capita'!AM95="",'GNI per capita'!AN95=""),"",'GNI per capita'!AN95/'GNI per capita'!AM95-1)</f>
        <v>-0.12615955473098328</v>
      </c>
      <c r="O96" s="30">
        <f>IF(OR('GNI per capita'!AN95="",'GNI per capita'!AO95=""),"",'GNI per capita'!AO95/'GNI per capita'!AN95-1)</f>
        <v>-0.15498938428874731</v>
      </c>
      <c r="P96" s="30">
        <f>IF(OR('GNI per capita'!AO95="",'GNI per capita'!AP95=""),"",'GNI per capita'!AP95/'GNI per capita'!AO95-1)</f>
        <v>3.2663316582914659E-2</v>
      </c>
      <c r="Q96" s="30">
        <f>IF(OR('GNI per capita'!AP95="",'GNI per capita'!AQ95=""),"",'GNI per capita'!AQ95/'GNI per capita'!AP95-1)</f>
        <v>6.8126520681265124E-2</v>
      </c>
      <c r="R96" s="30">
        <f>IF(OR('GNI per capita'!AQ95="",'GNI per capita'!AR95=""),"",'GNI per capita'!AR95/'GNI per capita'!AQ95-1)</f>
        <v>0.15489749430523925</v>
      </c>
      <c r="S96" s="30">
        <f>IF(OR('GNI per capita'!AR95="",'GNI per capita'!AS95=""),"",'GNI per capita'!AS95/'GNI per capita'!AR95-1)</f>
        <v>1.1834319526627279E-2</v>
      </c>
      <c r="T96" s="30">
        <f>IF(OR('GNI per capita'!AS95="",'GNI per capita'!AT95=""),"",'GNI per capita'!AT95/'GNI per capita'!AS95-1)</f>
        <v>-9.3567251461988299E-2</v>
      </c>
      <c r="U96" s="28" t="s">
        <v>400</v>
      </c>
    </row>
    <row r="97" spans="1:21" x14ac:dyDescent="0.2">
      <c r="A97" s="2" t="s">
        <v>401</v>
      </c>
      <c r="B97" s="2" t="s">
        <v>402</v>
      </c>
      <c r="C97" s="11" t="s">
        <v>82</v>
      </c>
      <c r="D97" s="30">
        <f t="shared" si="4"/>
        <v>1.1409184608337175E-2</v>
      </c>
      <c r="E97" s="31">
        <f>Assumptions!$C$5</f>
        <v>1.244E-2</v>
      </c>
      <c r="F97" s="32">
        <f>IF($C97="L",Assumptions!$C$8,IF($C97="LM",Assumptions!$C$9,IF($C97="UM",Assumptions!$C$10,Assumptions!$C$11)))</f>
        <v>9.0712000000000001E-2</v>
      </c>
      <c r="G97" s="33">
        <f>IF(J97&lt;Assumptions!$C$13,"",MIN(MAX(D97,E97),F97))</f>
        <v>1.244E-2</v>
      </c>
      <c r="H97" s="12" t="str">
        <f t="shared" si="5"/>
        <v>raised by floor</v>
      </c>
      <c r="I97" s="34">
        <f t="shared" si="6"/>
        <v>1.0308153916628246E-3</v>
      </c>
      <c r="J97" s="12">
        <f t="shared" si="7"/>
        <v>10</v>
      </c>
      <c r="K97" s="30">
        <f>IF(OR('GNI per capita'!AJ96="",'GNI per capita'!AK96=""),"",'GNI per capita'!AK96/'GNI per capita'!AJ96-1)</f>
        <v>-7.3260073260073222E-2</v>
      </c>
      <c r="L97" s="30">
        <f>IF(OR('GNI per capita'!AK96="",'GNI per capita'!AL96=""),"",'GNI per capita'!AL96/'GNI per capita'!AK96-1)</f>
        <v>-0.12450592885375489</v>
      </c>
      <c r="M97" s="30">
        <f>IF(OR('GNI per capita'!AL96="",'GNI per capita'!AM96=""),"",'GNI per capita'!AM96/'GNI per capita'!AL96-1)</f>
        <v>8.8036117381489865E-2</v>
      </c>
      <c r="N97" s="30">
        <f>IF(OR('GNI per capita'!AM96="",'GNI per capita'!AN96=""),"",'GNI per capita'!AN96/'GNI per capita'!AM96-1)</f>
        <v>0.14522821576763478</v>
      </c>
      <c r="O97" s="30">
        <f>IF(OR('GNI per capita'!AN96="",'GNI per capita'!AO96=""),"",'GNI per capita'!AO96/'GNI per capita'!AN96-1)</f>
        <v>-0.14492753623188404</v>
      </c>
      <c r="P97" s="30">
        <f>IF(OR('GNI per capita'!AO96="",'GNI per capita'!AP96=""),"",'GNI per capita'!AP96/'GNI per capita'!AO96-1)</f>
        <v>4.237288135593209E-3</v>
      </c>
      <c r="Q97" s="30">
        <f>IF(OR('GNI per capita'!AP96="",'GNI per capita'!AQ96=""),"",'GNI per capita'!AQ96/'GNI per capita'!AP96-1)</f>
        <v>0.16244725738396615</v>
      </c>
      <c r="R97" s="30">
        <f>IF(OR('GNI per capita'!AQ96="",'GNI per capita'!AR96=""),"",'GNI per capita'!AR96/'GNI per capita'!AQ96-1)</f>
        <v>7.4410163339382995E-2</v>
      </c>
      <c r="S97" s="30">
        <f>IF(OR('GNI per capita'!AR96="",'GNI per capita'!AS96=""),"",'GNI per capita'!AS96/'GNI per capita'!AR96-1)</f>
        <v>1.8581081081081141E-2</v>
      </c>
      <c r="T97" s="30">
        <f>IF(OR('GNI per capita'!AS96="",'GNI per capita'!AT96=""),"",'GNI per capita'!AT96/'GNI per capita'!AS96-1)</f>
        <v>-5.6384742951907096E-2</v>
      </c>
      <c r="U97" s="28" t="s">
        <v>284</v>
      </c>
    </row>
    <row r="98" spans="1:21" x14ac:dyDescent="0.2">
      <c r="A98" s="2" t="s">
        <v>403</v>
      </c>
      <c r="B98" s="2" t="s">
        <v>404</v>
      </c>
      <c r="C98" s="11" t="s">
        <v>79</v>
      </c>
      <c r="D98" s="30">
        <f t="shared" si="4"/>
        <v>3.7474956724706021E-2</v>
      </c>
      <c r="E98" s="31">
        <f>Assumptions!$C$5</f>
        <v>1.244E-2</v>
      </c>
      <c r="F98" s="32">
        <f>IF($C98="L",Assumptions!$C$8,IF($C98="LM",Assumptions!$C$9,IF($C98="UM",Assumptions!$C$10,Assumptions!$C$11)))</f>
        <v>7.1689000000000003E-2</v>
      </c>
      <c r="G98" s="33">
        <f>IF(J98&lt;Assumptions!$C$13,"",MIN(MAX(D98,E98),F98))</f>
        <v>3.7474956724706021E-2</v>
      </c>
      <c r="H98" s="12" t="str">
        <f t="shared" si="5"/>
        <v>unadjusted</v>
      </c>
      <c r="I98" s="34">
        <f t="shared" si="6"/>
        <v>0</v>
      </c>
      <c r="J98" s="12">
        <f t="shared" si="7"/>
        <v>10</v>
      </c>
      <c r="K98" s="30">
        <f>IF(OR('GNI per capita'!AJ97="",'GNI per capita'!AK97=""),"",'GNI per capita'!AK97/'GNI per capita'!AJ97-1)</f>
        <v>1.0317157050057313E-2</v>
      </c>
      <c r="L98" s="30">
        <f>IF(OR('GNI per capita'!AK97="",'GNI per capita'!AL97=""),"",'GNI per capita'!AL97/'GNI per capita'!AK97-1)</f>
        <v>2.8933434190620222E-2</v>
      </c>
      <c r="M98" s="30">
        <f>IF(OR('GNI per capita'!AL97="",'GNI per capita'!AM97=""),"",'GNI per capita'!AM97/'GNI per capita'!AL97-1)</f>
        <v>8.6381179930159924E-2</v>
      </c>
      <c r="N98" s="30">
        <f>IF(OR('GNI per capita'!AM97="",'GNI per capita'!AN97=""),"",'GNI per capita'!AN97/'GNI per capita'!AM97-1)</f>
        <v>5.6673997631534467E-2</v>
      </c>
      <c r="O98" s="30">
        <f>IF(OR('GNI per capita'!AN97="",'GNI per capita'!AO97=""),"",'GNI per capita'!AO97/'GNI per capita'!AN97-1)</f>
        <v>3.138008325328201E-2</v>
      </c>
      <c r="P98" s="30">
        <f>IF(OR('GNI per capita'!AO97="",'GNI per capita'!AP97=""),"",'GNI per capita'!AP97/'GNI per capita'!AO97-1)</f>
        <v>0.14979819931698235</v>
      </c>
      <c r="Q98" s="30">
        <f>IF(OR('GNI per capita'!AP97="",'GNI per capita'!AQ97=""),"",'GNI per capita'!AQ97/'GNI per capita'!AP97-1)</f>
        <v>2.5651410827595589E-2</v>
      </c>
      <c r="R98" s="30">
        <f>IF(OR('GNI per capita'!AQ97="",'GNI per capita'!AR97=""),"",'GNI per capita'!AR97/'GNI per capita'!AQ97-1)</f>
        <v>4.3569830196130033E-2</v>
      </c>
      <c r="S98" s="30">
        <f>IF(OR('GNI per capita'!AR97="",'GNI per capita'!AS97=""),"",'GNI per capita'!AS97/'GNI per capita'!AR97-1)</f>
        <v>1.7280524722502522E-2</v>
      </c>
      <c r="T98" s="30">
        <f>IF(OR('GNI per capita'!AS97="",'GNI per capita'!AT97=""),"",'GNI per capita'!AT97/'GNI per capita'!AS97-1)</f>
        <v>8.3199008059516411E-2</v>
      </c>
      <c r="U98" s="2" t="s">
        <v>162</v>
      </c>
    </row>
    <row r="99" spans="1:21" x14ac:dyDescent="0.2">
      <c r="A99" s="2" t="s">
        <v>405</v>
      </c>
      <c r="B99" s="2" t="s">
        <v>406</v>
      </c>
      <c r="C99" s="11" t="s">
        <v>79</v>
      </c>
      <c r="D99" s="30">
        <f t="shared" si="4"/>
        <v>1.1495319641949275E-3</v>
      </c>
      <c r="E99" s="31">
        <f>Assumptions!$C$5</f>
        <v>1.244E-2</v>
      </c>
      <c r="F99" s="32">
        <f>IF($C99="L",Assumptions!$C$8,IF($C99="LM",Assumptions!$C$9,IF($C99="UM",Assumptions!$C$10,Assumptions!$C$11)))</f>
        <v>7.1689000000000003E-2</v>
      </c>
      <c r="G99" s="33">
        <f>IF(J99&lt;Assumptions!$C$13,"",MIN(MAX(D99,E99),F99))</f>
        <v>1.244E-2</v>
      </c>
      <c r="H99" s="12" t="str">
        <f t="shared" si="5"/>
        <v>raised by floor</v>
      </c>
      <c r="I99" s="34">
        <f t="shared" si="6"/>
        <v>1.1290468035805072E-2</v>
      </c>
      <c r="J99" s="12">
        <f t="shared" si="7"/>
        <v>8</v>
      </c>
      <c r="K99" s="30">
        <f>IF(OR('GNI per capita'!AJ98="",'GNI per capita'!AK98=""),"",'GNI per capita'!AK98/'GNI per capita'!AJ98-1)</f>
        <v>-5.9069711825899818E-2</v>
      </c>
      <c r="L99" s="30">
        <f>IF(OR('GNI per capita'!AK98="",'GNI per capita'!AL98=""),"",'GNI per capita'!AL98/'GNI per capita'!AK98-1)</f>
        <v>-1.0166476045240791E-2</v>
      </c>
      <c r="M99" s="30">
        <f>IF(OR('GNI per capita'!AL98="",'GNI per capita'!AM98=""),"",'GNI per capita'!AM98/'GNI per capita'!AL98-1)</f>
        <v>7.1125946848119126E-2</v>
      </c>
      <c r="N99" s="30">
        <f>IF(OR('GNI per capita'!AM98="",'GNI per capita'!AN98=""),"",'GNI per capita'!AN98/'GNI per capita'!AM98-1)</f>
        <v>1.2465539973630646E-2</v>
      </c>
      <c r="O99" s="30">
        <f>IF(OR('GNI per capita'!AN98="",'GNI per capita'!AO98=""),"",'GNI per capita'!AO98/'GNI per capita'!AN98-1)</f>
        <v>-6.1441932046880532E-2</v>
      </c>
      <c r="P99" s="30">
        <f>IF(OR('GNI per capita'!AO98="",'GNI per capita'!AP98=""),"",'GNI per capita'!AP98/'GNI per capita'!AO98-1)</f>
        <v>-3.5822401614530763E-2</v>
      </c>
      <c r="Q99" s="30">
        <f>IF(OR('GNI per capita'!AP98="",'GNI per capita'!AQ98=""),"",'GNI per capita'!AQ98/'GNI per capita'!AP98-1)</f>
        <v>2.616431187859769E-2</v>
      </c>
      <c r="R99" s="30">
        <f>IF(OR('GNI per capita'!AQ98="",'GNI per capita'!AR98=""),"",'GNI per capita'!AR98/'GNI per capita'!AQ98-1)</f>
        <v>0.10951045385007641</v>
      </c>
      <c r="S99" s="30" t="str">
        <f>IF(OR('GNI per capita'!AR98="",'GNI per capita'!AS98=""),"",'GNI per capita'!AS98/'GNI per capita'!AR98-1)</f>
        <v/>
      </c>
      <c r="T99" s="30" t="str">
        <f>IF(OR('GNI per capita'!AS98="",'GNI per capita'!AT98=""),"",'GNI per capita'!AT98/'GNI per capita'!AS98-1)</f>
        <v/>
      </c>
      <c r="U99" s="28" t="s">
        <v>407</v>
      </c>
    </row>
    <row r="100" spans="1:21" x14ac:dyDescent="0.2">
      <c r="A100" s="2" t="s">
        <v>408</v>
      </c>
      <c r="B100" s="2" t="s">
        <v>409</v>
      </c>
      <c r="C100" s="11" t="s">
        <v>79</v>
      </c>
      <c r="D100" s="30">
        <f t="shared" si="4"/>
        <v>4.3879573303406971E-2</v>
      </c>
      <c r="E100" s="31">
        <f>Assumptions!$C$5</f>
        <v>1.244E-2</v>
      </c>
      <c r="F100" s="32">
        <f>IF($C100="L",Assumptions!$C$8,IF($C100="LM",Assumptions!$C$9,IF($C100="UM",Assumptions!$C$10,Assumptions!$C$11)))</f>
        <v>7.1689000000000003E-2</v>
      </c>
      <c r="G100" s="33">
        <f>IF(J100&lt;Assumptions!$C$13,"",MIN(MAX(D100,E100),F100))</f>
        <v>4.3879573303406971E-2</v>
      </c>
      <c r="H100" s="12" t="str">
        <f t="shared" si="5"/>
        <v>unadjusted</v>
      </c>
      <c r="I100" s="34">
        <f t="shared" si="6"/>
        <v>0</v>
      </c>
      <c r="J100" s="12">
        <f t="shared" si="7"/>
        <v>10</v>
      </c>
      <c r="K100" s="30">
        <f>IF(OR('GNI per capita'!AJ99="",'GNI per capita'!AK99=""),"",'GNI per capita'!AK99/'GNI per capita'!AJ99-1)</f>
        <v>9.2140921409213927E-3</v>
      </c>
      <c r="L100" s="30">
        <f>IF(OR('GNI per capita'!AK99="",'GNI per capita'!AL99=""),"",'GNI per capita'!AL99/'GNI per capita'!AK99-1)</f>
        <v>3.6519871106337254E-2</v>
      </c>
      <c r="M100" s="30">
        <f>IF(OR('GNI per capita'!AL99="",'GNI per capita'!AM99=""),"",'GNI per capita'!AM99/'GNI per capita'!AL99-1)</f>
        <v>8.7046632124352374E-2</v>
      </c>
      <c r="N100" s="30">
        <f>IF(OR('GNI per capita'!AM99="",'GNI per capita'!AN99=""),"",'GNI per capita'!AN99/'GNI per capita'!AM99-1)</f>
        <v>5.1239275500476689E-2</v>
      </c>
      <c r="O100" s="30">
        <f>IF(OR('GNI per capita'!AN99="",'GNI per capita'!AO99=""),"",'GNI per capita'!AO99/'GNI per capita'!AN99-1)</f>
        <v>-1.7683065064611148E-2</v>
      </c>
      <c r="P100" s="30">
        <f>IF(OR('GNI per capita'!AO99="",'GNI per capita'!AP99=""),"",'GNI per capita'!AP99/'GNI per capita'!AO99-1)</f>
        <v>0.14562658666051242</v>
      </c>
      <c r="Q100" s="30">
        <f>IF(OR('GNI per capita'!AP99="",'GNI per capita'!AQ99=""),"",'GNI per capita'!AQ99/'GNI per capita'!AP99-1)</f>
        <v>0.11724415793714749</v>
      </c>
      <c r="R100" s="30">
        <f>IF(OR('GNI per capita'!AQ99="",'GNI per capita'!AR99=""),"",'GNI per capita'!AR99/'GNI per capita'!AQ99-1)</f>
        <v>-1.7670393076090862E-2</v>
      </c>
      <c r="S100" s="30">
        <f>IF(OR('GNI per capita'!AR99="",'GNI per capita'!AS99=""),"",'GNI per capita'!AS99/'GNI per capita'!AR99-1)</f>
        <v>-2.5513950073421388E-2</v>
      </c>
      <c r="T100" s="30">
        <f>IF(OR('GNI per capita'!AS99="",'GNI per capita'!AT99=""),"",'GNI per capita'!AT99/'GNI per capita'!AS99-1)</f>
        <v>5.8203051422113461E-2</v>
      </c>
      <c r="U100" s="2" t="s">
        <v>162</v>
      </c>
    </row>
    <row r="101" spans="1:21" x14ac:dyDescent="0.2">
      <c r="A101" s="2" t="s">
        <v>410</v>
      </c>
      <c r="B101" s="2" t="s">
        <v>411</v>
      </c>
      <c r="C101" s="11" t="s">
        <v>79</v>
      </c>
      <c r="D101" s="30">
        <f t="shared" si="4"/>
        <v>9.6690606850720062E-3</v>
      </c>
      <c r="E101" s="31">
        <f>Assumptions!$C$5</f>
        <v>1.244E-2</v>
      </c>
      <c r="F101" s="32">
        <f>IF($C101="L",Assumptions!$C$8,IF($C101="LM",Assumptions!$C$9,IF($C101="UM",Assumptions!$C$10,Assumptions!$C$11)))</f>
        <v>7.1689000000000003E-2</v>
      </c>
      <c r="G101" s="33">
        <f>IF(J101&lt;Assumptions!$C$13,"",MIN(MAX(D101,E101),F101))</f>
        <v>1.244E-2</v>
      </c>
      <c r="H101" s="12" t="str">
        <f t="shared" si="5"/>
        <v>raised by floor</v>
      </c>
      <c r="I101" s="34">
        <f t="shared" si="6"/>
        <v>2.7709393149279934E-3</v>
      </c>
      <c r="J101" s="12">
        <f t="shared" si="7"/>
        <v>10</v>
      </c>
      <c r="K101" s="30">
        <f>IF(OR('GNI per capita'!AJ100="",'GNI per capita'!AK100=""),"",'GNI per capita'!AK100/'GNI per capita'!AJ100-1)</f>
        <v>-3.1679617453675979E-2</v>
      </c>
      <c r="L101" s="30">
        <f>IF(OR('GNI per capita'!AK100="",'GNI per capita'!AL100=""),"",'GNI per capita'!AL100/'GNI per capita'!AK100-1)</f>
        <v>-1.8827160493827155E-2</v>
      </c>
      <c r="M101" s="30">
        <f>IF(OR('GNI per capita'!AL100="",'GNI per capita'!AM100=""),"",'GNI per capita'!AM100/'GNI per capita'!AL100-1)</f>
        <v>7.801195344447942E-2</v>
      </c>
      <c r="N101" s="30">
        <f>IF(OR('GNI per capita'!AM100="",'GNI per capita'!AN100=""),"",'GNI per capita'!AN100/'GNI per capita'!AM100-1)</f>
        <v>2.2176831047563406E-2</v>
      </c>
      <c r="O101" s="30">
        <f>IF(OR('GNI per capita'!AN100="",'GNI per capita'!AO100=""),"",'GNI per capita'!AO100/'GNI per capita'!AN100-1)</f>
        <v>-6.9369112189551774E-2</v>
      </c>
      <c r="P101" s="30">
        <f>IF(OR('GNI per capita'!AO100="",'GNI per capita'!AP100=""),"",'GNI per capita'!AP100/'GNI per capita'!AO100-1)</f>
        <v>0.12760736196319011</v>
      </c>
      <c r="Q101" s="30">
        <f>IF(OR('GNI per capita'!AP100="",'GNI per capita'!AQ100=""),"",'GNI per capita'!AQ100/'GNI per capita'!AP100-1)</f>
        <v>6.2568008705114364E-2</v>
      </c>
      <c r="R101" s="30">
        <f>IF(OR('GNI per capita'!AQ100="",'GNI per capita'!AR100=""),"",'GNI per capita'!AR100/'GNI per capita'!AQ100-1)</f>
        <v>-7.9365079365079083E-3</v>
      </c>
      <c r="S101" s="30">
        <f>IF(OR('GNI per capita'!AR100="",'GNI per capita'!AS100=""),"",'GNI per capita'!AS100/'GNI per capita'!AR100-1)</f>
        <v>-2.8387096774193932E-3</v>
      </c>
      <c r="T101" s="30">
        <f>IF(OR('GNI per capita'!AS100="",'GNI per capita'!AT100=""),"",'GNI per capita'!AT100/'GNI per capita'!AS100-1)</f>
        <v>8.9026915113871619E-2</v>
      </c>
      <c r="U101" s="28" t="s">
        <v>412</v>
      </c>
    </row>
    <row r="102" spans="1:21" x14ac:dyDescent="0.2">
      <c r="A102" s="2" t="s">
        <v>413</v>
      </c>
      <c r="B102" s="2" t="s">
        <v>414</v>
      </c>
      <c r="C102" s="11" t="s">
        <v>82</v>
      </c>
      <c r="D102" s="30">
        <f t="shared" si="4"/>
        <v>6.0028865108420204E-2</v>
      </c>
      <c r="E102" s="31">
        <f>Assumptions!$C$5</f>
        <v>1.244E-2</v>
      </c>
      <c r="F102" s="32">
        <f>IF($C102="L",Assumptions!$C$8,IF($C102="LM",Assumptions!$C$9,IF($C102="UM",Assumptions!$C$10,Assumptions!$C$11)))</f>
        <v>9.0712000000000001E-2</v>
      </c>
      <c r="G102" s="33">
        <f>IF(J102&lt;Assumptions!$C$13,"",MIN(MAX(D102,E102),F102))</f>
        <v>6.0028865108420204E-2</v>
      </c>
      <c r="H102" s="12" t="str">
        <f t="shared" si="5"/>
        <v>unadjusted</v>
      </c>
      <c r="I102" s="34">
        <f t="shared" si="6"/>
        <v>0</v>
      </c>
      <c r="J102" s="12">
        <f t="shared" si="7"/>
        <v>10</v>
      </c>
      <c r="K102" s="30">
        <f>IF(OR('GNI per capita'!AJ101="",'GNI per capita'!AK101=""),"",'GNI per capita'!AK101/'GNI per capita'!AJ101-1)</f>
        <v>1.0121457489878471E-2</v>
      </c>
      <c r="L102" s="30">
        <f>IF(OR('GNI per capita'!AK101="",'GNI per capita'!AL101=""),"",'GNI per capita'!AL101/'GNI per capita'!AK101-1)</f>
        <v>6.2124248496993939E-2</v>
      </c>
      <c r="M102" s="30">
        <f>IF(OR('GNI per capita'!AL101="",'GNI per capita'!AM101=""),"",'GNI per capita'!AM101/'GNI per capita'!AL101-1)</f>
        <v>5.8490566037735947E-2</v>
      </c>
      <c r="N102" s="30">
        <f>IF(OR('GNI per capita'!AM101="",'GNI per capita'!AN101=""),"",'GNI per capita'!AN101/'GNI per capita'!AM101-1)</f>
        <v>5.7040998217468886E-2</v>
      </c>
      <c r="O102" s="30">
        <f>IF(OR('GNI per capita'!AN101="",'GNI per capita'!AO101=""),"",'GNI per capita'!AO101/'GNI per capita'!AN101-1)</f>
        <v>-9.6121416526138259E-2</v>
      </c>
      <c r="P102" s="30">
        <f>IF(OR('GNI per capita'!AO101="",'GNI per capita'!AP101=""),"",'GNI per capita'!AP101/'GNI per capita'!AO101-1)</f>
        <v>6.1567164179104461E-2</v>
      </c>
      <c r="Q102" s="30">
        <f>IF(OR('GNI per capita'!AP101="",'GNI per capita'!AQ101=""),"",'GNI per capita'!AQ101/'GNI per capita'!AP101-1)</f>
        <v>0.11423550087873457</v>
      </c>
      <c r="R102" s="30">
        <f>IF(OR('GNI per capita'!AQ101="",'GNI per capita'!AR101=""),"",'GNI per capita'!AR101/'GNI per capita'!AQ101-1)</f>
        <v>8.2018927444794887E-2</v>
      </c>
      <c r="S102" s="30">
        <f>IF(OR('GNI per capita'!AR101="",'GNI per capita'!AS101=""),"",'GNI per capita'!AS101/'GNI per capita'!AR101-1)</f>
        <v>4.8104956268221644E-2</v>
      </c>
      <c r="T102" s="30">
        <f>IF(OR('GNI per capita'!AS101="",'GNI per capita'!AT101=""),"",'GNI per capita'!AT101/'GNI per capita'!AS101-1)</f>
        <v>8.3449235048678627E-2</v>
      </c>
      <c r="U102" s="2" t="s">
        <v>162</v>
      </c>
    </row>
    <row r="103" spans="1:21" x14ac:dyDescent="0.2">
      <c r="A103" s="2" t="s">
        <v>415</v>
      </c>
      <c r="B103" s="2" t="s">
        <v>416</v>
      </c>
      <c r="C103" s="11" t="s">
        <v>79</v>
      </c>
      <c r="D103" s="30">
        <f t="shared" si="4"/>
        <v>-6.7127118559728305E-3</v>
      </c>
      <c r="E103" s="31">
        <f>Assumptions!$C$5</f>
        <v>1.244E-2</v>
      </c>
      <c r="F103" s="32">
        <f>IF($C103="L",Assumptions!$C$8,IF($C103="LM",Assumptions!$C$9,IF($C103="UM",Assumptions!$C$10,Assumptions!$C$11)))</f>
        <v>7.1689000000000003E-2</v>
      </c>
      <c r="G103" s="33">
        <f>IF(J103&lt;Assumptions!$C$13,"",MIN(MAX(D103,E103),F103))</f>
        <v>1.244E-2</v>
      </c>
      <c r="H103" s="12" t="str">
        <f t="shared" si="5"/>
        <v>raised by floor</v>
      </c>
      <c r="I103" s="34">
        <f t="shared" si="6"/>
        <v>1.915271185597283E-2</v>
      </c>
      <c r="J103" s="12">
        <f t="shared" si="7"/>
        <v>10</v>
      </c>
      <c r="K103" s="30">
        <f>IF(OR('GNI per capita'!AJ102="",'GNI per capita'!AK102=""),"",'GNI per capita'!AK102/'GNI per capita'!AJ102-1)</f>
        <v>-2.2919780767314379E-2</v>
      </c>
      <c r="L103" s="30">
        <f>IF(OR('GNI per capita'!AK102="",'GNI per capita'!AL102=""),"",'GNI per capita'!AL102/'GNI per capita'!AK102-1)</f>
        <v>1.2238653748087636E-2</v>
      </c>
      <c r="M103" s="30">
        <f>IF(OR('GNI per capita'!AL102="",'GNI per capita'!AM102=""),"",'GNI per capita'!AM102/'GNI per capita'!AL102-1)</f>
        <v>7.6070528967254303E-2</v>
      </c>
      <c r="N103" s="30">
        <f>IF(OR('GNI per capita'!AM102="",'GNI per capita'!AN102=""),"",'GNI per capita'!AN102/'GNI per capita'!AM102-1)</f>
        <v>5.6179775280897903E-3</v>
      </c>
      <c r="O103" s="30">
        <f>IF(OR('GNI per capita'!AN102="",'GNI per capita'!AO102=""),"",'GNI per capita'!AO102/'GNI per capita'!AN102-1)</f>
        <v>-2.5139664804469275E-2</v>
      </c>
      <c r="P103" s="30">
        <f>IF(OR('GNI per capita'!AO102="",'GNI per capita'!AP102=""),"",'GNI per capita'!AP102/'GNI per capita'!AO102-1)</f>
        <v>7.8319006685768855E-2</v>
      </c>
      <c r="Q103" s="30">
        <f>IF(OR('GNI per capita'!AP102="",'GNI per capita'!AQ102=""),"",'GNI per capita'!AQ102/'GNI per capita'!AP102-1)</f>
        <v>-1.9043401240035451E-2</v>
      </c>
      <c r="R103" s="30">
        <f>IF(OR('GNI per capita'!AQ102="",'GNI per capita'!AR102=""),"",'GNI per capita'!AR102/'GNI per capita'!AQ102-1)</f>
        <v>-8.0361173814898379E-2</v>
      </c>
      <c r="S103" s="30">
        <f>IF(OR('GNI per capita'!AR102="",'GNI per capita'!AS102=""),"",'GNI per capita'!AS102/'GNI per capita'!AR102-1)</f>
        <v>-8.7628865979381465E-2</v>
      </c>
      <c r="T103" s="30">
        <f>IF(OR('GNI per capita'!AS102="",'GNI per capita'!AT102=""),"",'GNI per capita'!AT102/'GNI per capita'!AS102-1)</f>
        <v>3.14769975786926E-2</v>
      </c>
      <c r="U103" s="28" t="s">
        <v>417</v>
      </c>
    </row>
    <row r="104" spans="1:21" x14ac:dyDescent="0.2">
      <c r="A104" s="2" t="s">
        <v>418</v>
      </c>
      <c r="B104" s="2" t="s">
        <v>419</v>
      </c>
      <c r="C104" s="11" t="s">
        <v>82</v>
      </c>
      <c r="D104" s="30">
        <f t="shared" si="4"/>
        <v>2.3065476190476164E-2</v>
      </c>
      <c r="E104" s="31">
        <f>Assumptions!$C$5</f>
        <v>1.244E-2</v>
      </c>
      <c r="F104" s="32">
        <f>IF($C104="L",Assumptions!$C$8,IF($C104="LM",Assumptions!$C$9,IF($C104="UM",Assumptions!$C$10,Assumptions!$C$11)))</f>
        <v>9.0712000000000001E-2</v>
      </c>
      <c r="G104" s="33">
        <f>IF(J104&lt;Assumptions!$C$13,"",MIN(MAX(D104,E104),F104))</f>
        <v>2.3065476190476164E-2</v>
      </c>
      <c r="H104" s="12" t="str">
        <f t="shared" si="5"/>
        <v>unadjusted</v>
      </c>
      <c r="I104" s="34">
        <f t="shared" si="6"/>
        <v>0</v>
      </c>
      <c r="J104" s="12">
        <f t="shared" si="7"/>
        <v>10</v>
      </c>
      <c r="K104" s="30">
        <f>IF(OR('GNI per capita'!AJ103="",'GNI per capita'!AK103=""),"",'GNI per capita'!AK103/'GNI per capita'!AJ103-1)</f>
        <v>-4.7393364928910442E-3</v>
      </c>
      <c r="L104" s="30">
        <f>IF(OR('GNI per capita'!AK103="",'GNI per capita'!AL103=""),"",'GNI per capita'!AL103/'GNI per capita'!AK103-1)</f>
        <v>2.3809523809523725E-2</v>
      </c>
      <c r="M104" s="30">
        <f>IF(OR('GNI per capita'!AL103="",'GNI per capita'!AM103=""),"",'GNI per capita'!AM103/'GNI per capita'!AL103-1)</f>
        <v>4.1860465116279055E-2</v>
      </c>
      <c r="N104" s="30">
        <f>IF(OR('GNI per capita'!AM103="",'GNI per capita'!AN103=""),"",'GNI per capita'!AN103/'GNI per capita'!AM103-1)</f>
        <v>2.2321428571428603E-2</v>
      </c>
      <c r="O104" s="30">
        <f>IF(OR('GNI per capita'!AN103="",'GNI per capita'!AO103=""),"",'GNI per capita'!AO103/'GNI per capita'!AN103-1)</f>
        <v>-2.6200873362445365E-2</v>
      </c>
      <c r="P104" s="30">
        <f>IF(OR('GNI per capita'!AO103="",'GNI per capita'!AP103=""),"",'GNI per capita'!AP103/'GNI per capita'!AO103-1)</f>
        <v>4.2600896860986559E-2</v>
      </c>
      <c r="Q104" s="30">
        <f>IF(OR('GNI per capita'!AP103="",'GNI per capita'!AQ103=""),"",'GNI per capita'!AQ103/'GNI per capita'!AP103-1)</f>
        <v>3.4408602150537648E-2</v>
      </c>
      <c r="R104" s="30">
        <f>IF(OR('GNI per capita'!AQ103="",'GNI per capita'!AR103=""),"",'GNI per capita'!AR103/'GNI per capita'!AQ103-1)</f>
        <v>1.6632016632016633E-2</v>
      </c>
      <c r="S104" s="30">
        <f>IF(OR('GNI per capita'!AR103="",'GNI per capita'!AS103=""),"",'GNI per capita'!AS103/'GNI per capita'!AR103-1)</f>
        <v>-2.0449897750510759E-3</v>
      </c>
      <c r="T104" s="30">
        <f>IF(OR('GNI per capita'!AS103="",'GNI per capita'!AT103=""),"",'GNI per capita'!AT103/'GNI per capita'!AS103-1)</f>
        <v>7.7868852459016313E-2</v>
      </c>
      <c r="U104" s="2" t="s">
        <v>162</v>
      </c>
    </row>
    <row r="105" spans="1:21" x14ac:dyDescent="0.2">
      <c r="A105" s="2" t="s">
        <v>420</v>
      </c>
      <c r="B105" s="2" t="s">
        <v>421</v>
      </c>
      <c r="C105" s="11" t="s">
        <v>82</v>
      </c>
      <c r="D105" s="30">
        <f t="shared" si="4"/>
        <v>5.441833425126974E-2</v>
      </c>
      <c r="E105" s="31">
        <f>Assumptions!$C$5</f>
        <v>1.244E-2</v>
      </c>
      <c r="F105" s="32">
        <f>IF($C105="L",Assumptions!$C$8,IF($C105="LM",Assumptions!$C$9,IF($C105="UM",Assumptions!$C$10,Assumptions!$C$11)))</f>
        <v>9.0712000000000001E-2</v>
      </c>
      <c r="G105" s="33">
        <f>IF(J105&lt;Assumptions!$C$13,"",MIN(MAX(D105,E105),F105))</f>
        <v>5.441833425126974E-2</v>
      </c>
      <c r="H105" s="12" t="str">
        <f t="shared" si="5"/>
        <v>unadjusted</v>
      </c>
      <c r="I105" s="34">
        <f t="shared" si="6"/>
        <v>0</v>
      </c>
      <c r="J105" s="12">
        <f t="shared" si="7"/>
        <v>10</v>
      </c>
      <c r="K105" s="30">
        <f>IF(OR('GNI per capita'!AJ104="",'GNI per capita'!AK104=""),"",'GNI per capita'!AK104/'GNI per capita'!AJ104-1)</f>
        <v>-0.23007246376811596</v>
      </c>
      <c r="L105" s="30">
        <f>IF(OR('GNI per capita'!AK104="",'GNI per capita'!AL104=""),"",'GNI per capita'!AL104/'GNI per capita'!AK104-1)</f>
        <v>-8.4705882352941186E-2</v>
      </c>
      <c r="M105" s="30">
        <f>IF(OR('GNI per capita'!AL104="",'GNI per capita'!AM104=""),"",'GNI per capita'!AM104/'GNI per capita'!AL104-1)</f>
        <v>2.5706940874035134E-3</v>
      </c>
      <c r="N105" s="30">
        <f>IF(OR('GNI per capita'!AM104="",'GNI per capita'!AN104=""),"",'GNI per capita'!AN104/'GNI per capita'!AM104-1)</f>
        <v>8.9743589743589647E-2</v>
      </c>
      <c r="O105" s="30">
        <f>IF(OR('GNI per capita'!AN104="",'GNI per capita'!AO104=""),"",'GNI per capita'!AO104/'GNI per capita'!AN104-1)</f>
        <v>-1.4117647058823568E-2</v>
      </c>
      <c r="P105" s="30">
        <f>IF(OR('GNI per capita'!AO104="",'GNI per capita'!AP104=""),"",'GNI per capita'!AP104/'GNI per capita'!AO104-1)</f>
        <v>1.9093078758949833E-2</v>
      </c>
      <c r="Q105" s="30">
        <f>IF(OR('GNI per capita'!AP104="",'GNI per capita'!AQ104=""),"",'GNI per capita'!AQ104/'GNI per capita'!AP104-1)</f>
        <v>0.10070257611241207</v>
      </c>
      <c r="R105" s="30">
        <f>IF(OR('GNI per capita'!AQ104="",'GNI per capita'!AR104=""),"",'GNI per capita'!AR104/'GNI per capita'!AQ104-1)</f>
        <v>0.13936170212765964</v>
      </c>
      <c r="S105" s="30">
        <f>IF(OR('GNI per capita'!AR104="",'GNI per capita'!AS104=""),"",'GNI per capita'!AS104/'GNI per capita'!AR104-1)</f>
        <v>0.12978524743230624</v>
      </c>
      <c r="T105" s="30">
        <f>IF(OR('GNI per capita'!AS104="",'GNI per capita'!AT104=""),"",'GNI per capita'!AT104/'GNI per capita'!AS104-1)</f>
        <v>0.13553719008264453</v>
      </c>
      <c r="U105" s="2" t="s">
        <v>162</v>
      </c>
    </row>
    <row r="106" spans="1:21" x14ac:dyDescent="0.2">
      <c r="A106" s="2" t="s">
        <v>422</v>
      </c>
      <c r="B106" s="2" t="s">
        <v>423</v>
      </c>
      <c r="C106" s="11" t="s">
        <v>210</v>
      </c>
      <c r="D106" s="30">
        <f t="shared" si="4"/>
        <v>5.555555555555558E-2</v>
      </c>
      <c r="E106" s="31">
        <f>Assumptions!$C$5</f>
        <v>1.244E-2</v>
      </c>
      <c r="F106" s="32">
        <f>IF($C106="L",Assumptions!$C$8,IF($C106="LM",Assumptions!$C$9,IF($C106="UM",Assumptions!$C$10,Assumptions!$C$11)))</f>
        <v>7.4680999999999997E-2</v>
      </c>
      <c r="G106" s="33">
        <f>IF(J106&lt;Assumptions!$C$13,"",MIN(MAX(D106,E106),F106))</f>
        <v>5.555555555555558E-2</v>
      </c>
      <c r="H106" s="12" t="str">
        <f t="shared" si="5"/>
        <v>unadjusted</v>
      </c>
      <c r="I106" s="34">
        <f t="shared" si="6"/>
        <v>0</v>
      </c>
      <c r="J106" s="12">
        <f t="shared" si="7"/>
        <v>10</v>
      </c>
      <c r="K106" s="30">
        <f>IF(OR('GNI per capita'!AJ105="",'GNI per capita'!AK105=""),"",'GNI per capita'!AK105/'GNI per capita'!AJ105-1)</f>
        <v>0.1287878787878789</v>
      </c>
      <c r="L106" s="30">
        <f>IF(OR('GNI per capita'!AK105="",'GNI per capita'!AL105=""),"",'GNI per capita'!AL105/'GNI per capita'!AK105-1)</f>
        <v>3.3557046979865834E-2</v>
      </c>
      <c r="M106" s="30">
        <f>IF(OR('GNI per capita'!AL105="",'GNI per capita'!AM105=""),"",'GNI per capita'!AM105/'GNI per capita'!AL105-1)</f>
        <v>0.11688311688311681</v>
      </c>
      <c r="N106" s="30">
        <f>IF(OR('GNI per capita'!AM105="",'GNI per capita'!AN105=""),"",'GNI per capita'!AN105/'GNI per capita'!AM105-1)</f>
        <v>9.3023255813953432E-2</v>
      </c>
      <c r="O106" s="30">
        <f>IF(OR('GNI per capita'!AN105="",'GNI per capita'!AO105=""),"",'GNI per capita'!AO105/'GNI per capita'!AN105-1)</f>
        <v>1.5957446808510634E-2</v>
      </c>
      <c r="P106" s="30">
        <f>IF(OR('GNI per capita'!AO105="",'GNI per capita'!AP105=""),"",'GNI per capita'!AP105/'GNI per capita'!AO105-1)</f>
        <v>8.3769633507853491E-2</v>
      </c>
      <c r="Q106" s="30">
        <f>IF(OR('GNI per capita'!AP105="",'GNI per capita'!AQ105=""),"",'GNI per capita'!AQ105/'GNI per capita'!AP105-1)</f>
        <v>4.8309178743961345E-2</v>
      </c>
      <c r="R106" s="30">
        <f>IF(OR('GNI per capita'!AQ105="",'GNI per capita'!AR105=""),"",'GNI per capita'!AR105/'GNI per capita'!AQ105-1)</f>
        <v>-2.7649769585253448E-2</v>
      </c>
      <c r="S106" s="30">
        <f>IF(OR('GNI per capita'!AR105="",'GNI per capita'!AS105=""),"",'GNI per capita'!AS105/'GNI per capita'!AR105-1)</f>
        <v>-1.8957345971563955E-2</v>
      </c>
      <c r="T106" s="30">
        <f>IF(OR('GNI per capita'!AS105="",'GNI per capita'!AT105=""),"",'GNI per capita'!AT105/'GNI per capita'!AS105-1)</f>
        <v>6.2801932367149815E-2</v>
      </c>
      <c r="U106" s="2" t="s">
        <v>162</v>
      </c>
    </row>
    <row r="107" spans="1:21" x14ac:dyDescent="0.2">
      <c r="A107" s="2" t="s">
        <v>424</v>
      </c>
      <c r="B107" s="2" t="s">
        <v>425</v>
      </c>
      <c r="C107" s="11" t="s">
        <v>210</v>
      </c>
      <c r="D107" s="30">
        <f t="shared" si="4"/>
        <v>4.4046291872378851E-2</v>
      </c>
      <c r="E107" s="31">
        <f>Assumptions!$C$5</f>
        <v>1.244E-2</v>
      </c>
      <c r="F107" s="32">
        <f>IF($C107="L",Assumptions!$C$8,IF($C107="LM",Assumptions!$C$9,IF($C107="UM",Assumptions!$C$10,Assumptions!$C$11)))</f>
        <v>7.4680999999999997E-2</v>
      </c>
      <c r="G107" s="33">
        <f>IF(J107&lt;Assumptions!$C$13,"",MIN(MAX(D107,E107),F107))</f>
        <v>4.4046291872378851E-2</v>
      </c>
      <c r="H107" s="12" t="str">
        <f t="shared" si="5"/>
        <v>unadjusted</v>
      </c>
      <c r="I107" s="34">
        <f t="shared" si="6"/>
        <v>0</v>
      </c>
      <c r="J107" s="12">
        <f t="shared" si="7"/>
        <v>10</v>
      </c>
      <c r="K107" s="30">
        <f>IF(OR('GNI per capita'!AJ106="",'GNI per capita'!AK106=""),"",'GNI per capita'!AK106/'GNI per capita'!AJ106-1)</f>
        <v>-0.14326647564469919</v>
      </c>
      <c r="L107" s="30">
        <f>IF(OR('GNI per capita'!AK106="",'GNI per capita'!AL106=""),"",'GNI per capita'!AL106/'GNI per capita'!AK106-1)</f>
        <v>4.6822742474916357E-2</v>
      </c>
      <c r="M107" s="30">
        <f>IF(OR('GNI per capita'!AL106="",'GNI per capita'!AM106=""),"",'GNI per capita'!AM106/'GNI per capita'!AL106-1)</f>
        <v>4.7923322683706138E-2</v>
      </c>
      <c r="N107" s="30">
        <f>IF(OR('GNI per capita'!AM106="",'GNI per capita'!AN106=""),"",'GNI per capita'!AN106/'GNI per capita'!AM106-1)</f>
        <v>0.10060975609756095</v>
      </c>
      <c r="O107" s="30">
        <f>IF(OR('GNI per capita'!AN106="",'GNI per capita'!AO106=""),"",'GNI per capita'!AO106/'GNI per capita'!AN106-1)</f>
        <v>-0.14958448753462605</v>
      </c>
      <c r="P107" s="30">
        <f>IF(OR('GNI per capita'!AO106="",'GNI per capita'!AP106=""),"",'GNI per capita'!AP106/'GNI per capita'!AO106-1)</f>
        <v>2.6058631921824116E-2</v>
      </c>
      <c r="Q107" s="30">
        <f>IF(OR('GNI per capita'!AP106="",'GNI per capita'!AQ106=""),"",'GNI per capita'!AQ106/'GNI per capita'!AP106-1)</f>
        <v>4.1269841269841345E-2</v>
      </c>
      <c r="R107" s="30">
        <f>IF(OR('GNI per capita'!AQ106="",'GNI per capita'!AR106=""),"",'GNI per capita'!AR106/'GNI per capita'!AQ106-1)</f>
        <v>0.13109756097560976</v>
      </c>
      <c r="S107" s="30">
        <f>IF(OR('GNI per capita'!AR106="",'GNI per capita'!AS106=""),"",'GNI per capita'!AS106/'GNI per capita'!AR106-1)</f>
        <v>-3.5040431266846306E-2</v>
      </c>
      <c r="T107" s="30">
        <f>IF(OR('GNI per capita'!AS106="",'GNI per capita'!AT106=""),"",'GNI per capita'!AT106/'GNI per capita'!AS106-1)</f>
        <v>9.77653631284916E-2</v>
      </c>
      <c r="U107" s="2" t="s">
        <v>162</v>
      </c>
    </row>
    <row r="108" spans="1:21" x14ac:dyDescent="0.2">
      <c r="A108" s="2" t="s">
        <v>426</v>
      </c>
      <c r="B108" s="2" t="s">
        <v>427</v>
      </c>
      <c r="C108" s="11" t="s">
        <v>75</v>
      </c>
      <c r="D108" s="30" t="str">
        <f t="shared" si="4"/>
        <v/>
      </c>
      <c r="E108" s="31">
        <f>Assumptions!$C$5</f>
        <v>1.244E-2</v>
      </c>
      <c r="F108" s="32">
        <f>IF($C108="L",Assumptions!$C$8,IF($C108="LM",Assumptions!$C$9,IF($C108="UM",Assumptions!$C$10,Assumptions!$C$11)))</f>
        <v>5.5947999999999998E-2</v>
      </c>
      <c r="G108" s="33" t="str">
        <f>IF(J108&lt;Assumptions!$C$13,"",MIN(MAX(D108,E108),F108))</f>
        <v/>
      </c>
      <c r="H108" s="12" t="str">
        <f t="shared" si="5"/>
        <v>frozen</v>
      </c>
      <c r="I108" s="34" t="str">
        <f t="shared" si="6"/>
        <v/>
      </c>
      <c r="J108" s="12">
        <f t="shared" si="7"/>
        <v>0</v>
      </c>
      <c r="K108" s="30" t="str">
        <f>IF(OR('GNI per capita'!AJ107="",'GNI per capita'!AK107=""),"",'GNI per capita'!AK107/'GNI per capita'!AJ107-1)</f>
        <v/>
      </c>
      <c r="L108" s="30" t="str">
        <f>IF(OR('GNI per capita'!AK107="",'GNI per capita'!AL107=""),"",'GNI per capita'!AL107/'GNI per capita'!AK107-1)</f>
        <v/>
      </c>
      <c r="M108" s="30" t="str">
        <f>IF(OR('GNI per capita'!AL107="",'GNI per capita'!AM107=""),"",'GNI per capita'!AM107/'GNI per capita'!AL107-1)</f>
        <v/>
      </c>
      <c r="N108" s="30" t="str">
        <f>IF(OR('GNI per capita'!AM107="",'GNI per capita'!AN107=""),"",'GNI per capita'!AN107/'GNI per capita'!AM107-1)</f>
        <v/>
      </c>
      <c r="O108" s="30" t="str">
        <f>IF(OR('GNI per capita'!AN107="",'GNI per capita'!AO107=""),"",'GNI per capita'!AO107/'GNI per capita'!AN107-1)</f>
        <v/>
      </c>
      <c r="P108" s="30" t="str">
        <f>IF(OR('GNI per capita'!AO107="",'GNI per capita'!AP107=""),"",'GNI per capita'!AP107/'GNI per capita'!AO107-1)</f>
        <v/>
      </c>
      <c r="Q108" s="30" t="str">
        <f>IF(OR('GNI per capita'!AP107="",'GNI per capita'!AQ107=""),"",'GNI per capita'!AQ107/'GNI per capita'!AP107-1)</f>
        <v/>
      </c>
      <c r="R108" s="30" t="str">
        <f>IF(OR('GNI per capita'!AQ107="",'GNI per capita'!AR107=""),"",'GNI per capita'!AR107/'GNI per capita'!AQ107-1)</f>
        <v/>
      </c>
      <c r="S108" s="30" t="str">
        <f>IF(OR('GNI per capita'!AR107="",'GNI per capita'!AS107=""),"",'GNI per capita'!AS107/'GNI per capita'!AR107-1)</f>
        <v/>
      </c>
      <c r="T108" s="30" t="str">
        <f>IF(OR('GNI per capita'!AS107="",'GNI per capita'!AT107=""),"",'GNI per capita'!AT107/'GNI per capita'!AS107-1)</f>
        <v/>
      </c>
      <c r="U108" s="28" t="s">
        <v>204</v>
      </c>
    </row>
    <row r="109" spans="1:21" x14ac:dyDescent="0.2">
      <c r="A109" s="2" t="s">
        <v>428</v>
      </c>
      <c r="B109" s="2" t="s">
        <v>429</v>
      </c>
      <c r="C109" s="11" t="s">
        <v>79</v>
      </c>
      <c r="D109" s="30">
        <f t="shared" si="4"/>
        <v>3.0594443384830527E-2</v>
      </c>
      <c r="E109" s="31">
        <f>Assumptions!$C$5</f>
        <v>1.244E-2</v>
      </c>
      <c r="F109" s="32">
        <f>IF($C109="L",Assumptions!$C$8,IF($C109="LM",Assumptions!$C$9,IF($C109="UM",Assumptions!$C$10,Assumptions!$C$11)))</f>
        <v>7.1689000000000003E-2</v>
      </c>
      <c r="G109" s="33">
        <f>IF(J109&lt;Assumptions!$C$13,"",MIN(MAX(D109,E109),F109))</f>
        <v>3.0594443384830527E-2</v>
      </c>
      <c r="H109" s="12" t="str">
        <f t="shared" si="5"/>
        <v>unadjusted</v>
      </c>
      <c r="I109" s="34">
        <f t="shared" si="6"/>
        <v>0</v>
      </c>
      <c r="J109" s="12">
        <f t="shared" si="7"/>
        <v>10</v>
      </c>
      <c r="K109" s="30">
        <f>IF(OR('GNI per capita'!AJ108="",'GNI per capita'!AK108=""),"",'GNI per capita'!AK108/'GNI per capita'!AJ108-1)</f>
        <v>2.3896448722203756E-2</v>
      </c>
      <c r="L109" s="30">
        <f>IF(OR('GNI per capita'!AK108="",'GNI per capita'!AL108=""),"",'GNI per capita'!AL108/'GNI per capita'!AK108-1)</f>
        <v>3.5332252836304701E-2</v>
      </c>
      <c r="M109" s="30">
        <f>IF(OR('GNI per capita'!AL108="",'GNI per capita'!AM108=""),"",'GNI per capita'!AM108/'GNI per capita'!AL108-1)</f>
        <v>8.3594239198497178E-2</v>
      </c>
      <c r="N109" s="30">
        <f>IF(OR('GNI per capita'!AM108="",'GNI per capita'!AN108=""),"",'GNI per capita'!AN108/'GNI per capita'!AM108-1)</f>
        <v>3.4094192429933612E-2</v>
      </c>
      <c r="O109" s="30">
        <f>IF(OR('GNI per capita'!AN108="",'GNI per capita'!AO108=""),"",'GNI per capita'!AO108/'GNI per capita'!AN108-1)</f>
        <v>-2.2073204805811653E-2</v>
      </c>
      <c r="P109" s="30">
        <f>IF(OR('GNI per capita'!AO108="",'GNI per capita'!AP108=""),"",'GNI per capita'!AP108/'GNI per capita'!AO108-1)</f>
        <v>7.0000000000000062E-2</v>
      </c>
      <c r="Q109" s="30">
        <f>IF(OR('GNI per capita'!AP108="",'GNI per capita'!AQ108=""),"",'GNI per capita'!AQ108/'GNI per capita'!AP108-1)</f>
        <v>3.0440587449933165E-2</v>
      </c>
      <c r="R109" s="30">
        <f>IF(OR('GNI per capita'!AQ108="",'GNI per capita'!AR108=""),"",'GNI per capita'!AR108/'GNI per capita'!AQ108-1)</f>
        <v>-1.4770665975641362E-2</v>
      </c>
      <c r="S109" s="30">
        <f>IF(OR('GNI per capita'!AR108="",'GNI per capita'!AS108=""),"",'GNI per capita'!AS108/'GNI per capita'!AR108-1)</f>
        <v>-3.3403471856917388E-2</v>
      </c>
      <c r="T109" s="30">
        <f>IF(OR('GNI per capita'!AS108="",'GNI per capita'!AT108=""),"",'GNI per capita'!AT108/'GNI per capita'!AS108-1)</f>
        <v>3.074829931972789E-2</v>
      </c>
      <c r="U109" s="2" t="s">
        <v>162</v>
      </c>
    </row>
    <row r="110" spans="1:21" x14ac:dyDescent="0.2">
      <c r="A110" s="2" t="s">
        <v>430</v>
      </c>
      <c r="B110" s="2" t="s">
        <v>431</v>
      </c>
      <c r="C110" s="11" t="s">
        <v>82</v>
      </c>
      <c r="D110" s="30">
        <f t="shared" si="4"/>
        <v>9.0023641826331047E-2</v>
      </c>
      <c r="E110" s="31">
        <f>Assumptions!$C$5</f>
        <v>1.244E-2</v>
      </c>
      <c r="F110" s="32">
        <f>IF($C110="L",Assumptions!$C$8,IF($C110="LM",Assumptions!$C$9,IF($C110="UM",Assumptions!$C$10,Assumptions!$C$11)))</f>
        <v>9.0712000000000001E-2</v>
      </c>
      <c r="G110" s="33">
        <f>IF(J110&lt;Assumptions!$C$13,"",MIN(MAX(D110,E110),F110))</f>
        <v>9.0023641826331047E-2</v>
      </c>
      <c r="H110" s="12" t="str">
        <f t="shared" si="5"/>
        <v>unadjusted</v>
      </c>
      <c r="I110" s="34">
        <f t="shared" si="6"/>
        <v>0</v>
      </c>
      <c r="J110" s="12">
        <f t="shared" si="7"/>
        <v>10</v>
      </c>
      <c r="K110" s="30">
        <f>IF(OR('GNI per capita'!AJ109="",'GNI per capita'!AK109=""),"",'GNI per capita'!AK109/'GNI per capita'!AJ109-1)</f>
        <v>0</v>
      </c>
      <c r="L110" s="30">
        <f>IF(OR('GNI per capita'!AK109="",'GNI per capita'!AL109=""),"",'GNI per capita'!AL109/'GNI per capita'!AK109-1)</f>
        <v>5.0890585241729624E-3</v>
      </c>
      <c r="M110" s="30">
        <f>IF(OR('GNI per capita'!AL109="",'GNI per capita'!AM109=""),"",'GNI per capita'!AM109/'GNI per capita'!AL109-1)</f>
        <v>8.8607594936708889E-2</v>
      </c>
      <c r="N110" s="30">
        <f>IF(OR('GNI per capita'!AM109="",'GNI per capita'!AN109=""),"",'GNI per capita'!AN109/'GNI per capita'!AM109-1)</f>
        <v>7.9069767441860561E-2</v>
      </c>
      <c r="O110" s="30">
        <f>IF(OR('GNI per capita'!AN109="",'GNI per capita'!AO109=""),"",'GNI per capita'!AO109/'GNI per capita'!AN109-1)</f>
        <v>-4.094827586206895E-2</v>
      </c>
      <c r="P110" s="30">
        <f>IF(OR('GNI per capita'!AO109="",'GNI per capita'!AP109=""),"",'GNI per capita'!AP109/'GNI per capita'!AO109-1)</f>
        <v>0.15505617977528097</v>
      </c>
      <c r="Q110" s="30">
        <f>IF(OR('GNI per capita'!AP109="",'GNI per capita'!AQ109=""),"",'GNI per capita'!AQ109/'GNI per capita'!AP109-1)</f>
        <v>9.1439688715953205E-2</v>
      </c>
      <c r="R110" s="30">
        <f>IF(OR('GNI per capita'!AQ109="",'GNI per capita'!AR109=""),"",'GNI per capita'!AR109/'GNI per capita'!AQ109-1)</f>
        <v>0.1212121212121211</v>
      </c>
      <c r="S110" s="30">
        <f>IF(OR('GNI per capita'!AR109="",'GNI per capita'!AS109=""),"",'GNI per capita'!AS109/'GNI per capita'!AR109-1)</f>
        <v>0.10015898251192379</v>
      </c>
      <c r="T110" s="30">
        <f>IF(OR('GNI per capita'!AS109="",'GNI per capita'!AT109=""),"",'GNI per capita'!AT109/'GNI per capita'!AS109-1)</f>
        <v>0.12138728323699421</v>
      </c>
      <c r="U110" s="2" t="s">
        <v>162</v>
      </c>
    </row>
    <row r="111" spans="1:21" x14ac:dyDescent="0.2">
      <c r="A111" s="2" t="s">
        <v>432</v>
      </c>
      <c r="B111" s="2" t="s">
        <v>433</v>
      </c>
      <c r="C111" s="11" t="s">
        <v>79</v>
      </c>
      <c r="D111" s="30">
        <f t="shared" si="4"/>
        <v>5.5138662316476239E-2</v>
      </c>
      <c r="E111" s="31">
        <f>Assumptions!$C$5</f>
        <v>1.244E-2</v>
      </c>
      <c r="F111" s="32">
        <f>IF($C111="L",Assumptions!$C$8,IF($C111="LM",Assumptions!$C$9,IF($C111="UM",Assumptions!$C$10,Assumptions!$C$11)))</f>
        <v>7.1689000000000003E-2</v>
      </c>
      <c r="G111" s="33">
        <f>IF(J111&lt;Assumptions!$C$13,"",MIN(MAX(D111,E111),F111))</f>
        <v>5.5138662316476239E-2</v>
      </c>
      <c r="H111" s="12" t="str">
        <f t="shared" si="5"/>
        <v>unadjusted</v>
      </c>
      <c r="I111" s="34">
        <f t="shared" si="6"/>
        <v>0</v>
      </c>
      <c r="J111" s="12">
        <f t="shared" si="7"/>
        <v>9</v>
      </c>
      <c r="K111" s="30">
        <f>IF(OR('GNI per capita'!AJ110="",'GNI per capita'!AK110=""),"",'GNI per capita'!AK110/'GNI per capita'!AJ110-1)</f>
        <v>-0.16519244561319624</v>
      </c>
      <c r="L111" s="30">
        <f>IF(OR('GNI per capita'!AK110="",'GNI per capita'!AL110=""),"",'GNI per capita'!AL110/'GNI per capita'!AK110-1)</f>
        <v>-0.12227949599083621</v>
      </c>
      <c r="M111" s="30">
        <f>IF(OR('GNI per capita'!AL110="",'GNI per capita'!AM110=""),"",'GNI per capita'!AM110/'GNI per capita'!AL110-1)</f>
        <v>5.5138662316476239E-2</v>
      </c>
      <c r="N111" s="30">
        <f>IF(OR('GNI per capita'!AM110="",'GNI per capita'!AN110=""),"",'GNI per capita'!AN110/'GNI per capita'!AM110-1)</f>
        <v>0.10327767470624605</v>
      </c>
      <c r="O111" s="30">
        <f>IF(OR('GNI per capita'!AN110="",'GNI per capita'!AO110=""),"",'GNI per capita'!AO110/'GNI per capita'!AN110-1)</f>
        <v>-7.090807174887892E-2</v>
      </c>
      <c r="P111" s="30">
        <f>IF(OR('GNI per capita'!AO110="",'GNI per capita'!AP110=""),"",'GNI per capita'!AP110/'GNI per capita'!AO110-1)</f>
        <v>8.5671191553544412E-2</v>
      </c>
      <c r="Q111" s="30">
        <f>IF(OR('GNI per capita'!AP110="",'GNI per capita'!AQ110=""),"",'GNI per capita'!AQ110/'GNI per capita'!AP110-1)</f>
        <v>8.6968602389552618E-2</v>
      </c>
      <c r="R111" s="30">
        <f>IF(OR('GNI per capita'!AQ110="",'GNI per capita'!AR110=""),"",'GNI per capita'!AR110/'GNI per capita'!AQ110-1)</f>
        <v>7.4642126789365992E-2</v>
      </c>
      <c r="S111" s="30">
        <f>IF(OR('GNI per capita'!AR110="",'GNI per capita'!AS110=""),"",'GNI per capita'!AS110/'GNI per capita'!AR110-1)</f>
        <v>-2.2121788772597517E-2</v>
      </c>
      <c r="T111" s="30" t="str">
        <f>IF(OR('GNI per capita'!AS110="",'GNI per capita'!AT110=""),"",'GNI per capita'!AT110/'GNI per capita'!AS110-1)</f>
        <v/>
      </c>
      <c r="U111" s="2" t="s">
        <v>162</v>
      </c>
    </row>
    <row r="112" spans="1:21" x14ac:dyDescent="0.2">
      <c r="A112" s="2" t="s">
        <v>434</v>
      </c>
      <c r="B112" s="2" t="s">
        <v>435</v>
      </c>
      <c r="C112" s="11" t="s">
        <v>210</v>
      </c>
      <c r="D112" s="30">
        <f t="shared" si="4"/>
        <v>7.52521040260824E-2</v>
      </c>
      <c r="E112" s="31">
        <f>Assumptions!$C$5</f>
        <v>1.244E-2</v>
      </c>
      <c r="F112" s="32">
        <f>IF($C112="L",Assumptions!$C$8,IF($C112="LM",Assumptions!$C$9,IF($C112="UM",Assumptions!$C$10,Assumptions!$C$11)))</f>
        <v>7.4680999999999997E-2</v>
      </c>
      <c r="G112" s="33">
        <f>IF(J112&lt;Assumptions!$C$13,"",MIN(MAX(D112,E112),F112))</f>
        <v>7.4680999999999997E-2</v>
      </c>
      <c r="H112" s="12" t="str">
        <f t="shared" si="5"/>
        <v>cut by cap</v>
      </c>
      <c r="I112" s="34">
        <f t="shared" si="6"/>
        <v>-5.7110402608240296E-4</v>
      </c>
      <c r="J112" s="12">
        <f t="shared" si="7"/>
        <v>10</v>
      </c>
      <c r="K112" s="30">
        <f>IF(OR('GNI per capita'!AJ111="",'GNI per capita'!AK111=""),"",'GNI per capita'!AK111/'GNI per capita'!AJ111-1)</f>
        <v>-6.0344827586206851E-2</v>
      </c>
      <c r="L112" s="30">
        <f>IF(OR('GNI per capita'!AK111="",'GNI per capita'!AL111=""),"",'GNI per capita'!AL111/'GNI per capita'!AK111-1)</f>
        <v>0</v>
      </c>
      <c r="M112" s="30">
        <f>IF(OR('GNI per capita'!AL111="",'GNI per capita'!AM111=""),"",'GNI per capita'!AM111/'GNI per capita'!AL111-1)</f>
        <v>0.10091743119266061</v>
      </c>
      <c r="N112" s="30">
        <f>IF(OR('GNI per capita'!AM111="",'GNI per capita'!AN111=""),"",'GNI per capita'!AN111/'GNI per capita'!AM111-1)</f>
        <v>3.3333333333333437E-2</v>
      </c>
      <c r="O112" s="30">
        <f>IF(OR('GNI per capita'!AN111="",'GNI per capita'!AO111=""),"",'GNI per capita'!AO111/'GNI per capita'!AN111-1)</f>
        <v>-2.4193548387096753E-2</v>
      </c>
      <c r="P112" s="30">
        <f>IF(OR('GNI per capita'!AO111="",'GNI per capita'!AP111=""),"",'GNI per capita'!AP111/'GNI per capita'!AO111-1)</f>
        <v>4.9586776859504189E-2</v>
      </c>
      <c r="Q112" s="30">
        <f>IF(OR('GNI per capita'!AP111="",'GNI per capita'!AQ111=""),"",'GNI per capita'!AQ111/'GNI per capita'!AP111-1)</f>
        <v>0.21259842519685046</v>
      </c>
      <c r="R112" s="30">
        <f>IF(OR('GNI per capita'!AQ111="",'GNI per capita'!AR111=""),"",'GNI per capita'!AR111/'GNI per capita'!AQ111-1)</f>
        <v>0.19480519480519476</v>
      </c>
      <c r="S112" s="30">
        <f>IF(OR('GNI per capita'!AR111="",'GNI per capita'!AS111=""),"",'GNI per capita'!AS111/'GNI per capita'!AR111-1)</f>
        <v>0.22826086956521729</v>
      </c>
      <c r="T112" s="30">
        <f>IF(OR('GNI per capita'!AS111="",'GNI per capita'!AT111=""),"",'GNI per capita'!AT111/'GNI per capita'!AS111-1)</f>
        <v>0.23893805309734506</v>
      </c>
      <c r="U112" s="28" t="s">
        <v>378</v>
      </c>
    </row>
    <row r="113" spans="1:21" x14ac:dyDescent="0.2">
      <c r="A113" s="2" t="s">
        <v>436</v>
      </c>
      <c r="B113" s="2" t="s">
        <v>437</v>
      </c>
      <c r="C113" s="11" t="s">
        <v>210</v>
      </c>
      <c r="D113" s="30">
        <f t="shared" si="4"/>
        <v>1.826799644514665E-2</v>
      </c>
      <c r="E113" s="31">
        <f>Assumptions!$C$5</f>
        <v>1.244E-2</v>
      </c>
      <c r="F113" s="32">
        <f>IF($C113="L",Assumptions!$C$8,IF($C113="LM",Assumptions!$C$9,IF($C113="UM",Assumptions!$C$10,Assumptions!$C$11)))</f>
        <v>7.4680999999999997E-2</v>
      </c>
      <c r="G113" s="33">
        <f>IF(J113&lt;Assumptions!$C$13,"",MIN(MAX(D113,E113),F113))</f>
        <v>1.826799644514665E-2</v>
      </c>
      <c r="H113" s="12" t="str">
        <f t="shared" si="5"/>
        <v>unadjusted</v>
      </c>
      <c r="I113" s="34">
        <f t="shared" si="6"/>
        <v>0</v>
      </c>
      <c r="J113" s="12">
        <f t="shared" si="7"/>
        <v>10</v>
      </c>
      <c r="K113" s="30">
        <f>IF(OR('GNI per capita'!AJ112="",'GNI per capita'!AK112=""),"",'GNI per capita'!AK112/'GNI per capita'!AJ112-1)</f>
        <v>7.6530612244897878E-2</v>
      </c>
      <c r="L113" s="30">
        <f>IF(OR('GNI per capita'!AK112="",'GNI per capita'!AL112=""),"",'GNI per capita'!AL112/'GNI per capita'!AK112-1)</f>
        <v>6.1611374407583019E-2</v>
      </c>
      <c r="M113" s="30">
        <f>IF(OR('GNI per capita'!AL112="",'GNI per capita'!AM112=""),"",'GNI per capita'!AM112/'GNI per capita'!AL112-1)</f>
        <v>9.8214285714285809E-2</v>
      </c>
      <c r="N113" s="30">
        <f>IF(OR('GNI per capita'!AM112="",'GNI per capita'!AN112=""),"",'GNI per capita'!AN112/'GNI per capita'!AM112-1)</f>
        <v>2.4390243902439046E-2</v>
      </c>
      <c r="O113" s="30">
        <f>IF(OR('GNI per capita'!AN112="",'GNI per capita'!AO112=""),"",'GNI per capita'!AO112/'GNI per capita'!AN112-1)</f>
        <v>-1.9841269841269882E-2</v>
      </c>
      <c r="P113" s="30">
        <f>IF(OR('GNI per capita'!AO112="",'GNI per capita'!AP112=""),"",'GNI per capita'!AP112/'GNI per capita'!AO112-1)</f>
        <v>1.2145748987854255E-2</v>
      </c>
      <c r="Q113" s="30">
        <f>IF(OR('GNI per capita'!AP112="",'GNI per capita'!AQ112=""),"",'GNI per capita'!AQ112/'GNI per capita'!AP112-1)</f>
        <v>-7.999999999999996E-2</v>
      </c>
      <c r="R113" s="30">
        <f>IF(OR('GNI per capita'!AQ112="",'GNI per capita'!AR112=""),"",'GNI per capita'!AR112/'GNI per capita'!AQ112-1)</f>
        <v>-8.260869565217388E-2</v>
      </c>
      <c r="S113" s="30">
        <f>IF(OR('GNI per capita'!AR112="",'GNI per capita'!AS112=""),"",'GNI per capita'!AS112/'GNI per capita'!AR112-1)</f>
        <v>-5.2132701421800931E-2</v>
      </c>
      <c r="T113" s="30">
        <f>IF(OR('GNI per capita'!AS112="",'GNI per capita'!AT112=""),"",'GNI per capita'!AT112/'GNI per capita'!AS112-1)</f>
        <v>7.4999999999999956E-2</v>
      </c>
      <c r="U113" s="2" t="s">
        <v>162</v>
      </c>
    </row>
    <row r="114" spans="1:21" x14ac:dyDescent="0.2">
      <c r="A114" s="2" t="s">
        <v>438</v>
      </c>
      <c r="B114" s="2" t="s">
        <v>439</v>
      </c>
      <c r="C114" s="11" t="s">
        <v>79</v>
      </c>
      <c r="D114" s="30">
        <f t="shared" si="4"/>
        <v>4.3611433330358995E-2</v>
      </c>
      <c r="E114" s="31">
        <f>Assumptions!$C$5</f>
        <v>1.244E-2</v>
      </c>
      <c r="F114" s="32">
        <f>IF($C114="L",Assumptions!$C$8,IF($C114="LM",Assumptions!$C$9,IF($C114="UM",Assumptions!$C$10,Assumptions!$C$11)))</f>
        <v>7.1689000000000003E-2</v>
      </c>
      <c r="G114" s="33">
        <f>IF(J114&lt;Assumptions!$C$13,"",MIN(MAX(D114,E114),F114))</f>
        <v>4.3611433330358995E-2</v>
      </c>
      <c r="H114" s="12" t="str">
        <f t="shared" si="5"/>
        <v>unadjusted</v>
      </c>
      <c r="I114" s="34">
        <f t="shared" si="6"/>
        <v>0</v>
      </c>
      <c r="J114" s="12">
        <f t="shared" si="7"/>
        <v>10</v>
      </c>
      <c r="K114" s="30">
        <f>IF(OR('GNI per capita'!AJ113="",'GNI per capita'!AK113=""),"",'GNI per capita'!AK113/'GNI per capita'!AJ113-1)</f>
        <v>-1.9204389574759895E-2</v>
      </c>
      <c r="L114" s="30">
        <f>IF(OR('GNI per capita'!AK113="",'GNI per capita'!AL113=""),"",'GNI per capita'!AL113/'GNI per capita'!AK113-1)</f>
        <v>4.1958041958041203E-3</v>
      </c>
      <c r="M114" s="30">
        <f>IF(OR('GNI per capita'!AL113="",'GNI per capita'!AM113=""),"",'GNI per capita'!AM113/'GNI per capita'!AL113-1)</f>
        <v>0.11490250696378834</v>
      </c>
      <c r="N114" s="30">
        <f>IF(OR('GNI per capita'!AM113="",'GNI per capita'!AN113=""),"",'GNI per capita'!AN113/'GNI per capita'!AM113-1)</f>
        <v>6.2460961898813228E-2</v>
      </c>
      <c r="O114" s="30">
        <f>IF(OR('GNI per capita'!AN113="",'GNI per capita'!AO113=""),"",'GNI per capita'!AO113/'GNI per capita'!AN113-1)</f>
        <v>1.9988242210464469E-2</v>
      </c>
      <c r="P114" s="30">
        <f>IF(OR('GNI per capita'!AO113="",'GNI per capita'!AP113=""),"",'GNI per capita'!AP113/'GNI per capita'!AO113-1)</f>
        <v>0.11296829971181555</v>
      </c>
      <c r="Q114" s="30">
        <f>IF(OR('GNI per capita'!AP113="",'GNI per capita'!AQ113=""),"",'GNI per capita'!AQ113/'GNI per capita'!AP113-1)</f>
        <v>6.8358363542206035E-2</v>
      </c>
      <c r="R114" s="30">
        <f>IF(OR('GNI per capita'!AQ113="",'GNI per capita'!AR113=""),"",'GNI per capita'!AR113/'GNI per capita'!AQ113-1)</f>
        <v>1.7935046049442516E-2</v>
      </c>
      <c r="S114" s="30">
        <f>IF(OR('GNI per capita'!AR113="",'GNI per capita'!AS113=""),"",'GNI per capita'!AS113/'GNI per capita'!AR113-1)</f>
        <v>2.4761904761904763E-2</v>
      </c>
      <c r="T114" s="30">
        <f>IF(OR('GNI per capita'!AS113="",'GNI per capita'!AT113=""),"",'GNI per capita'!AT113/'GNI per capita'!AS113-1)</f>
        <v>0.16078066914498135</v>
      </c>
      <c r="U114" s="2" t="s">
        <v>162</v>
      </c>
    </row>
    <row r="115" spans="1:21" x14ac:dyDescent="0.2">
      <c r="A115" s="2" t="s">
        <v>440</v>
      </c>
      <c r="B115" s="2" t="s">
        <v>441</v>
      </c>
      <c r="C115" s="11" t="s">
        <v>210</v>
      </c>
      <c r="D115" s="30">
        <f t="shared" si="4"/>
        <v>-4.0431266846361225E-2</v>
      </c>
      <c r="E115" s="31">
        <f>Assumptions!$C$5</f>
        <v>1.244E-2</v>
      </c>
      <c r="F115" s="32">
        <f>IF($C115="L",Assumptions!$C$8,IF($C115="LM",Assumptions!$C$9,IF($C115="UM",Assumptions!$C$10,Assumptions!$C$11)))</f>
        <v>7.4680999999999997E-2</v>
      </c>
      <c r="G115" s="33">
        <f>IF(J115&lt;Assumptions!$C$13,"",MIN(MAX(D115,E115),F115))</f>
        <v>1.244E-2</v>
      </c>
      <c r="H115" s="12" t="str">
        <f t="shared" si="5"/>
        <v>raised by floor</v>
      </c>
      <c r="I115" s="34">
        <f t="shared" si="6"/>
        <v>5.2871266846361224E-2</v>
      </c>
      <c r="J115" s="12">
        <f t="shared" si="7"/>
        <v>9</v>
      </c>
      <c r="K115" s="30">
        <f>IF(OR('GNI per capita'!AJ114="",'GNI per capita'!AK114=""),"",'GNI per capita'!AK114/'GNI per capita'!AJ114-1)</f>
        <v>4.2119565217391353E-2</v>
      </c>
      <c r="L115" s="30">
        <f>IF(OR('GNI per capita'!AK114="",'GNI per capita'!AL114=""),"",'GNI per capita'!AL114/'GNI per capita'!AK114-1)</f>
        <v>7.6923076923076872E-2</v>
      </c>
      <c r="M115" s="30">
        <f>IF(OR('GNI per capita'!AL114="",'GNI per capita'!AM114=""),"",'GNI per capita'!AM114/'GNI per capita'!AL114-1)</f>
        <v>5.3268765133171803E-2</v>
      </c>
      <c r="N115" s="30">
        <f>IF(OR('GNI per capita'!AM114="",'GNI per capita'!AN114=""),"",'GNI per capita'!AN114/'GNI per capita'!AM114-1)</f>
        <v>-8.0459770114942319E-3</v>
      </c>
      <c r="O115" s="30">
        <f>IF(OR('GNI per capita'!AN114="",'GNI per capita'!AO114=""),"",'GNI per capita'!AO114/'GNI per capita'!AN114-1)</f>
        <v>-0.26419466975666284</v>
      </c>
      <c r="P115" s="30">
        <f>IF(OR('GNI per capita'!AO114="",'GNI per capita'!AP114=""),"",'GNI per capita'!AP114/'GNI per capita'!AO114-1)</f>
        <v>-0.2488188976377953</v>
      </c>
      <c r="Q115" s="30">
        <f>IF(OR('GNI per capita'!AP114="",'GNI per capita'!AQ114=""),"",'GNI per capita'!AQ114/'GNI per capita'!AP114-1)</f>
        <v>-0.13417190775681342</v>
      </c>
      <c r="R115" s="30">
        <f>IF(OR('GNI per capita'!AQ114="",'GNI per capita'!AR114=""),"",'GNI per capita'!AR114/'GNI per capita'!AQ114-1)</f>
        <v>-0.10169491525423724</v>
      </c>
      <c r="S115" s="30">
        <f>IF(OR('GNI per capita'!AR114="",'GNI per capita'!AS114=""),"",'GNI per capita'!AS114/'GNI per capita'!AR114-1)</f>
        <v>-4.0431266846361225E-2</v>
      </c>
      <c r="T115" s="30" t="str">
        <f>IF(OR('GNI per capita'!AS114="",'GNI per capita'!AT114=""),"",'GNI per capita'!AT114/'GNI per capita'!AS114-1)</f>
        <v/>
      </c>
      <c r="U115" s="28" t="s">
        <v>442</v>
      </c>
    </row>
    <row r="116" spans="1:21" x14ac:dyDescent="0.2">
      <c r="A116" s="2" t="s">
        <v>443</v>
      </c>
      <c r="B116" s="2" t="s">
        <v>444</v>
      </c>
      <c r="C116" s="11" t="s">
        <v>210</v>
      </c>
      <c r="D116" s="30">
        <f t="shared" si="4"/>
        <v>4.6100006729927756E-3</v>
      </c>
      <c r="E116" s="31">
        <f>Assumptions!$C$5</f>
        <v>1.244E-2</v>
      </c>
      <c r="F116" s="32">
        <f>IF($C116="L",Assumptions!$C$8,IF($C116="LM",Assumptions!$C$9,IF($C116="UM",Assumptions!$C$10,Assumptions!$C$11)))</f>
        <v>7.4680999999999997E-2</v>
      </c>
      <c r="G116" s="33">
        <f>IF(J116&lt;Assumptions!$C$13,"",MIN(MAX(D116,E116),F116))</f>
        <v>1.244E-2</v>
      </c>
      <c r="H116" s="12" t="str">
        <f t="shared" si="5"/>
        <v>raised by floor</v>
      </c>
      <c r="I116" s="34">
        <f t="shared" si="6"/>
        <v>7.8299993270072241E-3</v>
      </c>
      <c r="J116" s="12">
        <f t="shared" si="7"/>
        <v>10</v>
      </c>
      <c r="K116" s="30">
        <f>IF(OR('GNI per capita'!AJ115="",'GNI per capita'!AK115=""),"",'GNI per capita'!AK115/'GNI per capita'!AJ115-1)</f>
        <v>-3.125E-2</v>
      </c>
      <c r="L116" s="30">
        <f>IF(OR('GNI per capita'!AK115="",'GNI per capita'!AL115=""),"",'GNI per capita'!AL115/'GNI per capita'!AK115-1)</f>
        <v>-6.4516129032258118E-2</v>
      </c>
      <c r="M116" s="30">
        <f>IF(OR('GNI per capita'!AL115="",'GNI per capita'!AM115=""),"",'GNI per capita'!AM115/'GNI per capita'!AL115-1)</f>
        <v>7.7586206896551824E-2</v>
      </c>
      <c r="N116" s="30">
        <f>IF(OR('GNI per capita'!AM115="",'GNI per capita'!AN115=""),"",'GNI per capita'!AN115/'GNI per capita'!AM115-1)</f>
        <v>3.2000000000000028E-2</v>
      </c>
      <c r="O116" s="30">
        <f>IF(OR('GNI per capita'!AN115="",'GNI per capita'!AO115=""),"",'GNI per capita'!AO115/'GNI per capita'!AN115-1)</f>
        <v>-9.3023255813953543E-2</v>
      </c>
      <c r="P116" s="30">
        <f>IF(OR('GNI per capita'!AO115="",'GNI per capita'!AP115=""),"",'GNI per capita'!AP115/'GNI per capita'!AO115-1)</f>
        <v>1.7094017094017033E-2</v>
      </c>
      <c r="Q116" s="30">
        <f>IF(OR('GNI per capita'!AP115="",'GNI per capita'!AQ115=""),"",'GNI per capita'!AQ115/'GNI per capita'!AP115-1)</f>
        <v>6.7226890756302504E-2</v>
      </c>
      <c r="R116" s="30">
        <f>IF(OR('GNI per capita'!AQ115="",'GNI per capita'!AR115=""),"",'GNI per capita'!AR115/'GNI per capita'!AQ115-1)</f>
        <v>-7.8740157480314821E-3</v>
      </c>
      <c r="S116" s="30">
        <f>IF(OR('GNI per capita'!AR115="",'GNI per capita'!AS115=""),"",'GNI per capita'!AS115/'GNI per capita'!AR115-1)</f>
        <v>-1.5873015873015928E-2</v>
      </c>
      <c r="T116" s="30">
        <f>IF(OR('GNI per capita'!AS115="",'GNI per capita'!AT115=""),"",'GNI per capita'!AT115/'GNI per capita'!AS115-1)</f>
        <v>3.2258064516129004E-2</v>
      </c>
      <c r="U116" s="28" t="s">
        <v>445</v>
      </c>
    </row>
    <row r="117" spans="1:21" x14ac:dyDescent="0.2">
      <c r="A117" s="2" t="s">
        <v>446</v>
      </c>
      <c r="B117" s="2" t="s">
        <v>447</v>
      </c>
      <c r="C117" s="11" t="s">
        <v>75</v>
      </c>
      <c r="D117" s="30">
        <f t="shared" si="4"/>
        <v>3.2006245120999255E-2</v>
      </c>
      <c r="E117" s="31">
        <f>Assumptions!$C$5</f>
        <v>1.244E-2</v>
      </c>
      <c r="F117" s="32">
        <f>IF($C117="L",Assumptions!$C$8,IF($C117="LM",Assumptions!$C$9,IF($C117="UM",Assumptions!$C$10,Assumptions!$C$11)))</f>
        <v>5.5947999999999998E-2</v>
      </c>
      <c r="G117" s="33">
        <f>IF(J117&lt;Assumptions!$C$13,"",MIN(MAX(D117,E117),F117))</f>
        <v>3.2006245120999255E-2</v>
      </c>
      <c r="H117" s="12" t="str">
        <f t="shared" si="5"/>
        <v>unadjusted</v>
      </c>
      <c r="I117" s="34">
        <f t="shared" si="6"/>
        <v>0</v>
      </c>
      <c r="J117" s="12">
        <f t="shared" si="7"/>
        <v>10</v>
      </c>
      <c r="K117" s="30">
        <f>IF(OR('GNI per capita'!AJ116="",'GNI per capita'!AK116=""),"",'GNI per capita'!AK116/'GNI per capita'!AJ116-1)</f>
        <v>-1.6129032258064502E-2</v>
      </c>
      <c r="L117" s="30">
        <f>IF(OR('GNI per capita'!AK116="",'GNI per capita'!AL116=""),"",'GNI per capita'!AL116/'GNI per capita'!AK116-1)</f>
        <v>1.6393442622950838E-2</v>
      </c>
      <c r="M117" s="30">
        <f>IF(OR('GNI per capita'!AL116="",'GNI per capita'!AM116=""),"",'GNI per capita'!AM116/'GNI per capita'!AL116-1)</f>
        <v>0</v>
      </c>
      <c r="N117" s="30">
        <f>IF(OR('GNI per capita'!AM116="",'GNI per capita'!AN116=""),"",'GNI per capita'!AN116/'GNI per capita'!AM116-1)</f>
        <v>-3.2258064516129004E-2</v>
      </c>
      <c r="O117" s="30">
        <f>IF(OR('GNI per capita'!AN116="",'GNI per capita'!AO116=""),"",'GNI per capita'!AO116/'GNI per capita'!AN116-1)</f>
        <v>-5.0000000000000044E-2</v>
      </c>
      <c r="P117" s="30">
        <f>IF(OR('GNI per capita'!AO116="",'GNI per capita'!AP116=""),"",'GNI per capita'!AP116/'GNI per capita'!AO116-1)</f>
        <v>0.10526315789473695</v>
      </c>
      <c r="Q117" s="30">
        <f>IF(OR('GNI per capita'!AP116="",'GNI per capita'!AQ116=""),"",'GNI per capita'!AQ116/'GNI per capita'!AP116-1)</f>
        <v>4.7619047619047672E-2</v>
      </c>
      <c r="R117" s="30">
        <f>IF(OR('GNI per capita'!AQ116="",'GNI per capita'!AR116=""),"",'GNI per capita'!AR116/'GNI per capita'!AQ116-1)</f>
        <v>7.575757575757569E-2</v>
      </c>
      <c r="S117" s="30">
        <f>IF(OR('GNI per capita'!AR116="",'GNI per capita'!AS116=""),"",'GNI per capita'!AS116/'GNI per capita'!AR116-1)</f>
        <v>5.6338028169014009E-2</v>
      </c>
      <c r="T117" s="30">
        <f>IF(OR('GNI per capita'!AS116="",'GNI per capita'!AT116=""),"",'GNI per capita'!AT116/'GNI per capita'!AS116-1)</f>
        <v>0.10666666666666669</v>
      </c>
      <c r="U117" s="2" t="s">
        <v>162</v>
      </c>
    </row>
    <row r="118" spans="1:21" x14ac:dyDescent="0.2">
      <c r="A118" s="2" t="s">
        <v>448</v>
      </c>
      <c r="B118" s="2" t="s">
        <v>449</v>
      </c>
      <c r="C118" s="11" t="s">
        <v>82</v>
      </c>
      <c r="D118" s="30">
        <f t="shared" si="4"/>
        <v>8.9077727596862388E-3</v>
      </c>
      <c r="E118" s="31">
        <f>Assumptions!$C$5</f>
        <v>1.244E-2</v>
      </c>
      <c r="F118" s="32">
        <f>IF($C118="L",Assumptions!$C$8,IF($C118="LM",Assumptions!$C$9,IF($C118="UM",Assumptions!$C$10,Assumptions!$C$11)))</f>
        <v>9.0712000000000001E-2</v>
      </c>
      <c r="G118" s="33">
        <f>IF(J118&lt;Assumptions!$C$13,"",MIN(MAX(D118,E118),F118))</f>
        <v>1.244E-2</v>
      </c>
      <c r="H118" s="12" t="str">
        <f t="shared" si="5"/>
        <v>raised by floor</v>
      </c>
      <c r="I118" s="34">
        <f t="shared" si="6"/>
        <v>3.5322272403137608E-3</v>
      </c>
      <c r="J118" s="12">
        <f t="shared" si="7"/>
        <v>10</v>
      </c>
      <c r="K118" s="30">
        <f>IF(OR('GNI per capita'!AJ117="",'GNI per capita'!AK117=""),"",'GNI per capita'!AK117/'GNI per capita'!AJ117-1)</f>
        <v>-8.3632019115890133E-2</v>
      </c>
      <c r="L118" s="30">
        <f>IF(OR('GNI per capita'!AK117="",'GNI per capita'!AL117=""),"",'GNI per capita'!AL117/'GNI per capita'!AK117-1)</f>
        <v>0.27249022164276404</v>
      </c>
      <c r="M118" s="30">
        <f>IF(OR('GNI per capita'!AL117="",'GNI per capita'!AM117=""),"",'GNI per capita'!AM117/'GNI per capita'!AL117-1)</f>
        <v>0.12704918032786883</v>
      </c>
      <c r="N118" s="30">
        <f>IF(OR('GNI per capita'!AM117="",'GNI per capita'!AN117=""),"",'GNI per capita'!AN117/'GNI per capita'!AM117-1)</f>
        <v>-8.181818181818179E-2</v>
      </c>
      <c r="O118" s="30">
        <f>IF(OR('GNI per capita'!AN117="",'GNI per capita'!AO117=""),"",'GNI per capita'!AO117/'GNI per capita'!AN117-1)</f>
        <v>-0.30693069306930698</v>
      </c>
      <c r="P118" s="30">
        <f>IF(OR('GNI per capita'!AO117="",'GNI per capita'!AP117=""),"",'GNI per capita'!AP117/'GNI per capita'!AO117-1)</f>
        <v>-7.1428571428571175E-3</v>
      </c>
      <c r="Q118" s="30">
        <f>IF(OR('GNI per capita'!AP117="",'GNI per capita'!AQ117=""),"",'GNI per capita'!AQ117/'GNI per capita'!AP117-1)</f>
        <v>-0.1352517985611511</v>
      </c>
      <c r="R118" s="30">
        <f>IF(OR('GNI per capita'!AQ117="",'GNI per capita'!AR117=""),"",'GNI per capita'!AR117/'GNI per capita'!AQ117-1)</f>
        <v>2.4958402662229595E-2</v>
      </c>
      <c r="S118" s="30">
        <f>IF(OR('GNI per capita'!AR117="",'GNI per capita'!AS117=""),"",'GNI per capita'!AS117/'GNI per capita'!AR117-1)</f>
        <v>0.10227272727272729</v>
      </c>
      <c r="T118" s="30">
        <f>IF(OR('GNI per capita'!AS117="",'GNI per capita'!AT117=""),"",'GNI per capita'!AT117/'GNI per capita'!AS117-1)</f>
        <v>6.7746686303387316E-2</v>
      </c>
      <c r="U118" s="28" t="s">
        <v>344</v>
      </c>
    </row>
    <row r="119" spans="1:21" x14ac:dyDescent="0.2">
      <c r="A119" s="2" t="s">
        <v>450</v>
      </c>
      <c r="B119" s="2" t="s">
        <v>451</v>
      </c>
      <c r="C119" s="11" t="s">
        <v>79</v>
      </c>
      <c r="D119" s="30" t="str">
        <f t="shared" si="4"/>
        <v/>
      </c>
      <c r="E119" s="31">
        <f>Assumptions!$C$5</f>
        <v>1.244E-2</v>
      </c>
      <c r="F119" s="32">
        <f>IF($C119="L",Assumptions!$C$8,IF($C119="LM",Assumptions!$C$9,IF($C119="UM",Assumptions!$C$10,Assumptions!$C$11)))</f>
        <v>7.1689000000000003E-2</v>
      </c>
      <c r="G119" s="33" t="str">
        <f>IF(J119&lt;Assumptions!$C$13,"",MIN(MAX(D119,E119),F119))</f>
        <v/>
      </c>
      <c r="H119" s="12" t="str">
        <f t="shared" si="5"/>
        <v>frozen</v>
      </c>
      <c r="I119" s="34" t="str">
        <f t="shared" si="6"/>
        <v/>
      </c>
      <c r="J119" s="12">
        <f t="shared" si="7"/>
        <v>0</v>
      </c>
      <c r="K119" s="30" t="str">
        <f>IF(OR('GNI per capita'!AJ118="",'GNI per capita'!AK118=""),"",'GNI per capita'!AK118/'GNI per capita'!AJ118-1)</f>
        <v/>
      </c>
      <c r="L119" s="30" t="str">
        <f>IF(OR('GNI per capita'!AK118="",'GNI per capita'!AL118=""),"",'GNI per capita'!AL118/'GNI per capita'!AK118-1)</f>
        <v/>
      </c>
      <c r="M119" s="30" t="str">
        <f>IF(OR('GNI per capita'!AL118="",'GNI per capita'!AM118=""),"",'GNI per capita'!AM118/'GNI per capita'!AL118-1)</f>
        <v/>
      </c>
      <c r="N119" s="30" t="str">
        <f>IF(OR('GNI per capita'!AM118="",'GNI per capita'!AN118=""),"",'GNI per capita'!AN118/'GNI per capita'!AM118-1)</f>
        <v/>
      </c>
      <c r="O119" s="30" t="str">
        <f>IF(OR('GNI per capita'!AN118="",'GNI per capita'!AO118=""),"",'GNI per capita'!AO118/'GNI per capita'!AN118-1)</f>
        <v/>
      </c>
      <c r="P119" s="30" t="str">
        <f>IF(OR('GNI per capita'!AO118="",'GNI per capita'!AP118=""),"",'GNI per capita'!AP118/'GNI per capita'!AO118-1)</f>
        <v/>
      </c>
      <c r="Q119" s="30" t="str">
        <f>IF(OR('GNI per capita'!AP118="",'GNI per capita'!AQ118=""),"",'GNI per capita'!AQ118/'GNI per capita'!AP118-1)</f>
        <v/>
      </c>
      <c r="R119" s="30" t="str">
        <f>IF(OR('GNI per capita'!AQ118="",'GNI per capita'!AR118=""),"",'GNI per capita'!AR118/'GNI per capita'!AQ118-1)</f>
        <v/>
      </c>
      <c r="S119" s="30" t="str">
        <f>IF(OR('GNI per capita'!AR118="",'GNI per capita'!AS118=""),"",'GNI per capita'!AS118/'GNI per capita'!AR118-1)</f>
        <v/>
      </c>
      <c r="T119" s="30" t="str">
        <f>IF(OR('GNI per capita'!AS118="",'GNI per capita'!AT118=""),"",'GNI per capita'!AT118/'GNI per capita'!AS118-1)</f>
        <v/>
      </c>
      <c r="U119" s="28" t="s">
        <v>204</v>
      </c>
    </row>
    <row r="120" spans="1:21" x14ac:dyDescent="0.2">
      <c r="A120" s="2" t="s">
        <v>452</v>
      </c>
      <c r="B120" s="2" t="s">
        <v>453</v>
      </c>
      <c r="C120" s="11" t="s">
        <v>79</v>
      </c>
      <c r="D120" s="30">
        <f t="shared" si="4"/>
        <v>7.5338000309159714E-2</v>
      </c>
      <c r="E120" s="31">
        <f>Assumptions!$C$5</f>
        <v>1.244E-2</v>
      </c>
      <c r="F120" s="32">
        <f>IF($C120="L",Assumptions!$C$8,IF($C120="LM",Assumptions!$C$9,IF($C120="UM",Assumptions!$C$10,Assumptions!$C$11)))</f>
        <v>7.1689000000000003E-2</v>
      </c>
      <c r="G120" s="33">
        <f>IF(J120&lt;Assumptions!$C$13,"",MIN(MAX(D120,E120),F120))</f>
        <v>7.1689000000000003E-2</v>
      </c>
      <c r="H120" s="12" t="str">
        <f t="shared" si="5"/>
        <v>cut by cap</v>
      </c>
      <c r="I120" s="34">
        <f t="shared" si="6"/>
        <v>-3.6490003091597112E-3</v>
      </c>
      <c r="J120" s="12">
        <f t="shared" si="7"/>
        <v>10</v>
      </c>
      <c r="K120" s="30">
        <f>IF(OR('GNI per capita'!AJ119="",'GNI per capita'!AK119=""),"",'GNI per capita'!AK119/'GNI per capita'!AJ119-1)</f>
        <v>-2.1681997371879147E-2</v>
      </c>
      <c r="L120" s="30">
        <f>IF(OR('GNI per capita'!AK119="",'GNI per capita'!AL119=""),"",'GNI per capita'!AL119/'GNI per capita'!AK119-1)</f>
        <v>2.4848891873740842E-2</v>
      </c>
      <c r="M120" s="30">
        <f>IF(OR('GNI per capita'!AL119="",'GNI per capita'!AM119=""),"",'GNI per capita'!AM119/'GNI per capita'!AL119-1)</f>
        <v>0.15006553079947582</v>
      </c>
      <c r="N120" s="30">
        <f>IF(OR('GNI per capita'!AM119="",'GNI per capita'!AN119=""),"",'GNI per capita'!AN119/'GNI per capita'!AM119-1)</f>
        <v>9.4017094017094127E-2</v>
      </c>
      <c r="O120" s="30">
        <f>IF(OR('GNI per capita'!AN119="",'GNI per capita'!AO119=""),"",'GNI per capita'!AO119/'GNI per capita'!AN119-1)</f>
        <v>3.125E-2</v>
      </c>
      <c r="P120" s="30">
        <f>IF(OR('GNI per capita'!AO119="",'GNI per capita'!AP119=""),"",'GNI per capita'!AP119/'GNI per capita'!AO119-1)</f>
        <v>0.11313131313131319</v>
      </c>
      <c r="Q120" s="30">
        <f>IF(OR('GNI per capita'!AP119="",'GNI per capita'!AQ119=""),"",'GNI per capita'!AQ119/'GNI per capita'!AP119-1)</f>
        <v>8.166969147005454E-2</v>
      </c>
      <c r="R120" s="30">
        <f>IF(OR('GNI per capita'!AQ119="",'GNI per capita'!AR119=""),"",'GNI per capita'!AR119/'GNI per capita'!AQ119-1)</f>
        <v>6.3758389261745041E-2</v>
      </c>
      <c r="S120" s="30">
        <f>IF(OR('GNI per capita'!AR119="",'GNI per capita'!AS119=""),"",'GNI per capita'!AS119/'GNI per capita'!AR119-1)</f>
        <v>6.9006309148264888E-2</v>
      </c>
      <c r="T120" s="30">
        <f>IF(OR('GNI per capita'!AS119="",'GNI per capita'!AT119=""),"",'GNI per capita'!AT119/'GNI per capita'!AS119-1)</f>
        <v>0.12504610844706754</v>
      </c>
      <c r="U120" s="28" t="s">
        <v>454</v>
      </c>
    </row>
    <row r="121" spans="1:21" x14ac:dyDescent="0.2">
      <c r="A121" s="2" t="s">
        <v>455</v>
      </c>
      <c r="B121" s="2" t="s">
        <v>456</v>
      </c>
      <c r="C121" s="11" t="s">
        <v>79</v>
      </c>
      <c r="D121" s="30">
        <f t="shared" si="4"/>
        <v>1.9146181426956232E-2</v>
      </c>
      <c r="E121" s="31">
        <f>Assumptions!$C$5</f>
        <v>1.244E-2</v>
      </c>
      <c r="F121" s="32">
        <f>IF($C121="L",Assumptions!$C$8,IF($C121="LM",Assumptions!$C$9,IF($C121="UM",Assumptions!$C$10,Assumptions!$C$11)))</f>
        <v>7.1689000000000003E-2</v>
      </c>
      <c r="G121" s="33">
        <f>IF(J121&lt;Assumptions!$C$13,"",MIN(MAX(D121,E121),F121))</f>
        <v>1.9146181426956232E-2</v>
      </c>
      <c r="H121" s="12" t="str">
        <f t="shared" si="5"/>
        <v>unadjusted</v>
      </c>
      <c r="I121" s="34">
        <f t="shared" si="6"/>
        <v>0</v>
      </c>
      <c r="J121" s="12">
        <f t="shared" si="7"/>
        <v>10</v>
      </c>
      <c r="K121" s="30">
        <f>IF(OR('GNI per capita'!AJ120="",'GNI per capita'!AK120=""),"",'GNI per capita'!AK120/'GNI per capita'!AJ120-1)</f>
        <v>2.7199782401741146E-3</v>
      </c>
      <c r="L121" s="30">
        <f>IF(OR('GNI per capita'!AK120="",'GNI per capita'!AL120=""),"",'GNI per capita'!AL120/'GNI per capita'!AK120-1)</f>
        <v>2.8075410280754109E-2</v>
      </c>
      <c r="M121" s="30">
        <f>IF(OR('GNI per capita'!AL120="",'GNI per capita'!AM120=""),"",'GNI per capita'!AM120/'GNI per capita'!AL120-1)</f>
        <v>5.6992084432717638E-2</v>
      </c>
      <c r="N121" s="30">
        <f>IF(OR('GNI per capita'!AM120="",'GNI per capita'!AN120=""),"",'GNI per capita'!AN120/'GNI per capita'!AM120-1)</f>
        <v>-1.0484273589615567E-2</v>
      </c>
      <c r="O121" s="30">
        <f>IF(OR('GNI per capita'!AN120="",'GNI per capita'!AO120=""),"",'GNI per capita'!AO120/'GNI per capita'!AN120-1)</f>
        <v>1.0216952573158355E-2</v>
      </c>
      <c r="P121" s="30">
        <f>IF(OR('GNI per capita'!AO120="",'GNI per capita'!AP120=""),"",'GNI per capita'!AP120/'GNI per capita'!AO120-1)</f>
        <v>8.4405044325134293E-2</v>
      </c>
      <c r="Q121" s="30">
        <f>IF(OR('GNI per capita'!AP120="",'GNI per capita'!AQ120=""),"",'GNI per capita'!AQ120/'GNI per capita'!AP120-1)</f>
        <v>-3.0627518710420243E-2</v>
      </c>
      <c r="R121" s="30">
        <f>IF(OR('GNI per capita'!AQ120="",'GNI per capita'!AR120=""),"",'GNI per capita'!AR120/'GNI per capita'!AQ120-1)</f>
        <v>5.0956170566575532E-2</v>
      </c>
      <c r="S121" s="30">
        <f>IF(OR('GNI per capita'!AR120="",'GNI per capita'!AS120=""),"",'GNI per capita'!AS120/'GNI per capita'!AR120-1)</f>
        <v>-4.328661844484627E-2</v>
      </c>
      <c r="T121" s="30">
        <f>IF(OR('GNI per capita'!AS120="",'GNI per capita'!AT120=""),"",'GNI per capita'!AT120/'GNI per capita'!AS120-1)</f>
        <v>0.13077377436503257</v>
      </c>
      <c r="U121" s="2" t="s">
        <v>162</v>
      </c>
    </row>
    <row r="122" spans="1:21" x14ac:dyDescent="0.2">
      <c r="A122" s="2" t="s">
        <v>457</v>
      </c>
      <c r="B122" s="2" t="s">
        <v>458</v>
      </c>
      <c r="C122" s="11" t="s">
        <v>79</v>
      </c>
      <c r="D122" s="30">
        <f t="shared" si="4"/>
        <v>5.5010271627482288E-2</v>
      </c>
      <c r="E122" s="31">
        <f>Assumptions!$C$5</f>
        <v>1.244E-2</v>
      </c>
      <c r="F122" s="32">
        <f>IF($C122="L",Assumptions!$C$8,IF($C122="LM",Assumptions!$C$9,IF($C122="UM",Assumptions!$C$10,Assumptions!$C$11)))</f>
        <v>7.1689000000000003E-2</v>
      </c>
      <c r="G122" s="33">
        <f>IF(J122&lt;Assumptions!$C$13,"",MIN(MAX(D122,E122),F122))</f>
        <v>5.5010271627482288E-2</v>
      </c>
      <c r="H122" s="12" t="str">
        <f t="shared" si="5"/>
        <v>unadjusted</v>
      </c>
      <c r="I122" s="34">
        <f t="shared" si="6"/>
        <v>0</v>
      </c>
      <c r="J122" s="12">
        <f t="shared" si="7"/>
        <v>9</v>
      </c>
      <c r="K122" s="30">
        <f>IF(OR('GNI per capita'!AJ121="",'GNI per capita'!AK121=""),"",'GNI per capita'!AK121/'GNI per capita'!AJ121-1)</f>
        <v>2.9142955682014193E-2</v>
      </c>
      <c r="L122" s="30">
        <f>IF(OR('GNI per capita'!AK121="",'GNI per capita'!AL121=""),"",'GNI per capita'!AL121/'GNI per capita'!AK121-1)</f>
        <v>0.12081099195710454</v>
      </c>
      <c r="M122" s="30">
        <f>IF(OR('GNI per capita'!AL121="",'GNI per capita'!AM121=""),"",'GNI per capita'!AM121/'GNI per capita'!AL121-1)</f>
        <v>8.8055015697413586E-2</v>
      </c>
      <c r="N122" s="30">
        <f>IF(OR('GNI per capita'!AM121="",'GNI per capita'!AN121=""),"",'GNI per capita'!AN121/'GNI per capita'!AM121-1)</f>
        <v>-1.6213245397087128E-2</v>
      </c>
      <c r="O122" s="30">
        <f>IF(OR('GNI per capita'!AN121="",'GNI per capita'!AO121=""),"",'GNI per capita'!AO121/'GNI per capita'!AN121-1)</f>
        <v>-0.38812849162011176</v>
      </c>
      <c r="P122" s="30">
        <f>IF(OR('GNI per capita'!AO121="",'GNI per capita'!AP121=""),"",'GNI per capita'!AP121/'GNI per capita'!AO121-1)</f>
        <v>5.5010271627482288E-2</v>
      </c>
      <c r="Q122" s="30">
        <f>IF(OR('GNI per capita'!AP121="",'GNI per capita'!AQ121=""),"",'GNI per capita'!AQ121/'GNI per capita'!AP121-1)</f>
        <v>-2.1852012115967101E-2</v>
      </c>
      <c r="R122" s="30">
        <f>IF(OR('GNI per capita'!AQ121="",'GNI per capita'!AR121=""),"",'GNI per capita'!AR121/'GNI per capita'!AQ121-1)</f>
        <v>0.43286883432868839</v>
      </c>
      <c r="S122" s="30">
        <f>IF(OR('GNI per capita'!AR121="",'GNI per capita'!AS121=""),"",'GNI per capita'!AS121/'GNI per capita'!AR121-1)</f>
        <v>7.9345476999073794E-2</v>
      </c>
      <c r="T122" s="30" t="str">
        <f>IF(OR('GNI per capita'!AS121="",'GNI per capita'!AT121=""),"",'GNI per capita'!AT121/'GNI per capita'!AS121-1)</f>
        <v/>
      </c>
      <c r="U122" s="2" t="s">
        <v>162</v>
      </c>
    </row>
    <row r="123" spans="1:21" x14ac:dyDescent="0.2">
      <c r="A123" s="2" t="s">
        <v>459</v>
      </c>
      <c r="B123" s="2" t="s">
        <v>460</v>
      </c>
      <c r="C123" s="11" t="s">
        <v>75</v>
      </c>
      <c r="D123" s="30">
        <f t="shared" si="4"/>
        <v>3.0833333333333379E-2</v>
      </c>
      <c r="E123" s="31">
        <f>Assumptions!$C$5</f>
        <v>1.244E-2</v>
      </c>
      <c r="F123" s="32">
        <f>IF($C123="L",Assumptions!$C$8,IF($C123="LM",Assumptions!$C$9,IF($C123="UM",Assumptions!$C$10,Assumptions!$C$11)))</f>
        <v>5.5947999999999998E-2</v>
      </c>
      <c r="G123" s="33">
        <f>IF(J123&lt;Assumptions!$C$13,"",MIN(MAX(D123,E123),F123))</f>
        <v>3.0833333333333379E-2</v>
      </c>
      <c r="H123" s="12" t="str">
        <f t="shared" si="5"/>
        <v>unadjusted</v>
      </c>
      <c r="I123" s="34">
        <f t="shared" si="6"/>
        <v>0</v>
      </c>
      <c r="J123" s="12">
        <f t="shared" si="7"/>
        <v>10</v>
      </c>
      <c r="K123" s="30">
        <f>IF(OR('GNI per capita'!AJ122="",'GNI per capita'!AK122=""),"",'GNI per capita'!AK122/'GNI per capita'!AJ122-1)</f>
        <v>-4.2553191489361653E-2</v>
      </c>
      <c r="L123" s="30">
        <f>IF(OR('GNI per capita'!AK122="",'GNI per capita'!AL122=""),"",'GNI per capita'!AL122/'GNI per capita'!AK122-1)</f>
        <v>0</v>
      </c>
      <c r="M123" s="30">
        <f>IF(OR('GNI per capita'!AL122="",'GNI per capita'!AM122=""),"",'GNI per capita'!AM122/'GNI per capita'!AL122-1)</f>
        <v>6.6666666666666652E-2</v>
      </c>
      <c r="N123" s="30">
        <f>IF(OR('GNI per capita'!AM122="",'GNI per capita'!AN122=""),"",'GNI per capita'!AN122/'GNI per capita'!AM122-1)</f>
        <v>4.1666666666666741E-2</v>
      </c>
      <c r="O123" s="30">
        <f>IF(OR('GNI per capita'!AN122="",'GNI per capita'!AO122=""),"",'GNI per capita'!AO122/'GNI per capita'!AN122-1)</f>
        <v>-9.9999999999999978E-2</v>
      </c>
      <c r="P123" s="30">
        <f>IF(OR('GNI per capita'!AO122="",'GNI per capita'!AP122=""),"",'GNI per capita'!AP122/'GNI per capita'!AO122-1)</f>
        <v>4.4444444444444509E-2</v>
      </c>
      <c r="Q123" s="30">
        <f>IF(OR('GNI per capita'!AP122="",'GNI per capita'!AQ122=""),"",'GNI per capita'!AQ122/'GNI per capita'!AP122-1)</f>
        <v>6.3829787234042534E-2</v>
      </c>
      <c r="R123" s="30">
        <f>IF(OR('GNI per capita'!AQ122="",'GNI per capita'!AR122=""),"",'GNI per capita'!AR122/'GNI per capita'!AQ122-1)</f>
        <v>2.0000000000000018E-2</v>
      </c>
      <c r="S123" s="30">
        <f>IF(OR('GNI per capita'!AR122="",'GNI per capita'!AS122=""),"",'GNI per capita'!AS122/'GNI per capita'!AR122-1)</f>
        <v>1.9607843137254832E-2</v>
      </c>
      <c r="T123" s="30">
        <f>IF(OR('GNI per capita'!AS122="",'GNI per capita'!AT122=""),"",'GNI per capita'!AT122/'GNI per capita'!AS122-1)</f>
        <v>7.6923076923076872E-2</v>
      </c>
      <c r="U123" s="2" t="s">
        <v>162</v>
      </c>
    </row>
    <row r="124" spans="1:21" x14ac:dyDescent="0.2">
      <c r="A124" s="2" t="s">
        <v>461</v>
      </c>
      <c r="B124" s="2" t="s">
        <v>462</v>
      </c>
      <c r="C124" s="11" t="s">
        <v>75</v>
      </c>
      <c r="D124" s="30">
        <f t="shared" si="4"/>
        <v>1.8749999999999933E-2</v>
      </c>
      <c r="E124" s="31">
        <f>Assumptions!$C$5</f>
        <v>1.244E-2</v>
      </c>
      <c r="F124" s="32">
        <f>IF($C124="L",Assumptions!$C$8,IF($C124="LM",Assumptions!$C$9,IF($C124="UM",Assumptions!$C$10,Assumptions!$C$11)))</f>
        <v>5.5947999999999998E-2</v>
      </c>
      <c r="G124" s="33">
        <f>IF(J124&lt;Assumptions!$C$13,"",MIN(MAX(D124,E124),F124))</f>
        <v>1.8749999999999933E-2</v>
      </c>
      <c r="H124" s="12" t="str">
        <f t="shared" si="5"/>
        <v>unadjusted</v>
      </c>
      <c r="I124" s="34">
        <f t="shared" si="6"/>
        <v>0</v>
      </c>
      <c r="J124" s="12">
        <f t="shared" si="7"/>
        <v>10</v>
      </c>
      <c r="K124" s="30">
        <f>IF(OR('GNI per capita'!AJ123="",'GNI per capita'!AK123=""),"",'GNI per capita'!AK123/'GNI per capita'!AJ123-1)</f>
        <v>-3.9215686274509776E-2</v>
      </c>
      <c r="L124" s="30">
        <f>IF(OR('GNI per capita'!AK123="",'GNI per capita'!AL123=""),"",'GNI per capita'!AL123/'GNI per capita'!AK123-1)</f>
        <v>-2.0408163265306145E-2</v>
      </c>
      <c r="M124" s="30">
        <f>IF(OR('GNI per capita'!AL123="",'GNI per capita'!AM123=""),"",'GNI per capita'!AM123/'GNI per capita'!AL123-1)</f>
        <v>2.0833333333333259E-2</v>
      </c>
      <c r="N124" s="30">
        <f>IF(OR('GNI per capita'!AM123="",'GNI per capita'!AN123=""),"",'GNI per capita'!AN123/'GNI per capita'!AM123-1)</f>
        <v>0.1020408163265305</v>
      </c>
      <c r="O124" s="30">
        <f>IF(OR('GNI per capita'!AN123="",'GNI per capita'!AO123=""),"",'GNI per capita'!AO123/'GNI per capita'!AN123-1)</f>
        <v>3.7037037037036979E-2</v>
      </c>
      <c r="P124" s="30">
        <f>IF(OR('GNI per capita'!AO123="",'GNI per capita'!AP123=""),"",'GNI per capita'!AP123/'GNI per capita'!AO123-1)</f>
        <v>7.1428571428571397E-2</v>
      </c>
      <c r="Q124" s="30">
        <f>IF(OR('GNI per capita'!AP123="",'GNI per capita'!AQ123=""),"",'GNI per capita'!AQ123/'GNI per capita'!AP123-1)</f>
        <v>1.6666666666666607E-2</v>
      </c>
      <c r="R124" s="30">
        <f>IF(OR('GNI per capita'!AQ123="",'GNI per capita'!AR123=""),"",'GNI per capita'!AR123/'GNI per capita'!AQ123-1)</f>
        <v>1.6393442622950838E-2</v>
      </c>
      <c r="S124" s="30">
        <f>IF(OR('GNI per capita'!AR123="",'GNI per capita'!AS123=""),"",'GNI per capita'!AS123/'GNI per capita'!AR123-1)</f>
        <v>-8.064516129032262E-2</v>
      </c>
      <c r="T124" s="30">
        <f>IF(OR('GNI per capita'!AS123="",'GNI per capita'!AT123=""),"",'GNI per capita'!AT123/'GNI per capita'!AS123-1)</f>
        <v>5.2631578947368363E-2</v>
      </c>
      <c r="U124" s="2" t="s">
        <v>162</v>
      </c>
    </row>
    <row r="125" spans="1:21" x14ac:dyDescent="0.2">
      <c r="A125" s="2" t="s">
        <v>463</v>
      </c>
      <c r="B125" s="2" t="s">
        <v>464</v>
      </c>
      <c r="C125" s="11" t="s">
        <v>82</v>
      </c>
      <c r="D125" s="30">
        <f t="shared" si="4"/>
        <v>2.3719294303113259E-2</v>
      </c>
      <c r="E125" s="31">
        <f>Assumptions!$C$5</f>
        <v>1.244E-2</v>
      </c>
      <c r="F125" s="32">
        <f>IF($C125="L",Assumptions!$C$8,IF($C125="LM",Assumptions!$C$9,IF($C125="UM",Assumptions!$C$10,Assumptions!$C$11)))</f>
        <v>9.0712000000000001E-2</v>
      </c>
      <c r="G125" s="33">
        <f>IF(J125&lt;Assumptions!$C$13,"",MIN(MAX(D125,E125),F125))</f>
        <v>2.3719294303113259E-2</v>
      </c>
      <c r="H125" s="12" t="str">
        <f t="shared" si="5"/>
        <v>unadjusted</v>
      </c>
      <c r="I125" s="34">
        <f t="shared" si="6"/>
        <v>0</v>
      </c>
      <c r="J125" s="12">
        <f t="shared" si="7"/>
        <v>10</v>
      </c>
      <c r="K125" s="30">
        <f>IF(OR('GNI per capita'!AJ124="",'GNI per capita'!AK124=""),"",'GNI per capita'!AK124/'GNI per capita'!AJ124-1)</f>
        <v>-5.3140096618357502E-2</v>
      </c>
      <c r="L125" s="30">
        <f>IF(OR('GNI per capita'!AK124="",'GNI per capita'!AL124=""),"",'GNI per capita'!AL124/'GNI per capita'!AK124-1)</f>
        <v>-2.4489795918367308E-2</v>
      </c>
      <c r="M125" s="30">
        <f>IF(OR('GNI per capita'!AL124="",'GNI per capita'!AM124=""),"",'GNI per capita'!AM124/'GNI per capita'!AL124-1)</f>
        <v>6.6945606694560622E-2</v>
      </c>
      <c r="N125" s="30">
        <f>IF(OR('GNI per capita'!AM124="",'GNI per capita'!AN124=""),"",'GNI per capita'!AN124/'GNI per capita'!AM124-1)</f>
        <v>5.3921568627451011E-2</v>
      </c>
      <c r="O125" s="30">
        <f>IF(OR('GNI per capita'!AN124="",'GNI per capita'!AO124=""),"",'GNI per capita'!AO124/'GNI per capita'!AN124-1)</f>
        <v>-5.9534883720930187E-2</v>
      </c>
      <c r="P125" s="30">
        <f>IF(OR('GNI per capita'!AO124="",'GNI per capita'!AP124=""),"",'GNI per capita'!AP124/'GNI per capita'!AO124-1)</f>
        <v>4.0553907022749858E-2</v>
      </c>
      <c r="Q125" s="30">
        <f>IF(OR('GNI per capita'!AP124="",'GNI per capita'!AQ124=""),"",'GNI per capita'!AQ124/'GNI per capita'!AP124-1)</f>
        <v>0.1045627376425855</v>
      </c>
      <c r="R125" s="30">
        <f>IF(OR('GNI per capita'!AQ124="",'GNI per capita'!AR124=""),"",'GNI per capita'!AR124/'GNI per capita'!AQ124-1)</f>
        <v>6.8846815834766595E-3</v>
      </c>
      <c r="S125" s="30">
        <f>IF(OR('GNI per capita'!AR124="",'GNI per capita'!AS124=""),"",'GNI per capita'!AS124/'GNI per capita'!AR124-1)</f>
        <v>-4.2735042735042583E-3</v>
      </c>
      <c r="T125" s="30">
        <f>IF(OR('GNI per capita'!AS124="",'GNI per capita'!AT124=""),"",'GNI per capita'!AT124/'GNI per capita'!AS124-1)</f>
        <v>6.2660944206008651E-2</v>
      </c>
      <c r="U125" s="2" t="s">
        <v>162</v>
      </c>
    </row>
    <row r="126" spans="1:21" x14ac:dyDescent="0.2">
      <c r="A126" s="2" t="s">
        <v>465</v>
      </c>
      <c r="B126" s="2" t="s">
        <v>466</v>
      </c>
      <c r="C126" s="11" t="s">
        <v>82</v>
      </c>
      <c r="D126" s="30">
        <f t="shared" si="4"/>
        <v>7.005050900110632E-2</v>
      </c>
      <c r="E126" s="31">
        <f>Assumptions!$C$5</f>
        <v>1.244E-2</v>
      </c>
      <c r="F126" s="32">
        <f>IF($C126="L",Assumptions!$C$8,IF($C126="LM",Assumptions!$C$9,IF($C126="UM",Assumptions!$C$10,Assumptions!$C$11)))</f>
        <v>9.0712000000000001E-2</v>
      </c>
      <c r="G126" s="33">
        <f>IF(J126&lt;Assumptions!$C$13,"",MIN(MAX(D126,E126),F126))</f>
        <v>7.005050900110632E-2</v>
      </c>
      <c r="H126" s="12" t="str">
        <f t="shared" si="5"/>
        <v>unadjusted</v>
      </c>
      <c r="I126" s="34">
        <f t="shared" si="6"/>
        <v>0</v>
      </c>
      <c r="J126" s="12">
        <f t="shared" si="7"/>
        <v>10</v>
      </c>
      <c r="K126" s="30">
        <f>IF(OR('GNI per capita'!AJ125="",'GNI per capita'!AK125=""),"",'GNI per capita'!AK125/'GNI per capita'!AJ125-1)</f>
        <v>6.2119366626065764E-2</v>
      </c>
      <c r="L126" s="30">
        <f>IF(OR('GNI per capita'!AK125="",'GNI per capita'!AL125=""),"",'GNI per capita'!AL125/'GNI per capita'!AK125-1)</f>
        <v>7.7981651376146877E-2</v>
      </c>
      <c r="M126" s="30">
        <f>IF(OR('GNI per capita'!AL125="",'GNI per capita'!AM125=""),"",'GNI per capita'!AM125/'GNI per capita'!AL125-1)</f>
        <v>8.7234042553191449E-2</v>
      </c>
      <c r="N126" s="30">
        <f>IF(OR('GNI per capita'!AM125="",'GNI per capita'!AN125=""),"",'GNI per capita'!AN125/'GNI per capita'!AM125-1)</f>
        <v>4.9902152641878583E-2</v>
      </c>
      <c r="O126" s="30">
        <f>IF(OR('GNI per capita'!AN125="",'GNI per capita'!AO125=""),"",'GNI per capita'!AO125/'GNI per capita'!AN125-1)</f>
        <v>-0.34296365330848089</v>
      </c>
      <c r="P126" s="30">
        <f>IF(OR('GNI per capita'!AO125="",'GNI per capita'!AP125=""),"",'GNI per capita'!AP125/'GNI per capita'!AO125-1)</f>
        <v>0.32624113475177308</v>
      </c>
      <c r="Q126" s="30">
        <f>IF(OR('GNI per capita'!AP125="",'GNI per capita'!AQ125=""),"",'GNI per capita'!AQ125/'GNI per capita'!AP125-1)</f>
        <v>0.13048128342245979</v>
      </c>
      <c r="R126" s="30">
        <f>IF(OR('GNI per capita'!AQ125="",'GNI per capita'!AR125=""),"",'GNI per capita'!AR125/'GNI per capita'!AQ125-1)</f>
        <v>5.2980132450331174E-2</v>
      </c>
      <c r="S126" s="30">
        <f>IF(OR('GNI per capita'!AR125="",'GNI per capita'!AS125=""),"",'GNI per capita'!AS125/'GNI per capita'!AR125-1)</f>
        <v>3.6837376460018056E-2</v>
      </c>
      <c r="T126" s="30">
        <f>IF(OR('GNI per capita'!AS125="",'GNI per capita'!AT125=""),"",'GNI per capita'!AT125/'GNI per capita'!AS125-1)</f>
        <v>0.12218370883882157</v>
      </c>
      <c r="U126" s="2" t="s">
        <v>162</v>
      </c>
    </row>
    <row r="127" spans="1:21" x14ac:dyDescent="0.2">
      <c r="A127" s="2" t="s">
        <v>467</v>
      </c>
      <c r="B127" s="2" t="s">
        <v>468</v>
      </c>
      <c r="C127" s="11" t="s">
        <v>75</v>
      </c>
      <c r="D127" s="30">
        <f t="shared" si="4"/>
        <v>2.6030022357074412E-2</v>
      </c>
      <c r="E127" s="31">
        <f>Assumptions!$C$5</f>
        <v>1.244E-2</v>
      </c>
      <c r="F127" s="32">
        <f>IF($C127="L",Assumptions!$C$8,IF($C127="LM",Assumptions!$C$9,IF($C127="UM",Assumptions!$C$10,Assumptions!$C$11)))</f>
        <v>5.5947999999999998E-2</v>
      </c>
      <c r="G127" s="33">
        <f>IF(J127&lt;Assumptions!$C$13,"",MIN(MAX(D127,E127),F127))</f>
        <v>2.6030022357074412E-2</v>
      </c>
      <c r="H127" s="12" t="str">
        <f t="shared" si="5"/>
        <v>unadjusted</v>
      </c>
      <c r="I127" s="34">
        <f t="shared" si="6"/>
        <v>0</v>
      </c>
      <c r="J127" s="12">
        <f t="shared" si="7"/>
        <v>10</v>
      </c>
      <c r="K127" s="30">
        <f>IF(OR('GNI per capita'!AJ126="",'GNI per capita'!AK126=""),"",'GNI per capita'!AK126/'GNI per capita'!AJ126-1)</f>
        <v>-2.2471910112359605E-2</v>
      </c>
      <c r="L127" s="30">
        <f>IF(OR('GNI per capita'!AK126="",'GNI per capita'!AL126=""),"",'GNI per capita'!AL126/'GNI per capita'!AK126-1)</f>
        <v>-1.1494252873563204E-2</v>
      </c>
      <c r="M127" s="30">
        <f>IF(OR('GNI per capita'!AL126="",'GNI per capita'!AM126=""),"",'GNI per capita'!AM126/'GNI per capita'!AL126-1)</f>
        <v>8.1395348837209225E-2</v>
      </c>
      <c r="N127" s="30">
        <f>IF(OR('GNI per capita'!AM126="",'GNI per capita'!AN126=""),"",'GNI per capita'!AN126/'GNI per capita'!AM126-1)</f>
        <v>3.2258064516129004E-2</v>
      </c>
      <c r="O127" s="30">
        <f>IF(OR('GNI per capita'!AN126="",'GNI per capita'!AO126=""),"",'GNI per capita'!AO126/'GNI per capita'!AN126-1)</f>
        <v>-3.125E-2</v>
      </c>
      <c r="P127" s="30">
        <f>IF(OR('GNI per capita'!AO126="",'GNI per capita'!AP126=""),"",'GNI per capita'!AP126/'GNI per capita'!AO126-1)</f>
        <v>3.2258064516129004E-2</v>
      </c>
      <c r="Q127" s="30">
        <f>IF(OR('GNI per capita'!AP126="",'GNI per capita'!AQ126=""),"",'GNI per capita'!AQ126/'GNI per capita'!AP126-1)</f>
        <v>4.1666666666666741E-2</v>
      </c>
      <c r="R127" s="30">
        <f>IF(OR('GNI per capita'!AQ126="",'GNI per capita'!AR126=""),"",'GNI per capita'!AR126/'GNI per capita'!AQ126-1)</f>
        <v>1.0000000000000009E-2</v>
      </c>
      <c r="S127" s="30">
        <f>IF(OR('GNI per capita'!AR126="",'GNI per capita'!AS126=""),"",'GNI per capita'!AS126/'GNI per capita'!AR126-1)</f>
        <v>1.980198019801982E-2</v>
      </c>
      <c r="T127" s="30">
        <f>IF(OR('GNI per capita'!AS126="",'GNI per capita'!AT126=""),"",'GNI per capita'!AT126/'GNI per capita'!AS126-1)</f>
        <v>8.737864077669899E-2</v>
      </c>
      <c r="U127" s="2" t="s">
        <v>162</v>
      </c>
    </row>
    <row r="128" spans="1:21" x14ac:dyDescent="0.2">
      <c r="A128" s="2" t="s">
        <v>469</v>
      </c>
      <c r="B128" s="2" t="s">
        <v>470</v>
      </c>
      <c r="C128" s="11" t="s">
        <v>79</v>
      </c>
      <c r="D128" s="30">
        <f t="shared" si="4"/>
        <v>5.0770218146710788E-2</v>
      </c>
      <c r="E128" s="31">
        <f>Assumptions!$C$5</f>
        <v>1.244E-2</v>
      </c>
      <c r="F128" s="32">
        <f>IF($C128="L",Assumptions!$C$8,IF($C128="LM",Assumptions!$C$9,IF($C128="UM",Assumptions!$C$10,Assumptions!$C$11)))</f>
        <v>7.1689000000000003E-2</v>
      </c>
      <c r="G128" s="33">
        <f>IF(J128&lt;Assumptions!$C$13,"",MIN(MAX(D128,E128),F128))</f>
        <v>5.0770218146710788E-2</v>
      </c>
      <c r="H128" s="12" t="str">
        <f t="shared" si="5"/>
        <v>unadjusted</v>
      </c>
      <c r="I128" s="34">
        <f t="shared" si="6"/>
        <v>0</v>
      </c>
      <c r="J128" s="12">
        <f t="shared" si="7"/>
        <v>10</v>
      </c>
      <c r="K128" s="30">
        <f>IF(OR('GNI per capita'!AJ127="",'GNI per capita'!AK127=""),"",'GNI per capita'!AK127/'GNI per capita'!AJ127-1)</f>
        <v>-6.4782096584216742E-2</v>
      </c>
      <c r="L128" s="30">
        <f>IF(OR('GNI per capita'!AK127="",'GNI per capita'!AL127=""),"",'GNI per capita'!AL127/'GNI per capita'!AK127-1)</f>
        <v>0.12048698572628047</v>
      </c>
      <c r="M128" s="30">
        <f>IF(OR('GNI per capita'!AL127="",'GNI per capita'!AM127=""),"",'GNI per capita'!AM127/'GNI per capita'!AL127-1)</f>
        <v>8.7673285874859452E-2</v>
      </c>
      <c r="N128" s="30">
        <f>IF(OR('GNI per capita'!AM127="",'GNI per capita'!AN127=""),"",'GNI per capita'!AN127/'GNI per capita'!AM127-1)</f>
        <v>2.7557698932139107E-2</v>
      </c>
      <c r="O128" s="30">
        <f>IF(OR('GNI per capita'!AN127="",'GNI per capita'!AO127=""),"",'GNI per capita'!AO127/'GNI per capita'!AN127-1)</f>
        <v>-9.7888032182366747E-2</v>
      </c>
      <c r="P128" s="30">
        <f>IF(OR('GNI per capita'!AO127="",'GNI per capita'!AP127=""),"",'GNI per capita'!AP127/'GNI per capita'!AO127-1)</f>
        <v>0.20549981419546648</v>
      </c>
      <c r="Q128" s="30">
        <f>IF(OR('GNI per capita'!AP127="",'GNI per capita'!AQ127=""),"",'GNI per capita'!AQ127/'GNI per capita'!AP127-1)</f>
        <v>7.3982737361282469E-2</v>
      </c>
      <c r="R128" s="30">
        <f>IF(OR('GNI per capita'!AQ127="",'GNI per capita'!AR127=""),"",'GNI per capita'!AR127/'GNI per capita'!AQ127-1)</f>
        <v>2.5258323765786406E-2</v>
      </c>
      <c r="S128" s="30">
        <f>IF(OR('GNI per capita'!AR127="",'GNI per capita'!AS127=""),"",'GNI per capita'!AS127/'GNI per capita'!AR127-1)</f>
        <v>2.2956326987682019E-2</v>
      </c>
      <c r="T128" s="30">
        <f>IF(OR('GNI per capita'!AS127="",'GNI per capita'!AT127=""),"",'GNI per capita'!AT127/'GNI per capita'!AS127-1)</f>
        <v>0.13409961685823757</v>
      </c>
      <c r="U128" s="2" t="s">
        <v>162</v>
      </c>
    </row>
    <row r="129" spans="1:21" x14ac:dyDescent="0.2">
      <c r="A129" s="2" t="s">
        <v>471</v>
      </c>
      <c r="B129" s="2" t="s">
        <v>472</v>
      </c>
      <c r="C129" s="11" t="s">
        <v>82</v>
      </c>
      <c r="D129" s="30">
        <f t="shared" si="4"/>
        <v>5.961370175415337E-2</v>
      </c>
      <c r="E129" s="31">
        <f>Assumptions!$C$5</f>
        <v>1.244E-2</v>
      </c>
      <c r="F129" s="32">
        <f>IF($C129="L",Assumptions!$C$8,IF($C129="LM",Assumptions!$C$9,IF($C129="UM",Assumptions!$C$10,Assumptions!$C$11)))</f>
        <v>9.0712000000000001E-2</v>
      </c>
      <c r="G129" s="33">
        <f>IF(J129&lt;Assumptions!$C$13,"",MIN(MAX(D129,E129),F129))</f>
        <v>5.961370175415337E-2</v>
      </c>
      <c r="H129" s="12" t="str">
        <f t="shared" si="5"/>
        <v>unadjusted</v>
      </c>
      <c r="I129" s="34">
        <f t="shared" si="6"/>
        <v>0</v>
      </c>
      <c r="J129" s="12">
        <f t="shared" si="7"/>
        <v>10</v>
      </c>
      <c r="K129" s="30">
        <f>IF(OR('GNI per capita'!AJ128="",'GNI per capita'!AK128=""),"",'GNI per capita'!AK128/'GNI per capita'!AJ128-1)</f>
        <v>1.6064257028112428E-2</v>
      </c>
      <c r="L129" s="30">
        <f>IF(OR('GNI per capita'!AK128="",'GNI per capita'!AL128=""),"",'GNI per capita'!AL128/'GNI per capita'!AK128-1)</f>
        <v>4.9407114624505866E-2</v>
      </c>
      <c r="M129" s="30">
        <f>IF(OR('GNI per capita'!AL128="",'GNI per capita'!AM128=""),"",'GNI per capita'!AM128/'GNI per capita'!AL128-1)</f>
        <v>0.13747645951035792</v>
      </c>
      <c r="N129" s="30">
        <f>IF(OR('GNI per capita'!AM128="",'GNI per capita'!AN128=""),"",'GNI per capita'!AN128/'GNI per capita'!AM128-1)</f>
        <v>0.12086092715231778</v>
      </c>
      <c r="O129" s="30">
        <f>IF(OR('GNI per capita'!AN128="",'GNI per capita'!AO128=""),"",'GNI per capita'!AO128/'GNI per capita'!AN128-1)</f>
        <v>-2.3633677991137358E-2</v>
      </c>
      <c r="P129" s="30">
        <f>IF(OR('GNI per capita'!AO128="",'GNI per capita'!AP128=""),"",'GNI per capita'!AP128/'GNI per capita'!AO128-1)</f>
        <v>1.6641452344931862E-2</v>
      </c>
      <c r="Q129" s="30">
        <f>IF(OR('GNI per capita'!AP128="",'GNI per capita'!AQ128=""),"",'GNI per capita'!AQ128/'GNI per capita'!AP128-1)</f>
        <v>0.12797619047619047</v>
      </c>
      <c r="R129" s="30">
        <f>IF(OR('GNI per capita'!AQ128="",'GNI per capita'!AR128=""),"",'GNI per capita'!AR128/'GNI per capita'!AQ128-1)</f>
        <v>5.0131926121371961E-2</v>
      </c>
      <c r="S129" s="30">
        <f>IF(OR('GNI per capita'!AR128="",'GNI per capita'!AS128=""),"",'GNI per capita'!AS128/'GNI per capita'!AR128-1)</f>
        <v>6.9095477386934778E-2</v>
      </c>
      <c r="T129" s="30">
        <f>IF(OR('GNI per capita'!AS128="",'GNI per capita'!AT128=""),"",'GNI per capita'!AT128/'GNI per capita'!AS128-1)</f>
        <v>0.14101057579318454</v>
      </c>
      <c r="U129" s="2" t="s">
        <v>162</v>
      </c>
    </row>
    <row r="130" spans="1:21" x14ac:dyDescent="0.2">
      <c r="A130" s="2" t="s">
        <v>473</v>
      </c>
      <c r="B130" s="2" t="s">
        <v>474</v>
      </c>
      <c r="C130" s="11" t="s">
        <v>210</v>
      </c>
      <c r="D130" s="30">
        <f t="shared" si="4"/>
        <v>3.5601444369216861E-2</v>
      </c>
      <c r="E130" s="31">
        <f>Assumptions!$C$5</f>
        <v>1.244E-2</v>
      </c>
      <c r="F130" s="32">
        <f>IF($C130="L",Assumptions!$C$8,IF($C130="LM",Assumptions!$C$9,IF($C130="UM",Assumptions!$C$10,Assumptions!$C$11)))</f>
        <v>7.4680999999999997E-2</v>
      </c>
      <c r="G130" s="33">
        <f>IF(J130&lt;Assumptions!$C$13,"",MIN(MAX(D130,E130),F130))</f>
        <v>3.5601444369216861E-2</v>
      </c>
      <c r="H130" s="12" t="str">
        <f t="shared" si="5"/>
        <v>unadjusted</v>
      </c>
      <c r="I130" s="34">
        <f t="shared" si="6"/>
        <v>0</v>
      </c>
      <c r="J130" s="12">
        <f t="shared" si="7"/>
        <v>10</v>
      </c>
      <c r="K130" s="30">
        <f>IF(OR('GNI per capita'!AJ129="",'GNI per capita'!AK129=""),"",'GNI per capita'!AK129/'GNI per capita'!AJ129-1)</f>
        <v>-7.7380952380952328E-2</v>
      </c>
      <c r="L130" s="30">
        <f>IF(OR('GNI per capita'!AK129="",'GNI per capita'!AL129=""),"",'GNI per capita'!AL129/'GNI per capita'!AK129-1)</f>
        <v>6.4516129032257119E-3</v>
      </c>
      <c r="M130" s="30">
        <f>IF(OR('GNI per capita'!AL129="",'GNI per capita'!AM129=""),"",'GNI per capita'!AM129/'GNI per capita'!AL129-1)</f>
        <v>7.6923076923076872E-2</v>
      </c>
      <c r="N130" s="30">
        <f>IF(OR('GNI per capita'!AM129="",'GNI per capita'!AN129=""),"",'GNI per capita'!AN129/'GNI per capita'!AM129-1)</f>
        <v>2.3809523809523725E-2</v>
      </c>
      <c r="O130" s="30">
        <f>IF(OR('GNI per capita'!AN129="",'GNI per capita'!AO129=""),"",'GNI per capita'!AO129/'GNI per capita'!AN129-1)</f>
        <v>0</v>
      </c>
      <c r="P130" s="30">
        <f>IF(OR('GNI per capita'!AO129="",'GNI per capita'!AP129=""),"",'GNI per capita'!AP129/'GNI per capita'!AO129-1)</f>
        <v>5.232558139534893E-2</v>
      </c>
      <c r="Q130" s="30">
        <f>IF(OR('GNI per capita'!AP129="",'GNI per capita'!AQ129=""),"",'GNI per capita'!AQ129/'GNI per capita'!AP129-1)</f>
        <v>0.11049723756906071</v>
      </c>
      <c r="R130" s="30">
        <f>IF(OR('GNI per capita'!AQ129="",'GNI per capita'!AR129=""),"",'GNI per capita'!AR129/'GNI per capita'!AQ129-1)</f>
        <v>6.4676616915422924E-2</v>
      </c>
      <c r="S130" s="30">
        <f>IF(OR('GNI per capita'!AR129="",'GNI per capita'!AS129=""),"",'GNI per capita'!AS129/'GNI per capita'!AR129-1)</f>
        <v>-1.4018691588784993E-2</v>
      </c>
      <c r="T130" s="30">
        <f>IF(OR('GNI per capita'!AS129="",'GNI per capita'!AT129=""),"",'GNI per capita'!AT129/'GNI per capita'!AS129-1)</f>
        <v>4.7393364928909998E-2</v>
      </c>
      <c r="U130" s="2" t="s">
        <v>162</v>
      </c>
    </row>
    <row r="131" spans="1:21" x14ac:dyDescent="0.2">
      <c r="A131" s="2" t="s">
        <v>475</v>
      </c>
      <c r="B131" s="2" t="s">
        <v>476</v>
      </c>
      <c r="C131" s="11" t="s">
        <v>82</v>
      </c>
      <c r="D131" s="30">
        <f t="shared" si="4"/>
        <v>3.8699850181207585E-2</v>
      </c>
      <c r="E131" s="31">
        <f>Assumptions!$C$5</f>
        <v>1.244E-2</v>
      </c>
      <c r="F131" s="32">
        <f>IF($C131="L",Assumptions!$C$8,IF($C131="LM",Assumptions!$C$9,IF($C131="UM",Assumptions!$C$10,Assumptions!$C$11)))</f>
        <v>9.0712000000000001E-2</v>
      </c>
      <c r="G131" s="33">
        <f>IF(J131&lt;Assumptions!$C$13,"",MIN(MAX(D131,E131),F131))</f>
        <v>3.8699850181207585E-2</v>
      </c>
      <c r="H131" s="12" t="str">
        <f t="shared" si="5"/>
        <v>unadjusted</v>
      </c>
      <c r="I131" s="34">
        <f t="shared" si="6"/>
        <v>0</v>
      </c>
      <c r="J131" s="12">
        <f t="shared" si="7"/>
        <v>10</v>
      </c>
      <c r="K131" s="30">
        <f>IF(OR('GNI per capita'!AJ130="",'GNI per capita'!AK130=""),"",'GNI per capita'!AK130/'GNI per capita'!AJ130-1)</f>
        <v>-9.3808630393998893E-4</v>
      </c>
      <c r="L131" s="30">
        <f>IF(OR('GNI per capita'!AK130="",'GNI per capita'!AL130=""),"",'GNI per capita'!AL130/'GNI per capita'!AK130-1)</f>
        <v>3.4741784037558787E-2</v>
      </c>
      <c r="M131" s="30">
        <f>IF(OR('GNI per capita'!AL130="",'GNI per capita'!AM130=""),"",'GNI per capita'!AM130/'GNI per capita'!AL130-1)</f>
        <v>0.10617059891107083</v>
      </c>
      <c r="N131" s="30">
        <f>IF(OR('GNI per capita'!AM130="",'GNI per capita'!AN130=""),"",'GNI per capita'!AN130/'GNI per capita'!AM130-1)</f>
        <v>4.2657916324856382E-2</v>
      </c>
      <c r="O131" s="30">
        <f>IF(OR('GNI per capita'!AN130="",'GNI per capita'!AO130=""),"",'GNI per capita'!AO130/'GNI per capita'!AN130-1)</f>
        <v>-0.15184893784421716</v>
      </c>
      <c r="P131" s="30">
        <f>IF(OR('GNI per capita'!AO130="",'GNI per capita'!AP130=""),"",'GNI per capita'!AP130/'GNI per capita'!AO130-1)</f>
        <v>1.1131725417439675E-2</v>
      </c>
      <c r="Q131" s="30">
        <f>IF(OR('GNI per capita'!AP130="",'GNI per capita'!AQ130=""),"",'GNI per capita'!AQ130/'GNI per capita'!AP130-1)</f>
        <v>8.3486238532110013E-2</v>
      </c>
      <c r="R131" s="30">
        <f>IF(OR('GNI per capita'!AQ130="",'GNI per capita'!AR130=""),"",'GNI per capita'!AR130/'GNI per capita'!AQ130-1)</f>
        <v>6.0965283657917091E-2</v>
      </c>
      <c r="S131" s="30">
        <f>IF(OR('GNI per capita'!AR130="",'GNI per capita'!AS130=""),"",'GNI per capita'!AS130/'GNI per capita'!AR130-1)</f>
        <v>3.431763766959306E-2</v>
      </c>
      <c r="T131" s="30">
        <f>IF(OR('GNI per capita'!AS130="",'GNI per capita'!AT130=""),"",'GNI per capita'!AT130/'GNI per capita'!AS130-1)</f>
        <v>8.3333333333333259E-2</v>
      </c>
      <c r="U131" s="2" t="s">
        <v>162</v>
      </c>
    </row>
    <row r="132" spans="1:21" x14ac:dyDescent="0.2">
      <c r="A132" s="2" t="s">
        <v>477</v>
      </c>
      <c r="B132" s="2" t="s">
        <v>478</v>
      </c>
      <c r="C132" s="11" t="s">
        <v>82</v>
      </c>
      <c r="D132" s="30">
        <f t="shared" si="4"/>
        <v>4.7800468312157007E-2</v>
      </c>
      <c r="E132" s="31">
        <f>Assumptions!$C$5</f>
        <v>1.244E-2</v>
      </c>
      <c r="F132" s="32">
        <f>IF($C132="L",Assumptions!$C$8,IF($C132="LM",Assumptions!$C$9,IF($C132="UM",Assumptions!$C$10,Assumptions!$C$11)))</f>
        <v>9.0712000000000001E-2</v>
      </c>
      <c r="G132" s="33">
        <f>IF(J132&lt;Assumptions!$C$13,"",MIN(MAX(D132,E132),F132))</f>
        <v>4.7800468312157007E-2</v>
      </c>
      <c r="H132" s="12" t="str">
        <f t="shared" si="5"/>
        <v>unadjusted</v>
      </c>
      <c r="I132" s="34">
        <f t="shared" si="6"/>
        <v>0</v>
      </c>
      <c r="J132" s="12">
        <f t="shared" si="7"/>
        <v>10</v>
      </c>
      <c r="K132" s="30">
        <f>IF(OR('GNI per capita'!AJ131="",'GNI per capita'!AK131=""),"",'GNI per capita'!AK131/'GNI per capita'!AJ131-1)</f>
        <v>-7.9395085066162552E-2</v>
      </c>
      <c r="L132" s="30">
        <f>IF(OR('GNI per capita'!AK131="",'GNI per capita'!AL131=""),"",'GNI per capita'!AL131/'GNI per capita'!AK131-1)</f>
        <v>-4.8254620123203251E-2</v>
      </c>
      <c r="M132" s="30">
        <f>IF(OR('GNI per capita'!AL131="",'GNI per capita'!AM131=""),"",'GNI per capita'!AM131/'GNI per capita'!AL131-1)</f>
        <v>3.1283710895361416E-2</v>
      </c>
      <c r="N132" s="30">
        <f>IF(OR('GNI per capita'!AM131="",'GNI per capita'!AN131=""),"",'GNI per capita'!AN131/'GNI per capita'!AM131-1)</f>
        <v>3.1380753138075423E-2</v>
      </c>
      <c r="O132" s="30">
        <f>IF(OR('GNI per capita'!AN131="",'GNI per capita'!AO131=""),"",'GNI per capita'!AO131/'GNI per capita'!AN131-1)</f>
        <v>-9.5334685598377322E-2</v>
      </c>
      <c r="P132" s="30">
        <f>IF(OR('GNI per capita'!AO131="",'GNI per capita'!AP131=""),"",'GNI per capita'!AP131/'GNI per capita'!AO131-1)</f>
        <v>0.10762331838565031</v>
      </c>
      <c r="Q132" s="30">
        <f>IF(OR('GNI per capita'!AP131="",'GNI per capita'!AQ131=""),"",'GNI per capita'!AQ131/'GNI per capita'!AP131-1)</f>
        <v>8.6032388663967563E-2</v>
      </c>
      <c r="R132" s="30">
        <f>IF(OR('GNI per capita'!AQ131="",'GNI per capita'!AR131=""),"",'GNI per capita'!AR131/'GNI per capita'!AQ131-1)</f>
        <v>0.11742777260018644</v>
      </c>
      <c r="S132" s="30">
        <f>IF(OR('GNI per capita'!AR131="",'GNI per capita'!AS131=""),"",'GNI per capita'!AS131/'GNI per capita'!AR131-1)</f>
        <v>6.4220183486238591E-2</v>
      </c>
      <c r="T132" s="30">
        <f>IF(OR('GNI per capita'!AS131="",'GNI per capita'!AT131=""),"",'GNI per capita'!AT131/'GNI per capita'!AS131-1)</f>
        <v>7.6018808777429392E-2</v>
      </c>
      <c r="U132" s="2" t="s">
        <v>162</v>
      </c>
    </row>
    <row r="133" spans="1:21" x14ac:dyDescent="0.2">
      <c r="A133" s="2" t="s">
        <v>479</v>
      </c>
      <c r="B133" s="2" t="s">
        <v>480</v>
      </c>
      <c r="C133" s="11" t="s">
        <v>82</v>
      </c>
      <c r="D133" s="30">
        <f t="shared" ref="D133:D196" si="8">IFERROR(MEDIAN(K133:T133),"")</f>
        <v>3.0172888827662225E-2</v>
      </c>
      <c r="E133" s="31">
        <f>Assumptions!$C$5</f>
        <v>1.244E-2</v>
      </c>
      <c r="F133" s="32">
        <f>IF($C133="L",Assumptions!$C$8,IF($C133="LM",Assumptions!$C$9,IF($C133="UM",Assumptions!$C$10,Assumptions!$C$11)))</f>
        <v>9.0712000000000001E-2</v>
      </c>
      <c r="G133" s="33">
        <f>IF(J133&lt;Assumptions!$C$13,"",MIN(MAX(D133,E133),F133))</f>
        <v>3.0172888827662225E-2</v>
      </c>
      <c r="H133" s="12" t="str">
        <f t="shared" ref="H133:H196" si="9">IF(G133="","frozen",IF(ROUND(G133-D133,8)&gt;0,"raised by floor",IF(ROUND(G133-D133,8)&lt;0,"cut by cap","unadjusted")))</f>
        <v>unadjusted</v>
      </c>
      <c r="I133" s="34">
        <f t="shared" ref="I133:I196" si="10">IF(OR(G133="",D133=""),"",G133-D133)</f>
        <v>0</v>
      </c>
      <c r="J133" s="12">
        <f t="shared" ref="J133:J196" si="11">COUNT(K133:T133)</f>
        <v>10</v>
      </c>
      <c r="K133" s="30">
        <f>IF(OR('GNI per capita'!AJ132="",'GNI per capita'!AK132=""),"",'GNI per capita'!AK132/'GNI per capita'!AJ132-1)</f>
        <v>-1.7341040462427793E-2</v>
      </c>
      <c r="L133" s="30">
        <f>IF(OR('GNI per capita'!AK132="",'GNI per capita'!AL132=""),"",'GNI per capita'!AL132/'GNI per capita'!AK132-1)</f>
        <v>8.8235294117646745E-3</v>
      </c>
      <c r="M133" s="30">
        <f>IF(OR('GNI per capita'!AL132="",'GNI per capita'!AM132=""),"",'GNI per capita'!AM132/'GNI per capita'!AL132-1)</f>
        <v>-2.9154518950437192E-3</v>
      </c>
      <c r="N133" s="30">
        <f>IF(OR('GNI per capita'!AM132="",'GNI per capita'!AN132=""),"",'GNI per capita'!AN132/'GNI per capita'!AM132-1)</f>
        <v>0.1257309941520468</v>
      </c>
      <c r="O133" s="30">
        <f>IF(OR('GNI per capita'!AN132="",'GNI per capita'!AO132=""),"",'GNI per capita'!AO132/'GNI per capita'!AN132-1)</f>
        <v>5.7142857142857162E-2</v>
      </c>
      <c r="P133" s="30">
        <f>IF(OR('GNI per capita'!AO132="",'GNI per capita'!AP132=""),"",'GNI per capita'!AP132/'GNI per capita'!AO132-1)</f>
        <v>4.9140049140048436E-3</v>
      </c>
      <c r="Q133" s="30">
        <f>IF(OR('GNI per capita'!AP132="",'GNI per capita'!AQ132=""),"",'GNI per capita'!AQ132/'GNI per capita'!AP132-1)</f>
        <v>-1.7114914425427896E-2</v>
      </c>
      <c r="R133" s="30">
        <f>IF(OR('GNI per capita'!AQ132="",'GNI per capita'!AR132=""),"",'GNI per capita'!AR132/'GNI per capita'!AQ132-1)</f>
        <v>6.2189054726368154E-2</v>
      </c>
      <c r="S133" s="30">
        <f>IF(OR('GNI per capita'!AR132="",'GNI per capita'!AS132=""),"",'GNI per capita'!AS132/'GNI per capita'!AR132-1)</f>
        <v>5.1522248243559776E-2</v>
      </c>
      <c r="T133" s="30">
        <f>IF(OR('GNI per capita'!AS132="",'GNI per capita'!AT132=""),"",'GNI per capita'!AT132/'GNI per capita'!AS132-1)</f>
        <v>6.0133630289532336E-2</v>
      </c>
      <c r="U133" s="2" t="s">
        <v>162</v>
      </c>
    </row>
    <row r="134" spans="1:21" x14ac:dyDescent="0.2">
      <c r="A134" s="2" t="s">
        <v>481</v>
      </c>
      <c r="B134" s="2" t="s">
        <v>482</v>
      </c>
      <c r="C134" s="11" t="s">
        <v>82</v>
      </c>
      <c r="D134" s="30">
        <f t="shared" si="8"/>
        <v>0.11527942238267153</v>
      </c>
      <c r="E134" s="31">
        <f>Assumptions!$C$5</f>
        <v>1.244E-2</v>
      </c>
      <c r="F134" s="32">
        <f>IF($C134="L",Assumptions!$C$8,IF($C134="LM",Assumptions!$C$9,IF($C134="UM",Assumptions!$C$10,Assumptions!$C$11)))</f>
        <v>9.0712000000000001E-2</v>
      </c>
      <c r="G134" s="33">
        <f>IF(J134&lt;Assumptions!$C$13,"",MIN(MAX(D134,E134),F134))</f>
        <v>9.0712000000000001E-2</v>
      </c>
      <c r="H134" s="12" t="str">
        <f t="shared" si="9"/>
        <v>cut by cap</v>
      </c>
      <c r="I134" s="34">
        <f t="shared" si="10"/>
        <v>-2.4567422382671525E-2</v>
      </c>
      <c r="J134" s="12">
        <f t="shared" si="11"/>
        <v>10</v>
      </c>
      <c r="K134" s="30">
        <f>IF(OR('GNI per capita'!AJ133="",'GNI per capita'!AK133=""),"",'GNI per capita'!AK133/'GNI per capita'!AJ133-1)</f>
        <v>-3.6474164133738607E-2</v>
      </c>
      <c r="L134" s="30">
        <f>IF(OR('GNI per capita'!AK133="",'GNI per capita'!AL133=""),"",'GNI per capita'!AL133/'GNI per capita'!AK133-1)</f>
        <v>4.1009463722397443E-2</v>
      </c>
      <c r="M134" s="30">
        <f>IF(OR('GNI per capita'!AL133="",'GNI per capita'!AM133=""),"",'GNI per capita'!AM133/'GNI per capita'!AL133-1)</f>
        <v>0.16666666666666674</v>
      </c>
      <c r="N134" s="30">
        <f>IF(OR('GNI per capita'!AM133="",'GNI per capita'!AN133=""),"",'GNI per capita'!AN133/'GNI per capita'!AM133-1)</f>
        <v>0.16623376623376629</v>
      </c>
      <c r="O134" s="30">
        <f>IF(OR('GNI per capita'!AN133="",'GNI per capita'!AO133=""),"",'GNI per capita'!AO133/'GNI per capita'!AN133-1)</f>
        <v>-2.8953229398663738E-2</v>
      </c>
      <c r="P134" s="30">
        <f>IF(OR('GNI per capita'!AO133="",'GNI per capita'!AP133=""),"",'GNI per capita'!AP133/'GNI per capita'!AO133-1)</f>
        <v>0.20871559633027514</v>
      </c>
      <c r="Q134" s="30">
        <f>IF(OR('GNI per capita'!AP133="",'GNI per capita'!AQ133=""),"",'GNI per capita'!AQ133/'GNI per capita'!AP133-1)</f>
        <v>5.1233396584440261E-2</v>
      </c>
      <c r="R134" s="30">
        <f>IF(OR('GNI per capita'!AQ133="",'GNI per capita'!AR133=""),"",'GNI per capita'!AR133/'GNI per capita'!AQ133-1)</f>
        <v>0.12815884476534301</v>
      </c>
      <c r="S134" s="30">
        <f>IF(OR('GNI per capita'!AR133="",'GNI per capita'!AS133=""),"",'GNI per capita'!AS133/'GNI per capita'!AR133-1)</f>
        <v>0.10240000000000005</v>
      </c>
      <c r="T134" s="30">
        <f>IF(OR('GNI per capita'!AS133="",'GNI per capita'!AT133=""),"",'GNI per capita'!AT133/'GNI per capita'!AS133-1)</f>
        <v>0.1683599419448476</v>
      </c>
      <c r="U134" s="28" t="s">
        <v>483</v>
      </c>
    </row>
    <row r="135" spans="1:21" x14ac:dyDescent="0.2">
      <c r="A135" s="2" t="s">
        <v>484</v>
      </c>
      <c r="B135" s="2" t="s">
        <v>485</v>
      </c>
      <c r="C135" s="11" t="s">
        <v>79</v>
      </c>
      <c r="D135" s="30" t="str">
        <f t="shared" si="8"/>
        <v/>
      </c>
      <c r="E135" s="31">
        <f>Assumptions!$C$5</f>
        <v>1.244E-2</v>
      </c>
      <c r="F135" s="32">
        <f>IF($C135="L",Assumptions!$C$8,IF($C135="LM",Assumptions!$C$9,IF($C135="UM",Assumptions!$C$10,Assumptions!$C$11)))</f>
        <v>7.1689000000000003E-2</v>
      </c>
      <c r="G135" s="33" t="str">
        <f>IF(J135&lt;Assumptions!$C$13,"",MIN(MAX(D135,E135),F135))</f>
        <v/>
      </c>
      <c r="H135" s="12" t="str">
        <f t="shared" si="9"/>
        <v>frozen</v>
      </c>
      <c r="I135" s="34" t="str">
        <f t="shared" si="10"/>
        <v/>
      </c>
      <c r="J135" s="12">
        <f t="shared" si="11"/>
        <v>0</v>
      </c>
      <c r="K135" s="30" t="str">
        <f>IF(OR('GNI per capita'!AJ134="",'GNI per capita'!AK134=""),"",'GNI per capita'!AK134/'GNI per capita'!AJ134-1)</f>
        <v/>
      </c>
      <c r="L135" s="30" t="str">
        <f>IF(OR('GNI per capita'!AK134="",'GNI per capita'!AL134=""),"",'GNI per capita'!AL134/'GNI per capita'!AK134-1)</f>
        <v/>
      </c>
      <c r="M135" s="30" t="str">
        <f>IF(OR('GNI per capita'!AL134="",'GNI per capita'!AM134=""),"",'GNI per capita'!AM134/'GNI per capita'!AL134-1)</f>
        <v/>
      </c>
      <c r="N135" s="30" t="str">
        <f>IF(OR('GNI per capita'!AM134="",'GNI per capita'!AN134=""),"",'GNI per capita'!AN134/'GNI per capita'!AM134-1)</f>
        <v/>
      </c>
      <c r="O135" s="30" t="str">
        <f>IF(OR('GNI per capita'!AN134="",'GNI per capita'!AO134=""),"",'GNI per capita'!AO134/'GNI per capita'!AN134-1)</f>
        <v/>
      </c>
      <c r="P135" s="30" t="str">
        <f>IF(OR('GNI per capita'!AO134="",'GNI per capita'!AP134=""),"",'GNI per capita'!AP134/'GNI per capita'!AO134-1)</f>
        <v/>
      </c>
      <c r="Q135" s="30" t="str">
        <f>IF(OR('GNI per capita'!AP134="",'GNI per capita'!AQ134=""),"",'GNI per capita'!AQ134/'GNI per capita'!AP134-1)</f>
        <v/>
      </c>
      <c r="R135" s="30" t="str">
        <f>IF(OR('GNI per capita'!AQ134="",'GNI per capita'!AR134=""),"",'GNI per capita'!AR134/'GNI per capita'!AQ134-1)</f>
        <v/>
      </c>
      <c r="S135" s="30" t="str">
        <f>IF(OR('GNI per capita'!AR134="",'GNI per capita'!AS134=""),"",'GNI per capita'!AS134/'GNI per capita'!AR134-1)</f>
        <v/>
      </c>
      <c r="T135" s="30" t="str">
        <f>IF(OR('GNI per capita'!AS134="",'GNI per capita'!AT134=""),"",'GNI per capita'!AT134/'GNI per capita'!AS134-1)</f>
        <v/>
      </c>
      <c r="U135" s="28" t="s">
        <v>204</v>
      </c>
    </row>
    <row r="136" spans="1:21" x14ac:dyDescent="0.2">
      <c r="A136" s="2" t="s">
        <v>486</v>
      </c>
      <c r="B136" s="2" t="s">
        <v>487</v>
      </c>
      <c r="C136" s="11" t="s">
        <v>82</v>
      </c>
      <c r="D136" s="30">
        <f t="shared" si="8"/>
        <v>7.2909341509380887E-2</v>
      </c>
      <c r="E136" s="31">
        <f>Assumptions!$C$5</f>
        <v>1.244E-2</v>
      </c>
      <c r="F136" s="32">
        <f>IF($C136="L",Assumptions!$C$8,IF($C136="LM",Assumptions!$C$9,IF($C136="UM",Assumptions!$C$10,Assumptions!$C$11)))</f>
        <v>9.0712000000000001E-2</v>
      </c>
      <c r="G136" s="33">
        <f>IF(J136&lt;Assumptions!$C$13,"",MIN(MAX(D136,E136),F136))</f>
        <v>7.2909341509380887E-2</v>
      </c>
      <c r="H136" s="12" t="str">
        <f t="shared" si="9"/>
        <v>unadjusted</v>
      </c>
      <c r="I136" s="34">
        <f t="shared" si="10"/>
        <v>0</v>
      </c>
      <c r="J136" s="12">
        <f t="shared" si="11"/>
        <v>10</v>
      </c>
      <c r="K136" s="30">
        <f>IF(OR('GNI per capita'!AJ135="",'GNI per capita'!AK135=""),"",'GNI per capita'!AK135/'GNI per capita'!AJ135-1)</f>
        <v>-8.2228116710875376E-2</v>
      </c>
      <c r="L136" s="30">
        <f>IF(OR('GNI per capita'!AK135="",'GNI per capita'!AL135=""),"",'GNI per capita'!AL135/'GNI per capita'!AK135-1)</f>
        <v>-7.5144508670520249E-2</v>
      </c>
      <c r="M136" s="30">
        <f>IF(OR('GNI per capita'!AL135="",'GNI per capita'!AM135=""),"",'GNI per capita'!AM135/'GNI per capita'!AL135-1)</f>
        <v>0.140625</v>
      </c>
      <c r="N136" s="30">
        <f>IF(OR('GNI per capita'!AM135="",'GNI per capita'!AN135=""),"",'GNI per capita'!AN135/'GNI per capita'!AM135-1)</f>
        <v>4.1095890410958846E-2</v>
      </c>
      <c r="O136" s="30">
        <f>IF(OR('GNI per capita'!AN135="",'GNI per capita'!AO135=""),"",'GNI per capita'!AO135/'GNI per capita'!AN135-1)</f>
        <v>-2.8947368421052611E-2</v>
      </c>
      <c r="P136" s="30">
        <f>IF(OR('GNI per capita'!AO135="",'GNI per capita'!AP135=""),"",'GNI per capita'!AP135/'GNI per capita'!AO135-1)</f>
        <v>0</v>
      </c>
      <c r="Q136" s="30">
        <f>IF(OR('GNI per capita'!AP135="",'GNI per capita'!AQ135=""),"",'GNI per capita'!AQ135/'GNI per capita'!AP135-1)</f>
        <v>0.17615176151761514</v>
      </c>
      <c r="R136" s="30">
        <f>IF(OR('GNI per capita'!AQ135="",'GNI per capita'!AR135=""),"",'GNI per capita'!AR135/'GNI per capita'!AQ135-1)</f>
        <v>0.12211981566820285</v>
      </c>
      <c r="S136" s="30">
        <f>IF(OR('GNI per capita'!AR135="",'GNI per capita'!AS135=""),"",'GNI per capita'!AS135/'GNI per capita'!AR135-1)</f>
        <v>0.10472279260780293</v>
      </c>
      <c r="T136" s="30">
        <f>IF(OR('GNI per capita'!AS135="",'GNI per capita'!AT135=""),"",'GNI per capita'!AT135/'GNI per capita'!AS135-1)</f>
        <v>0.15427509293680308</v>
      </c>
      <c r="U136" s="2" t="s">
        <v>162</v>
      </c>
    </row>
    <row r="137" spans="1:21" x14ac:dyDescent="0.2">
      <c r="A137" s="2" t="s">
        <v>488</v>
      </c>
      <c r="B137" s="2" t="s">
        <v>489</v>
      </c>
      <c r="C137" s="11" t="s">
        <v>82</v>
      </c>
      <c r="D137" s="30">
        <f t="shared" si="8"/>
        <v>9.8338858837899057E-2</v>
      </c>
      <c r="E137" s="31">
        <f>Assumptions!$C$5</f>
        <v>1.244E-2</v>
      </c>
      <c r="F137" s="32">
        <f>IF($C137="L",Assumptions!$C$8,IF($C137="LM",Assumptions!$C$9,IF($C137="UM",Assumptions!$C$10,Assumptions!$C$11)))</f>
        <v>9.0712000000000001E-2</v>
      </c>
      <c r="G137" s="33">
        <f>IF(J137&lt;Assumptions!$C$13,"",MIN(MAX(D137,E137),F137))</f>
        <v>9.0712000000000001E-2</v>
      </c>
      <c r="H137" s="12" t="str">
        <f t="shared" si="9"/>
        <v>cut by cap</v>
      </c>
      <c r="I137" s="34">
        <f t="shared" si="10"/>
        <v>-7.6268588378990559E-3</v>
      </c>
      <c r="J137" s="12">
        <f t="shared" si="11"/>
        <v>10</v>
      </c>
      <c r="K137" s="30">
        <f>IF(OR('GNI per capita'!AJ136="",'GNI per capita'!AK136=""),"",'GNI per capita'!AK136/'GNI per capita'!AJ136-1)</f>
        <v>-1.8181818181818188E-2</v>
      </c>
      <c r="L137" s="30">
        <f>IF(OR('GNI per capita'!AK136="",'GNI per capita'!AL136=""),"",'GNI per capita'!AL136/'GNI per capita'!AK136-1)</f>
        <v>3.1339031339031376E-2</v>
      </c>
      <c r="M137" s="30">
        <f>IF(OR('GNI per capita'!AL136="",'GNI per capita'!AM136=""),"",'GNI per capita'!AM136/'GNI per capita'!AL136-1)</f>
        <v>0.13950276243093929</v>
      </c>
      <c r="N137" s="30">
        <f>IF(OR('GNI per capita'!AM136="",'GNI per capita'!AN136=""),"",'GNI per capita'!AN136/'GNI per capita'!AM136-1)</f>
        <v>8.7272727272727169E-2</v>
      </c>
      <c r="O137" s="30">
        <f>IF(OR('GNI per capita'!AN136="",'GNI per capita'!AO136=""),"",'GNI per capita'!AO136/'GNI per capita'!AN136-1)</f>
        <v>-0.13266443701226305</v>
      </c>
      <c r="P137" s="30">
        <f>IF(OR('GNI per capita'!AO136="",'GNI per capita'!AP136=""),"",'GNI per capita'!AP136/'GNI per capita'!AO136-1)</f>
        <v>0.18508997429305918</v>
      </c>
      <c r="Q137" s="30">
        <f>IF(OR('GNI per capita'!AP136="",'GNI per capita'!AQ136=""),"",'GNI per capita'!AQ136/'GNI per capita'!AP136-1)</f>
        <v>0.13015184381778733</v>
      </c>
      <c r="R137" s="30">
        <f>IF(OR('GNI per capita'!AQ136="",'GNI per capita'!AR136=""),"",'GNI per capita'!AR136/'GNI per capita'!AQ136-1)</f>
        <v>0.10940499040307095</v>
      </c>
      <c r="S137" s="30">
        <f>IF(OR('GNI per capita'!AR136="",'GNI per capita'!AS136=""),"",'GNI per capita'!AS136/'GNI per capita'!AR136-1)</f>
        <v>5.6228373702422063E-2</v>
      </c>
      <c r="T137" s="30">
        <f>IF(OR('GNI per capita'!AS136="",'GNI per capita'!AT136=""),"",'GNI per capita'!AT136/'GNI per capita'!AS136-1)</f>
        <v>0.15888615888615898</v>
      </c>
      <c r="U137" s="28" t="s">
        <v>490</v>
      </c>
    </row>
    <row r="138" spans="1:21" x14ac:dyDescent="0.2">
      <c r="A138" s="2" t="s">
        <v>491</v>
      </c>
      <c r="B138" s="2" t="s">
        <v>492</v>
      </c>
      <c r="C138" s="11" t="s">
        <v>210</v>
      </c>
      <c r="D138" s="30">
        <f t="shared" si="8"/>
        <v>2.0452684089047768E-2</v>
      </c>
      <c r="E138" s="31">
        <f>Assumptions!$C$5</f>
        <v>1.244E-2</v>
      </c>
      <c r="F138" s="32">
        <f>IF($C138="L",Assumptions!$C$8,IF($C138="LM",Assumptions!$C$9,IF($C138="UM",Assumptions!$C$10,Assumptions!$C$11)))</f>
        <v>7.4680999999999997E-2</v>
      </c>
      <c r="G138" s="33">
        <f>IF(J138&lt;Assumptions!$C$13,"",MIN(MAX(D138,E138),F138))</f>
        <v>2.0452684089047768E-2</v>
      </c>
      <c r="H138" s="12" t="str">
        <f t="shared" si="9"/>
        <v>unadjusted</v>
      </c>
      <c r="I138" s="34">
        <f t="shared" si="10"/>
        <v>0</v>
      </c>
      <c r="J138" s="12">
        <f t="shared" si="11"/>
        <v>10</v>
      </c>
      <c r="K138" s="30">
        <f>IF(OR('GNI per capita'!AJ137="",'GNI per capita'!AK137=""),"",'GNI per capita'!AK137/'GNI per capita'!AJ137-1)</f>
        <v>-4.5454545454545414E-2</v>
      </c>
      <c r="L138" s="30">
        <f>IF(OR('GNI per capita'!AK137="",'GNI per capita'!AL137=""),"",'GNI per capita'!AL137/'GNI per capita'!AK137-1)</f>
        <v>3.1746031746031633E-3</v>
      </c>
      <c r="M138" s="30">
        <f>IF(OR('GNI per capita'!AL137="",'GNI per capita'!AM137=""),"",'GNI per capita'!AM137/'GNI per capita'!AL137-1)</f>
        <v>6.9620253164556889E-2</v>
      </c>
      <c r="N138" s="30">
        <f>IF(OR('GNI per capita'!AM137="",'GNI per capita'!AN137=""),"",'GNI per capita'!AN137/'GNI per capita'!AM137-1)</f>
        <v>3.8461538461538547E-2</v>
      </c>
      <c r="O138" s="30">
        <f>IF(OR('GNI per capita'!AN137="",'GNI per capita'!AO137=""),"",'GNI per capita'!AO137/'GNI per capita'!AN137-1)</f>
        <v>-7.1225071225071268E-2</v>
      </c>
      <c r="P138" s="30">
        <f>IF(OR('GNI per capita'!AO137="",'GNI per capita'!AP137=""),"",'GNI per capita'!AP137/'GNI per capita'!AO137-1)</f>
        <v>0.11349693251533743</v>
      </c>
      <c r="Q138" s="30">
        <f>IF(OR('GNI per capita'!AP137="",'GNI per capita'!AQ137=""),"",'GNI per capita'!AQ137/'GNI per capita'!AP137-1)</f>
        <v>1.9283746556473913E-2</v>
      </c>
      <c r="R138" s="30">
        <f>IF(OR('GNI per capita'!AQ137="",'GNI per capita'!AR137=""),"",'GNI per capita'!AR137/'GNI per capita'!AQ137-1)</f>
        <v>2.1621621621621623E-2</v>
      </c>
      <c r="S138" s="30">
        <f>IF(OR('GNI per capita'!AR137="",'GNI per capita'!AS137=""),"",'GNI per capita'!AS137/'GNI per capita'!AR137-1)</f>
        <v>1.5873015873015817E-2</v>
      </c>
      <c r="T138" s="30">
        <f>IF(OR('GNI per capita'!AS137="",'GNI per capita'!AT137=""),"",'GNI per capita'!AT137/'GNI per capita'!AS137-1)</f>
        <v>0.13541666666666674</v>
      </c>
      <c r="U138" s="2" t="s">
        <v>162</v>
      </c>
    </row>
    <row r="139" spans="1:21" x14ac:dyDescent="0.2">
      <c r="A139" s="2" t="s">
        <v>493</v>
      </c>
      <c r="B139" s="2" t="s">
        <v>494</v>
      </c>
      <c r="C139" s="11" t="s">
        <v>75</v>
      </c>
      <c r="D139" s="30">
        <f t="shared" si="8"/>
        <v>1.9463340891912373E-2</v>
      </c>
      <c r="E139" s="31">
        <f>Assumptions!$C$5</f>
        <v>1.244E-2</v>
      </c>
      <c r="F139" s="32">
        <f>IF($C139="L",Assumptions!$C$8,IF($C139="LM",Assumptions!$C$9,IF($C139="UM",Assumptions!$C$10,Assumptions!$C$11)))</f>
        <v>5.5947999999999998E-2</v>
      </c>
      <c r="G139" s="33">
        <f>IF(J139&lt;Assumptions!$C$13,"",MIN(MAX(D139,E139),F139))</f>
        <v>1.9463340891912373E-2</v>
      </c>
      <c r="H139" s="12" t="str">
        <f t="shared" si="9"/>
        <v>unadjusted</v>
      </c>
      <c r="I139" s="34">
        <f t="shared" si="10"/>
        <v>0</v>
      </c>
      <c r="J139" s="12">
        <f t="shared" si="11"/>
        <v>10</v>
      </c>
      <c r="K139" s="30">
        <f>IF(OR('GNI per capita'!AJ138="",'GNI per capita'!AK138=""),"",'GNI per capita'!AK138/'GNI per capita'!AJ138-1)</f>
        <v>-0.17910447761194026</v>
      </c>
      <c r="L139" s="30">
        <f>IF(OR('GNI per capita'!AK138="",'GNI per capita'!AL138=""),"",'GNI per capita'!AL138/'GNI per capita'!AK138-1)</f>
        <v>-0.12727272727272732</v>
      </c>
      <c r="M139" s="30">
        <f>IF(OR('GNI per capita'!AL138="",'GNI per capita'!AM138=""),"",'GNI per capita'!AM138/'GNI per capita'!AL138-1)</f>
        <v>-2.083333333333337E-2</v>
      </c>
      <c r="N139" s="30">
        <f>IF(OR('GNI per capita'!AM138="",'GNI per capita'!AN138=""),"",'GNI per capita'!AN138/'GNI per capita'!AM138-1)</f>
        <v>6.3829787234042534E-2</v>
      </c>
      <c r="O139" s="30">
        <f>IF(OR('GNI per capita'!AN138="",'GNI per capita'!AO138=""),"",'GNI per capita'!AO138/'GNI per capita'!AN138-1)</f>
        <v>-4.0000000000000036E-2</v>
      </c>
      <c r="P139" s="30">
        <f>IF(OR('GNI per capita'!AO138="",'GNI per capita'!AP138=""),"",'GNI per capita'!AP138/'GNI per capita'!AO138-1)</f>
        <v>2.0833333333333259E-2</v>
      </c>
      <c r="Q139" s="30">
        <f>IF(OR('GNI per capita'!AP138="",'GNI per capita'!AQ138=""),"",'GNI per capita'!AQ138/'GNI per capita'!AP138-1)</f>
        <v>2.0408163265306145E-2</v>
      </c>
      <c r="R139" s="30">
        <f>IF(OR('GNI per capita'!AQ138="",'GNI per capita'!AR138=""),"",'GNI per capita'!AR138/'GNI per capita'!AQ138-1)</f>
        <v>8.0000000000000071E-2</v>
      </c>
      <c r="S139" s="30">
        <f>IF(OR('GNI per capita'!AR138="",'GNI per capita'!AS138=""),"",'GNI per capita'!AS138/'GNI per capita'!AR138-1)</f>
        <v>1.8518518518518601E-2</v>
      </c>
      <c r="T139" s="30">
        <f>IF(OR('GNI per capita'!AS138="",'GNI per capita'!AT138=""),"",'GNI per capita'!AT138/'GNI per capita'!AS138-1)</f>
        <v>3.6363636363636376E-2</v>
      </c>
      <c r="U139" s="2" t="s">
        <v>162</v>
      </c>
    </row>
    <row r="140" spans="1:21" x14ac:dyDescent="0.2">
      <c r="A140" s="2" t="s">
        <v>495</v>
      </c>
      <c r="B140" s="2" t="s">
        <v>496</v>
      </c>
      <c r="C140" s="11" t="s">
        <v>210</v>
      </c>
      <c r="D140" s="30">
        <f t="shared" si="8"/>
        <v>0</v>
      </c>
      <c r="E140" s="31">
        <f>Assumptions!$C$5</f>
        <v>1.244E-2</v>
      </c>
      <c r="F140" s="32">
        <f>IF($C140="L",Assumptions!$C$8,IF($C140="LM",Assumptions!$C$9,IF($C140="UM",Assumptions!$C$10,Assumptions!$C$11)))</f>
        <v>7.4680999999999997E-2</v>
      </c>
      <c r="G140" s="33">
        <f>IF(J140&lt;Assumptions!$C$13,"",MIN(MAX(D140,E140),F140))</f>
        <v>1.244E-2</v>
      </c>
      <c r="H140" s="12" t="str">
        <f t="shared" si="9"/>
        <v>raised by floor</v>
      </c>
      <c r="I140" s="34">
        <f t="shared" si="10"/>
        <v>1.244E-2</v>
      </c>
      <c r="J140" s="12">
        <f t="shared" si="11"/>
        <v>10</v>
      </c>
      <c r="K140" s="30">
        <f>IF(OR('GNI per capita'!AJ139="",'GNI per capita'!AK139=""),"",'GNI per capita'!AK139/'GNI per capita'!AJ139-1)</f>
        <v>0</v>
      </c>
      <c r="L140" s="30">
        <f>IF(OR('GNI per capita'!AK139="",'GNI per capita'!AL139=""),"",'GNI per capita'!AL139/'GNI per capita'!AK139-1)</f>
        <v>0</v>
      </c>
      <c r="M140" s="30">
        <f>IF(OR('GNI per capita'!AL139="",'GNI per capita'!AM139=""),"",'GNI per capita'!AM139/'GNI per capita'!AL139-1)</f>
        <v>6.5040650406503975E-2</v>
      </c>
      <c r="N140" s="30">
        <f>IF(OR('GNI per capita'!AM139="",'GNI per capita'!AN139=""),"",'GNI per capita'!AN139/'GNI per capita'!AM139-1)</f>
        <v>5.3435114503816772E-2</v>
      </c>
      <c r="O140" s="30">
        <f>IF(OR('GNI per capita'!AN139="",'GNI per capita'!AO139=""),"",'GNI per capita'!AO139/'GNI per capita'!AN139-1)</f>
        <v>-4.3478260869565188E-2</v>
      </c>
      <c r="P140" s="30">
        <f>IF(OR('GNI per capita'!AO139="",'GNI per capita'!AP139=""),"",'GNI per capita'!AP139/'GNI per capita'!AO139-1)</f>
        <v>-6.0606060606060552E-2</v>
      </c>
      <c r="Q140" s="30">
        <f>IF(OR('GNI per capita'!AP139="",'GNI per capita'!AQ139=""),"",'GNI per capita'!AQ139/'GNI per capita'!AP139-1)</f>
        <v>3.2258064516129004E-2</v>
      </c>
      <c r="R140" s="30">
        <f>IF(OR('GNI per capita'!AQ139="",'GNI per capita'!AR139=""),"",'GNI per capita'!AR139/'GNI per capita'!AQ139-1)</f>
        <v>-4.6875E-2</v>
      </c>
      <c r="S140" s="30">
        <f>IF(OR('GNI per capita'!AR139="",'GNI per capita'!AS139=""),"",'GNI per capita'!AS139/'GNI per capita'!AR139-1)</f>
        <v>-8.1967213114754189E-3</v>
      </c>
      <c r="T140" s="30">
        <f>IF(OR('GNI per capita'!AS139="",'GNI per capita'!AT139=""),"",'GNI per capita'!AT139/'GNI per capita'!AS139-1)</f>
        <v>9.0909090909090828E-2</v>
      </c>
      <c r="U140" s="28" t="s">
        <v>268</v>
      </c>
    </row>
    <row r="141" spans="1:21" x14ac:dyDescent="0.2">
      <c r="A141" s="2" t="s">
        <v>497</v>
      </c>
      <c r="B141" s="2" t="s">
        <v>498</v>
      </c>
      <c r="C141" s="11" t="s">
        <v>210</v>
      </c>
      <c r="D141" s="30">
        <f t="shared" si="8"/>
        <v>1.1844872823470465E-3</v>
      </c>
      <c r="E141" s="31">
        <f>Assumptions!$C$5</f>
        <v>1.244E-2</v>
      </c>
      <c r="F141" s="32">
        <f>IF($C141="L",Assumptions!$C$8,IF($C141="LM",Assumptions!$C$9,IF($C141="UM",Assumptions!$C$10,Assumptions!$C$11)))</f>
        <v>7.4680999999999997E-2</v>
      </c>
      <c r="G141" s="33">
        <f>IF(J141&lt;Assumptions!$C$13,"",MIN(MAX(D141,E141),F141))</f>
        <v>1.244E-2</v>
      </c>
      <c r="H141" s="12" t="str">
        <f t="shared" si="9"/>
        <v>raised by floor</v>
      </c>
      <c r="I141" s="34">
        <f t="shared" si="10"/>
        <v>1.1255512717652953E-2</v>
      </c>
      <c r="J141" s="12">
        <f t="shared" si="11"/>
        <v>10</v>
      </c>
      <c r="K141" s="30">
        <f>IF(OR('GNI per capita'!AJ140="",'GNI per capita'!AK140=""),"",'GNI per capita'!AK140/'GNI per capita'!AJ140-1)</f>
        <v>-0.11583011583011582</v>
      </c>
      <c r="L141" s="30">
        <f>IF(OR('GNI per capita'!AK140="",'GNI per capita'!AL140=""),"",'GNI per capita'!AL140/'GNI per capita'!AK140-1)</f>
        <v>-3.2751091703056789E-2</v>
      </c>
      <c r="M141" s="30">
        <f>IF(OR('GNI per capita'!AL140="",'GNI per capita'!AM140=""),"",'GNI per capita'!AM140/'GNI per capita'!AL140-1)</f>
        <v>5.4176072234763062E-2</v>
      </c>
      <c r="N141" s="30">
        <f>IF(OR('GNI per capita'!AM140="",'GNI per capita'!AN140=""),"",'GNI per capita'!AN140/'GNI per capita'!AM140-1)</f>
        <v>4.2826552462526868E-2</v>
      </c>
      <c r="O141" s="30">
        <f>IF(OR('GNI per capita'!AN140="",'GNI per capita'!AO140=""),"",'GNI per capita'!AO140/'GNI per capita'!AN140-1)</f>
        <v>-0.12936344969199176</v>
      </c>
      <c r="P141" s="30">
        <f>IF(OR('GNI per capita'!AO140="",'GNI per capita'!AP140=""),"",'GNI per capita'!AP140/'GNI per capita'!AO140-1)</f>
        <v>-2.3584905660377409E-2</v>
      </c>
      <c r="Q141" s="30">
        <f>IF(OR('GNI per capita'!AP140="",'GNI per capita'!AQ140=""),"",'GNI per capita'!AQ140/'GNI per capita'!AP140-1)</f>
        <v>3.3816425120772875E-2</v>
      </c>
      <c r="R141" s="30">
        <f>IF(OR('GNI per capita'!AQ140="",'GNI per capita'!AR140=""),"",'GNI per capita'!AR140/'GNI per capita'!AQ140-1)</f>
        <v>7.0093457943924964E-3</v>
      </c>
      <c r="S141" s="30">
        <f>IF(OR('GNI per capita'!AR140="",'GNI per capita'!AS140=""),"",'GNI per capita'!AS140/'GNI per capita'!AR140-1)</f>
        <v>-4.6403712296984034E-3</v>
      </c>
      <c r="T141" s="30">
        <f>IF(OR('GNI per capita'!AS140="",'GNI per capita'!AT140=""),"",'GNI per capita'!AT140/'GNI per capita'!AS140-1)</f>
        <v>1.1655011655011593E-2</v>
      </c>
      <c r="U141" s="28" t="s">
        <v>407</v>
      </c>
    </row>
    <row r="142" spans="1:21" x14ac:dyDescent="0.2">
      <c r="A142" s="2" t="s">
        <v>499</v>
      </c>
      <c r="B142" s="2" t="s">
        <v>500</v>
      </c>
      <c r="C142" s="11" t="s">
        <v>79</v>
      </c>
      <c r="D142" s="30">
        <f t="shared" si="8"/>
        <v>6.7788581419395477E-2</v>
      </c>
      <c r="E142" s="31">
        <f>Assumptions!$C$5</f>
        <v>1.244E-2</v>
      </c>
      <c r="F142" s="32">
        <f>IF($C142="L",Assumptions!$C$8,IF($C142="LM",Assumptions!$C$9,IF($C142="UM",Assumptions!$C$10,Assumptions!$C$11)))</f>
        <v>7.1689000000000003E-2</v>
      </c>
      <c r="G142" s="33">
        <f>IF(J142&lt;Assumptions!$C$13,"",MIN(MAX(D142,E142),F142))</f>
        <v>6.7788581419395477E-2</v>
      </c>
      <c r="H142" s="12" t="str">
        <f t="shared" si="9"/>
        <v>unadjusted</v>
      </c>
      <c r="I142" s="34">
        <f t="shared" si="10"/>
        <v>0</v>
      </c>
      <c r="J142" s="12">
        <f t="shared" si="11"/>
        <v>10</v>
      </c>
      <c r="K142" s="30">
        <f>IF(OR('GNI per capita'!AJ141="",'GNI per capita'!AK141=""),"",'GNI per capita'!AK141/'GNI per capita'!AJ141-1)</f>
        <v>-4.4189852700491028E-2</v>
      </c>
      <c r="L142" s="30">
        <f>IF(OR('GNI per capita'!AK141="",'GNI per capita'!AL141=""),"",'GNI per capita'!AL141/'GNI per capita'!AK141-1)</f>
        <v>-3.2534246575342429E-2</v>
      </c>
      <c r="M142" s="30">
        <f>IF(OR('GNI per capita'!AL141="",'GNI per capita'!AM141=""),"",'GNI per capita'!AM141/'GNI per capita'!AL141-1)</f>
        <v>0.12743362831858418</v>
      </c>
      <c r="N142" s="30">
        <f>IF(OR('GNI per capita'!AM141="",'GNI per capita'!AN141=""),"",'GNI per capita'!AN141/'GNI per capita'!AM141-1)</f>
        <v>0.24332810047095754</v>
      </c>
      <c r="O142" s="30">
        <f>IF(OR('GNI per capita'!AN141="",'GNI per capita'!AO141=""),"",'GNI per capita'!AO141/'GNI per capita'!AN141-1)</f>
        <v>8.4595959595959558E-2</v>
      </c>
      <c r="P142" s="30">
        <f>IF(OR('GNI per capita'!AO141="",'GNI per capita'!AP141=""),"",'GNI per capita'!AP141/'GNI per capita'!AO141-1)</f>
        <v>0.14202561117578583</v>
      </c>
      <c r="Q142" s="30">
        <f>IF(OR('GNI per capita'!AP141="",'GNI per capita'!AQ141=""),"",'GNI per capita'!AQ141/'GNI per capita'!AP141-1)</f>
        <v>6.472986748216103E-2</v>
      </c>
      <c r="R142" s="30">
        <f>IF(OR('GNI per capita'!AQ141="",'GNI per capita'!AR141=""),"",'GNI per capita'!AR141/'GNI per capita'!AQ141-1)</f>
        <v>7.0847295356629925E-2</v>
      </c>
      <c r="S142" s="30">
        <f>IF(OR('GNI per capita'!AR141="",'GNI per capita'!AS141=""),"",'GNI per capita'!AS141/'GNI per capita'!AR141-1)</f>
        <v>-1.9222172552525674E-2</v>
      </c>
      <c r="T142" s="30">
        <f>IF(OR('GNI per capita'!AS141="",'GNI per capita'!AT141=""),"",'GNI per capita'!AT141/'GNI per capita'!AS141-1)</f>
        <v>-5.6973564266180499E-2</v>
      </c>
      <c r="U142" s="2" t="s">
        <v>162</v>
      </c>
    </row>
    <row r="143" spans="1:21" x14ac:dyDescent="0.2">
      <c r="A143" s="2" t="s">
        <v>501</v>
      </c>
      <c r="B143" s="2" t="s">
        <v>502</v>
      </c>
      <c r="C143" s="11" t="s">
        <v>210</v>
      </c>
      <c r="D143" s="30">
        <f t="shared" si="8"/>
        <v>5.5615489439018839E-2</v>
      </c>
      <c r="E143" s="31">
        <f>Assumptions!$C$5</f>
        <v>1.244E-2</v>
      </c>
      <c r="F143" s="32">
        <f>IF($C143="L",Assumptions!$C$8,IF($C143="LM",Assumptions!$C$9,IF($C143="UM",Assumptions!$C$10,Assumptions!$C$11)))</f>
        <v>7.4680999999999997E-2</v>
      </c>
      <c r="G143" s="33">
        <f>IF(J143&lt;Assumptions!$C$13,"",MIN(MAX(D143,E143),F143))</f>
        <v>5.5615489439018839E-2</v>
      </c>
      <c r="H143" s="12" t="str">
        <f t="shared" si="9"/>
        <v>unadjusted</v>
      </c>
      <c r="I143" s="34">
        <f t="shared" si="10"/>
        <v>0</v>
      </c>
      <c r="J143" s="12">
        <f t="shared" si="11"/>
        <v>10</v>
      </c>
      <c r="K143" s="30">
        <f>IF(OR('GNI per capita'!AJ142="",'GNI per capita'!AK142=""),"",'GNI per capita'!AK142/'GNI per capita'!AJ142-1)</f>
        <v>-1.1494252873563204E-2</v>
      </c>
      <c r="L143" s="30">
        <f>IF(OR('GNI per capita'!AK142="",'GNI per capita'!AL142=""),"",'GNI per capita'!AL142/'GNI per capita'!AK142-1)</f>
        <v>0.12790697674418605</v>
      </c>
      <c r="M143" s="30">
        <f>IF(OR('GNI per capita'!AL142="",'GNI per capita'!AM142=""),"",'GNI per capita'!AM142/'GNI per capita'!AL142-1)</f>
        <v>0.15463917525773185</v>
      </c>
      <c r="N143" s="30">
        <f>IF(OR('GNI per capita'!AM142="",'GNI per capita'!AN142=""),"",'GNI per capita'!AN142/'GNI per capita'!AM142-1)</f>
        <v>0.10714285714285721</v>
      </c>
      <c r="O143" s="30">
        <f>IF(OR('GNI per capita'!AN142="",'GNI per capita'!AO142=""),"",'GNI per capita'!AO142/'GNI per capita'!AN142-1)</f>
        <v>-4.0322580645161255E-2</v>
      </c>
      <c r="P143" s="30">
        <f>IF(OR('GNI per capita'!AO142="",'GNI per capita'!AP142=""),"",'GNI per capita'!AP142/'GNI per capita'!AO142-1)</f>
        <v>5.0420168067226934E-2</v>
      </c>
      <c r="Q143" s="30">
        <f>IF(OR('GNI per capita'!AP142="",'GNI per capita'!AQ142=""),"",'GNI per capita'!AQ142/'GNI per capita'!AP142-1)</f>
        <v>0.10400000000000009</v>
      </c>
      <c r="R143" s="30">
        <f>IF(OR('GNI per capita'!AQ142="",'GNI per capita'!AR142=""),"",'GNI per capita'!AR142/'GNI per capita'!AQ142-1)</f>
        <v>3.6231884057970953E-2</v>
      </c>
      <c r="S143" s="30">
        <f>IF(OR('GNI per capita'!AR142="",'GNI per capita'!AS142=""),"",'GNI per capita'!AS142/'GNI per capita'!AR142-1)</f>
        <v>3.4965034965035002E-2</v>
      </c>
      <c r="T143" s="30">
        <f>IF(OR('GNI per capita'!AS142="",'GNI per capita'!AT142=""),"",'GNI per capita'!AT142/'GNI per capita'!AS142-1)</f>
        <v>6.0810810810810745E-2</v>
      </c>
      <c r="U143" s="2" t="s">
        <v>162</v>
      </c>
    </row>
    <row r="144" spans="1:21" x14ac:dyDescent="0.2">
      <c r="A144" s="2" t="s">
        <v>503</v>
      </c>
      <c r="B144" s="2" t="s">
        <v>504</v>
      </c>
      <c r="C144" s="11" t="s">
        <v>79</v>
      </c>
      <c r="D144" s="30">
        <f t="shared" si="8"/>
        <v>1.9627109544921195E-2</v>
      </c>
      <c r="E144" s="31">
        <f>Assumptions!$C$5</f>
        <v>1.244E-2</v>
      </c>
      <c r="F144" s="32">
        <f>IF($C144="L",Assumptions!$C$8,IF($C144="LM",Assumptions!$C$9,IF($C144="UM",Assumptions!$C$10,Assumptions!$C$11)))</f>
        <v>7.1689000000000003E-2</v>
      </c>
      <c r="G144" s="33">
        <f>IF(J144&lt;Assumptions!$C$13,"",MIN(MAX(D144,E144),F144))</f>
        <v>1.9627109544921195E-2</v>
      </c>
      <c r="H144" s="12" t="str">
        <f t="shared" si="9"/>
        <v>unadjusted</v>
      </c>
      <c r="I144" s="34">
        <f t="shared" si="10"/>
        <v>0</v>
      </c>
      <c r="J144" s="12">
        <f t="shared" si="11"/>
        <v>10</v>
      </c>
      <c r="K144" s="30">
        <f>IF(OR('GNI per capita'!AJ143="",'GNI per capita'!AK143=""),"",'GNI per capita'!AK143/'GNI per capita'!AJ143-1)</f>
        <v>-5.4560096637809585E-2</v>
      </c>
      <c r="L144" s="30">
        <f>IF(OR('GNI per capita'!AK143="",'GNI per capita'!AL143=""),"",'GNI per capita'!AL143/'GNI per capita'!AK143-1)</f>
        <v>-5.3236797274276437E-3</v>
      </c>
      <c r="M144" s="30">
        <f>IF(OR('GNI per capita'!AL143="",'GNI per capita'!AM143=""),"",'GNI per capita'!AM143/'GNI per capita'!AL143-1)</f>
        <v>9.8051809034467974E-2</v>
      </c>
      <c r="N144" s="30">
        <f>IF(OR('GNI per capita'!AM143="",'GNI per capita'!AN143=""),"",'GNI per capita'!AN143/'GNI per capita'!AM143-1)</f>
        <v>3.2170013647884632E-2</v>
      </c>
      <c r="O144" s="30">
        <f>IF(OR('GNI per capita'!AN143="",'GNI per capita'!AO143=""),"",'GNI per capita'!AO143/'GNI per capita'!AN143-1)</f>
        <v>-2.7389497544389907E-2</v>
      </c>
      <c r="P144" s="30">
        <f>IF(OR('GNI per capita'!AO143="",'GNI per capita'!AP143=""),"",'GNI per capita'!AP143/'GNI per capita'!AO143-1)</f>
        <v>0.15672946203146232</v>
      </c>
      <c r="Q144" s="30">
        <f>IF(OR('GNI per capita'!AP143="",'GNI per capita'!AQ143=""),"",'GNI per capita'!AQ143/'GNI per capita'!AP143-1)</f>
        <v>4.2813969106783034E-2</v>
      </c>
      <c r="R144" s="30">
        <f>IF(OR('GNI per capita'!AQ143="",'GNI per capita'!AR143=""),"",'GNI per capita'!AR143/'GNI per capita'!AQ143-1)</f>
        <v>7.0842054419577583E-3</v>
      </c>
      <c r="S144" s="30">
        <f>IF(OR('GNI per capita'!AR143="",'GNI per capita'!AS143=""),"",'GNI per capita'!AS143/'GNI per capita'!AR143-1)</f>
        <v>-7.9936051159068544E-4</v>
      </c>
      <c r="T144" s="30">
        <f>IF(OR('GNI per capita'!AS143="",'GNI per capita'!AT143=""),"",'GNI per capita'!AT143/'GNI per capita'!AS143-1)</f>
        <v>9.6479999999999899E-2</v>
      </c>
      <c r="U144" s="2" t="s">
        <v>162</v>
      </c>
    </row>
    <row r="145" spans="1:21" x14ac:dyDescent="0.2">
      <c r="A145" s="2" t="s">
        <v>505</v>
      </c>
      <c r="B145" s="2" t="s">
        <v>506</v>
      </c>
      <c r="C145" s="11" t="s">
        <v>79</v>
      </c>
      <c r="D145" s="30">
        <f t="shared" si="8"/>
        <v>-6.8317677198975746E-3</v>
      </c>
      <c r="E145" s="31">
        <f>Assumptions!$C$5</f>
        <v>1.244E-2</v>
      </c>
      <c r="F145" s="32">
        <f>IF($C145="L",Assumptions!$C$8,IF($C145="LM",Assumptions!$C$9,IF($C145="UM",Assumptions!$C$10,Assumptions!$C$11)))</f>
        <v>7.1689000000000003E-2</v>
      </c>
      <c r="G145" s="33" t="str">
        <f>IF(J145&lt;Assumptions!$C$13,"",MIN(MAX(D145,E145),F145))</f>
        <v/>
      </c>
      <c r="H145" s="12" t="str">
        <f t="shared" si="9"/>
        <v>frozen</v>
      </c>
      <c r="I145" s="34" t="str">
        <f t="shared" si="10"/>
        <v/>
      </c>
      <c r="J145" s="12">
        <f t="shared" si="11"/>
        <v>5</v>
      </c>
      <c r="K145" s="30" t="str">
        <f>IF(OR('GNI per capita'!AJ144="",'GNI per capita'!AK144=""),"",'GNI per capita'!AK144/'GNI per capita'!AJ144-1)</f>
        <v/>
      </c>
      <c r="L145" s="30" t="str">
        <f>IF(OR('GNI per capita'!AK144="",'GNI per capita'!AL144=""),"",'GNI per capita'!AL144/'GNI per capita'!AK144-1)</f>
        <v/>
      </c>
      <c r="M145" s="30" t="str">
        <f>IF(OR('GNI per capita'!AL144="",'GNI per capita'!AM144=""),"",'GNI per capita'!AM144/'GNI per capita'!AL144-1)</f>
        <v/>
      </c>
      <c r="N145" s="30" t="str">
        <f>IF(OR('GNI per capita'!AM144="",'GNI per capita'!AN144=""),"",'GNI per capita'!AN144/'GNI per capita'!AM144-1)</f>
        <v/>
      </c>
      <c r="O145" s="30">
        <f>IF(OR('GNI per capita'!AN144="",'GNI per capita'!AO144=""),"",'GNI per capita'!AO144/'GNI per capita'!AN144-1)</f>
        <v>-6.8317677198975746E-3</v>
      </c>
      <c r="P145" s="30">
        <f>IF(OR('GNI per capita'!AO144="",'GNI per capita'!AP144=""),"",'GNI per capita'!AP144/'GNI per capita'!AO144-1)</f>
        <v>1.5190599025508789E-2</v>
      </c>
      <c r="Q145" s="30">
        <f>IF(OR('GNI per capita'!AP144="",'GNI per capita'!AQ144=""),"",'GNI per capita'!AQ144/'GNI per capita'!AP144-1)</f>
        <v>4.4042913608131062E-2</v>
      </c>
      <c r="R145" s="30">
        <f>IF(OR('GNI per capita'!AQ144="",'GNI per capita'!AR144=""),"",'GNI per capita'!AR144/'GNI per capita'!AQ144-1)</f>
        <v>-7.3012439156300291E-3</v>
      </c>
      <c r="S145" s="30">
        <f>IF(OR('GNI per capita'!AR144="",'GNI per capita'!AS144=""),"",'GNI per capita'!AS144/'GNI per capita'!AR144-1)</f>
        <v>-0.18087714519204579</v>
      </c>
      <c r="T145" s="30" t="str">
        <f>IF(OR('GNI per capita'!AS144="",'GNI per capita'!AT144=""),"",'GNI per capita'!AT144/'GNI per capita'!AS144-1)</f>
        <v/>
      </c>
      <c r="U145" s="28" t="s">
        <v>507</v>
      </c>
    </row>
    <row r="146" spans="1:21" x14ac:dyDescent="0.2">
      <c r="A146" s="2" t="s">
        <v>508</v>
      </c>
      <c r="B146" s="2" t="s">
        <v>509</v>
      </c>
      <c r="C146" s="11" t="s">
        <v>79</v>
      </c>
      <c r="D146" s="30">
        <f t="shared" si="8"/>
        <v>-8.0344790591357906E-4</v>
      </c>
      <c r="E146" s="31">
        <f>Assumptions!$C$5</f>
        <v>1.244E-2</v>
      </c>
      <c r="F146" s="32">
        <f>IF($C146="L",Assumptions!$C$8,IF($C146="LM",Assumptions!$C$9,IF($C146="UM",Assumptions!$C$10,Assumptions!$C$11)))</f>
        <v>7.1689000000000003E-2</v>
      </c>
      <c r="G146" s="33">
        <f>IF(J146&lt;Assumptions!$C$13,"",MIN(MAX(D146,E146),F146))</f>
        <v>1.244E-2</v>
      </c>
      <c r="H146" s="12" t="str">
        <f t="shared" si="9"/>
        <v>raised by floor</v>
      </c>
      <c r="I146" s="34">
        <f t="shared" si="10"/>
        <v>1.3243447905913579E-2</v>
      </c>
      <c r="J146" s="12">
        <f t="shared" si="11"/>
        <v>10</v>
      </c>
      <c r="K146" s="30">
        <f>IF(OR('GNI per capita'!AJ145="",'GNI per capita'!AK145=""),"",'GNI per capita'!AK145/'GNI per capita'!AJ145-1)</f>
        <v>-3.0004918839153905E-2</v>
      </c>
      <c r="L146" s="30">
        <f>IF(OR('GNI per capita'!AK145="",'GNI per capita'!AL145=""),"",'GNI per capita'!AL145/'GNI per capita'!AK145-1)</f>
        <v>-1.6480730223123685E-2</v>
      </c>
      <c r="M146" s="30">
        <f>IF(OR('GNI per capita'!AL145="",'GNI per capita'!AM145=""),"",'GNI per capita'!AM145/'GNI per capita'!AL145-1)</f>
        <v>7.1667955658675009E-2</v>
      </c>
      <c r="N146" s="30">
        <f>IF(OR('GNI per capita'!AM145="",'GNI per capita'!AN145=""),"",'GNI per capita'!AN145/'GNI per capita'!AM145-1)</f>
        <v>3.6564830406543125E-2</v>
      </c>
      <c r="O146" s="30">
        <f>IF(OR('GNI per capita'!AN145="",'GNI per capita'!AO145=""),"",'GNI per capita'!AO145/'GNI per capita'!AN145-1)</f>
        <v>-2.8080761197493587E-2</v>
      </c>
      <c r="P146" s="30">
        <f>IF(OR('GNI per capita'!AO145="",'GNI per capita'!AP145=""),"",'GNI per capita'!AP145/'GNI per capita'!AO145-1)</f>
        <v>9.2406876790831038E-2</v>
      </c>
      <c r="Q146" s="30">
        <f>IF(OR('GNI per capita'!AP145="",'GNI per capita'!AQ145=""),"",'GNI per capita'!AQ145/'GNI per capita'!AP145-1)</f>
        <v>7.3005464480874416E-2</v>
      </c>
      <c r="R146" s="30">
        <f>IF(OR('GNI per capita'!AQ145="",'GNI per capita'!AR145=""),"",'GNI per capita'!AR145/'GNI per capita'!AQ145-1)</f>
        <v>7.740884090446043E-3</v>
      </c>
      <c r="S146" s="30">
        <f>IF(OR('GNI per capita'!AR145="",'GNI per capita'!AS145=""),"",'GNI per capita'!AS145/'GNI per capita'!AR145-1)</f>
        <v>-4.8514251061249292E-2</v>
      </c>
      <c r="T146" s="30">
        <f>IF(OR('GNI per capita'!AS145="",'GNI per capita'!AT145=""),"",'GNI per capita'!AT145/'GNI per capita'!AS145-1)</f>
        <v>-9.3477799022732011E-3</v>
      </c>
      <c r="U146" s="28" t="s">
        <v>510</v>
      </c>
    </row>
    <row r="147" spans="1:21" x14ac:dyDescent="0.2">
      <c r="A147" s="2" t="s">
        <v>511</v>
      </c>
      <c r="B147" s="2" t="s">
        <v>512</v>
      </c>
      <c r="C147" s="11" t="s">
        <v>210</v>
      </c>
      <c r="D147" s="30">
        <f t="shared" si="8"/>
        <v>4.0169267524017727E-2</v>
      </c>
      <c r="E147" s="31">
        <f>Assumptions!$C$5</f>
        <v>1.244E-2</v>
      </c>
      <c r="F147" s="32">
        <f>IF($C147="L",Assumptions!$C$8,IF($C147="LM",Assumptions!$C$9,IF($C147="UM",Assumptions!$C$10,Assumptions!$C$11)))</f>
        <v>7.4680999999999997E-2</v>
      </c>
      <c r="G147" s="33">
        <f>IF(J147&lt;Assumptions!$C$13,"",MIN(MAX(D147,E147),F147))</f>
        <v>4.0169267524017727E-2</v>
      </c>
      <c r="H147" s="12" t="str">
        <f t="shared" si="9"/>
        <v>unadjusted</v>
      </c>
      <c r="I147" s="34">
        <f t="shared" si="10"/>
        <v>0</v>
      </c>
      <c r="J147" s="12">
        <f t="shared" si="11"/>
        <v>10</v>
      </c>
      <c r="K147" s="30">
        <f>IF(OR('GNI per capita'!AJ146="",'GNI per capita'!AK146=""),"",'GNI per capita'!AK146/'GNI per capita'!AJ146-1)</f>
        <v>3.6649214659685958E-2</v>
      </c>
      <c r="L147" s="30">
        <f>IF(OR('GNI per capita'!AK146="",'GNI per capita'!AL146=""),"",'GNI per capita'!AL146/'GNI per capita'!AK146-1)</f>
        <v>3.5353535353535248E-2</v>
      </c>
      <c r="M147" s="30">
        <f>IF(OR('GNI per capita'!AL146="",'GNI per capita'!AM146=""),"",'GNI per capita'!AM146/'GNI per capita'!AL146-1)</f>
        <v>-2.9268292682926855E-2</v>
      </c>
      <c r="N147" s="30">
        <f>IF(OR('GNI per capita'!AM146="",'GNI per capita'!AN146=""),"",'GNI per capita'!AN146/'GNI per capita'!AM146-1)</f>
        <v>-3.0150753768844241E-2</v>
      </c>
      <c r="O147" s="30">
        <f>IF(OR('GNI per capita'!AN146="",'GNI per capita'!AO146=""),"",'GNI per capita'!AO146/'GNI per capita'!AN146-1)</f>
        <v>-6.2176165803108807E-2</v>
      </c>
      <c r="P147" s="30">
        <f>IF(OR('GNI per capita'!AO146="",'GNI per capita'!AP146=""),"",'GNI per capita'!AP146/'GNI per capita'!AO146-1)</f>
        <v>0.13812154696132595</v>
      </c>
      <c r="Q147" s="30">
        <f>IF(OR('GNI per capita'!AP146="",'GNI per capita'!AQ146=""),"",'GNI per capita'!AQ146/'GNI per capita'!AP146-1)</f>
        <v>4.3689320388349495E-2</v>
      </c>
      <c r="R147" s="30">
        <f>IF(OR('GNI per capita'!AQ146="",'GNI per capita'!AR146=""),"",'GNI per capita'!AR146/'GNI per capita'!AQ146-1)</f>
        <v>9.7674418604651203E-2</v>
      </c>
      <c r="S147" s="30">
        <f>IF(OR('GNI per capita'!AR146="",'GNI per capita'!AS146=""),"",'GNI per capita'!AS146/'GNI per capita'!AR146-1)</f>
        <v>6.3559322033898358E-2</v>
      </c>
      <c r="T147" s="30">
        <f>IF(OR('GNI per capita'!AS146="",'GNI per capita'!AT146=""),"",'GNI per capita'!AT146/'GNI per capita'!AS146-1)</f>
        <v>0.13545816733067739</v>
      </c>
      <c r="U147" s="2" t="s">
        <v>162</v>
      </c>
    </row>
    <row r="148" spans="1:21" x14ac:dyDescent="0.2">
      <c r="A148" s="2" t="s">
        <v>513</v>
      </c>
      <c r="B148" s="2" t="s">
        <v>514</v>
      </c>
      <c r="C148" s="11" t="s">
        <v>75</v>
      </c>
      <c r="D148" s="30">
        <f t="shared" si="8"/>
        <v>2.6013309134906293E-2</v>
      </c>
      <c r="E148" s="31">
        <f>Assumptions!$C$5</f>
        <v>1.244E-2</v>
      </c>
      <c r="F148" s="32">
        <f>IF($C148="L",Assumptions!$C$8,IF($C148="LM",Assumptions!$C$9,IF($C148="UM",Assumptions!$C$10,Assumptions!$C$11)))</f>
        <v>5.5947999999999998E-2</v>
      </c>
      <c r="G148" s="33">
        <f>IF(J148&lt;Assumptions!$C$13,"",MIN(MAX(D148,E148),F148))</f>
        <v>2.6013309134906293E-2</v>
      </c>
      <c r="H148" s="12" t="str">
        <f t="shared" si="9"/>
        <v>unadjusted</v>
      </c>
      <c r="I148" s="34">
        <f t="shared" si="10"/>
        <v>0</v>
      </c>
      <c r="J148" s="12">
        <f t="shared" si="11"/>
        <v>10</v>
      </c>
      <c r="K148" s="30">
        <f>IF(OR('GNI per capita'!AJ147="",'GNI per capita'!AK147=""),"",'GNI per capita'!AK147/'GNI per capita'!AJ147-1)</f>
        <v>-7.1428571428571397E-2</v>
      </c>
      <c r="L148" s="30">
        <f>IF(OR('GNI per capita'!AK147="",'GNI per capita'!AL147=""),"",'GNI per capita'!AL147/'GNI per capita'!AK147-1)</f>
        <v>0</v>
      </c>
      <c r="M148" s="30">
        <f>IF(OR('GNI per capita'!AL147="",'GNI per capita'!AM147=""),"",'GNI per capita'!AM147/'GNI per capita'!AL147-1)</f>
        <v>0.11538461538461542</v>
      </c>
      <c r="N148" s="30">
        <f>IF(OR('GNI per capita'!AM147="",'GNI per capita'!AN147=""),"",'GNI per capita'!AN147/'GNI per capita'!AM147-1)</f>
        <v>3.4482758620689724E-2</v>
      </c>
      <c r="O148" s="30">
        <f>IF(OR('GNI per capita'!AN147="",'GNI per capita'!AO147=""),"",'GNI per capita'!AO147/'GNI per capita'!AN147-1)</f>
        <v>-5.0000000000000044E-2</v>
      </c>
      <c r="P148" s="30">
        <f>IF(OR('GNI per capita'!AO147="",'GNI per capita'!AP147=""),"",'GNI per capita'!AP147/'GNI per capita'!AO147-1)</f>
        <v>1.7543859649122862E-2</v>
      </c>
      <c r="Q148" s="30">
        <f>IF(OR('GNI per capita'!AP147="",'GNI per capita'!AQ147=""),"",'GNI per capita'!AQ147/'GNI per capita'!AP147-1)</f>
        <v>0.1206896551724137</v>
      </c>
      <c r="R148" s="30">
        <f>IF(OR('GNI per capita'!AQ147="",'GNI per capita'!AR147=""),"",'GNI per capita'!AR147/'GNI per capita'!AQ147-1)</f>
        <v>-1.538461538461533E-2</v>
      </c>
      <c r="S148" s="30">
        <f>IF(OR('GNI per capita'!AR147="",'GNI per capita'!AS147=""),"",'GNI per capita'!AS147/'GNI per capita'!AR147-1)</f>
        <v>4.6875E-2</v>
      </c>
      <c r="T148" s="30">
        <f>IF(OR('GNI per capita'!AS147="",'GNI per capita'!AT147=""),"",'GNI per capita'!AT147/'GNI per capita'!AS147-1)</f>
        <v>0.11940298507462677</v>
      </c>
      <c r="U148" s="2" t="s">
        <v>162</v>
      </c>
    </row>
    <row r="149" spans="1:21" x14ac:dyDescent="0.2">
      <c r="A149" s="2" t="s">
        <v>515</v>
      </c>
      <c r="B149" s="2" t="s">
        <v>516</v>
      </c>
      <c r="C149" s="11" t="s">
        <v>210</v>
      </c>
      <c r="D149" s="30">
        <f t="shared" si="8"/>
        <v>-7.6850542197076877E-2</v>
      </c>
      <c r="E149" s="31">
        <f>Assumptions!$C$5</f>
        <v>1.244E-2</v>
      </c>
      <c r="F149" s="32">
        <f>IF($C149="L",Assumptions!$C$8,IF($C149="LM",Assumptions!$C$9,IF($C149="UM",Assumptions!$C$10,Assumptions!$C$11)))</f>
        <v>7.4680999999999997E-2</v>
      </c>
      <c r="G149" s="33">
        <f>IF(J149&lt;Assumptions!$C$13,"",MIN(MAX(D149,E149),F149))</f>
        <v>1.244E-2</v>
      </c>
      <c r="H149" s="12" t="str">
        <f t="shared" si="9"/>
        <v>raised by floor</v>
      </c>
      <c r="I149" s="34">
        <f t="shared" si="10"/>
        <v>8.9290542197076883E-2</v>
      </c>
      <c r="J149" s="12">
        <f t="shared" si="11"/>
        <v>10</v>
      </c>
      <c r="K149" s="30">
        <f>IF(OR('GNI per capita'!AJ148="",'GNI per capita'!AK148=""),"",'GNI per capita'!AK148/'GNI per capita'!AJ148-1)</f>
        <v>-0.14130434782608692</v>
      </c>
      <c r="L149" s="30">
        <f>IF(OR('GNI per capita'!AK148="",'GNI per capita'!AL148=""),"",'GNI per capita'!AL148/'GNI per capita'!AK148-1)</f>
        <v>-0.14767932489451474</v>
      </c>
      <c r="M149" s="30">
        <f>IF(OR('GNI per capita'!AL148="",'GNI per capita'!AM148=""),"",'GNI per capita'!AM148/'GNI per capita'!AL148-1)</f>
        <v>-3.4653465346534684E-2</v>
      </c>
      <c r="N149" s="30">
        <f>IF(OR('GNI per capita'!AM148="",'GNI per capita'!AN148=""),"",'GNI per capita'!AN148/'GNI per capita'!AM148-1)</f>
        <v>0.15897435897435908</v>
      </c>
      <c r="O149" s="30">
        <f>IF(OR('GNI per capita'!AN148="",'GNI per capita'!AO148=""),"",'GNI per capita'!AO148/'GNI per capita'!AN148-1)</f>
        <v>8.8495575221238854E-2</v>
      </c>
      <c r="P149" s="30">
        <f>IF(OR('GNI per capita'!AO148="",'GNI per capita'!AP148=""),"",'GNI per capita'!AP148/'GNI per capita'!AO148-1)</f>
        <v>0.16260162601626016</v>
      </c>
      <c r="Q149" s="30">
        <f>IF(OR('GNI per capita'!AP148="",'GNI per capita'!AQ148=""),"",'GNI per capita'!AQ148/'GNI per capita'!AP148-1)</f>
        <v>2.7972027972027913E-2</v>
      </c>
      <c r="R149" s="30">
        <f>IF(OR('GNI per capita'!AQ148="",'GNI per capita'!AR148=""),"",'GNI per capita'!AR148/'GNI per capita'!AQ148-1)</f>
        <v>-0.11904761904761907</v>
      </c>
      <c r="S149" s="30">
        <f>IF(OR('GNI per capita'!AR148="",'GNI per capita'!AS148=""),"",'GNI per capita'!AS148/'GNI per capita'!AR148-1)</f>
        <v>-0.33976833976833976</v>
      </c>
      <c r="T149" s="30">
        <f>IF(OR('GNI per capita'!AS148="",'GNI per capita'!AT148=""),"",'GNI per capita'!AT148/'GNI per capita'!AS148-1)</f>
        <v>-0.20467836257309946</v>
      </c>
      <c r="U149" s="28" t="s">
        <v>517</v>
      </c>
    </row>
    <row r="150" spans="1:21" x14ac:dyDescent="0.2">
      <c r="A150" s="2" t="s">
        <v>518</v>
      </c>
      <c r="B150" s="2" t="s">
        <v>519</v>
      </c>
      <c r="C150" s="11" t="s">
        <v>82</v>
      </c>
      <c r="D150" s="30">
        <f t="shared" si="8"/>
        <v>6.1318005939833498E-2</v>
      </c>
      <c r="E150" s="31">
        <f>Assumptions!$C$5</f>
        <v>1.244E-2</v>
      </c>
      <c r="F150" s="32">
        <f>IF($C150="L",Assumptions!$C$8,IF($C150="LM",Assumptions!$C$9,IF($C150="UM",Assumptions!$C$10,Assumptions!$C$11)))</f>
        <v>9.0712000000000001E-2</v>
      </c>
      <c r="G150" s="33">
        <f>IF(J150&lt;Assumptions!$C$13,"",MIN(MAX(D150,E150),F150))</f>
        <v>6.1318005939833498E-2</v>
      </c>
      <c r="H150" s="12" t="str">
        <f t="shared" si="9"/>
        <v>unadjusted</v>
      </c>
      <c r="I150" s="34">
        <f t="shared" si="10"/>
        <v>0</v>
      </c>
      <c r="J150" s="12">
        <f t="shared" si="11"/>
        <v>10</v>
      </c>
      <c r="K150" s="30">
        <f>IF(OR('GNI per capita'!AJ149="",'GNI per capita'!AK149=""),"",'GNI per capita'!AK149/'GNI per capita'!AJ149-1)</f>
        <v>-1.9819819819819839E-2</v>
      </c>
      <c r="L150" s="30">
        <f>IF(OR('GNI per capita'!AK149="",'GNI per capita'!AL149=""),"",'GNI per capita'!AL149/'GNI per capita'!AK149-1)</f>
        <v>-9.1911764705882026E-3</v>
      </c>
      <c r="M150" s="30">
        <f>IF(OR('GNI per capita'!AL149="",'GNI per capita'!AM149=""),"",'GNI per capita'!AM149/'GNI per capita'!AL149-1)</f>
        <v>0.12244897959183665</v>
      </c>
      <c r="N150" s="30">
        <f>IF(OR('GNI per capita'!AM149="",'GNI per capita'!AN149=""),"",'GNI per capita'!AN149/'GNI per capita'!AM149-1)</f>
        <v>7.7685950413223237E-2</v>
      </c>
      <c r="O150" s="30">
        <f>IF(OR('GNI per capita'!AN149="",'GNI per capita'!AO149=""),"",'GNI per capita'!AO149/'GNI per capita'!AN149-1)</f>
        <v>-9.2024539877300082E-3</v>
      </c>
      <c r="P150" s="30">
        <f>IF(OR('GNI per capita'!AO149="",'GNI per capita'!AP149=""),"",'GNI per capita'!AP149/'GNI per capita'!AO149-1)</f>
        <v>9.1331269349845146E-2</v>
      </c>
      <c r="Q150" s="30">
        <f>IF(OR('GNI per capita'!AP149="",'GNI per capita'!AQ149=""),"",'GNI per capita'!AQ149/'GNI per capita'!AP149-1)</f>
        <v>7.3758865248227057E-2</v>
      </c>
      <c r="R150" s="30">
        <f>IF(OR('GNI per capita'!AQ149="",'GNI per capita'!AR149=""),"",'GNI per capita'!AR149/'GNI per capita'!AQ149-1)</f>
        <v>4.8877146631439938E-2</v>
      </c>
      <c r="S150" s="30">
        <f>IF(OR('GNI per capita'!AR149="",'GNI per capita'!AS149=""),"",'GNI per capita'!AS149/'GNI per capita'!AR149-1)</f>
        <v>4.534005037783384E-2</v>
      </c>
      <c r="T150" s="30">
        <f>IF(OR('GNI per capita'!AS149="",'GNI per capita'!AT149=""),"",'GNI per capita'!AT149/'GNI per capita'!AS149-1)</f>
        <v>0.14337349397590371</v>
      </c>
      <c r="U150" s="2" t="s">
        <v>162</v>
      </c>
    </row>
    <row r="151" spans="1:21" x14ac:dyDescent="0.2">
      <c r="A151" s="2" t="s">
        <v>520</v>
      </c>
      <c r="B151" s="2" t="s">
        <v>521</v>
      </c>
      <c r="C151" s="11" t="s">
        <v>79</v>
      </c>
      <c r="D151" s="30" t="str">
        <f t="shared" si="8"/>
        <v/>
      </c>
      <c r="E151" s="31">
        <f>Assumptions!$C$5</f>
        <v>1.244E-2</v>
      </c>
      <c r="F151" s="32">
        <f>IF($C151="L",Assumptions!$C$8,IF($C151="LM",Assumptions!$C$9,IF($C151="UM",Assumptions!$C$10,Assumptions!$C$11)))</f>
        <v>7.1689000000000003E-2</v>
      </c>
      <c r="G151" s="33" t="str">
        <f>IF(J151&lt;Assumptions!$C$13,"",MIN(MAX(D151,E151),F151))</f>
        <v/>
      </c>
      <c r="H151" s="12" t="str">
        <f t="shared" si="9"/>
        <v>frozen</v>
      </c>
      <c r="I151" s="34" t="str">
        <f t="shared" si="10"/>
        <v/>
      </c>
      <c r="J151" s="12">
        <f t="shared" si="11"/>
        <v>0</v>
      </c>
      <c r="K151" s="30" t="str">
        <f>IF(OR('GNI per capita'!AJ150="",'GNI per capita'!AK150=""),"",'GNI per capita'!AK150/'GNI per capita'!AJ150-1)</f>
        <v/>
      </c>
      <c r="L151" s="30" t="str">
        <f>IF(OR('GNI per capita'!AK150="",'GNI per capita'!AL150=""),"",'GNI per capita'!AL150/'GNI per capita'!AK150-1)</f>
        <v/>
      </c>
      <c r="M151" s="30" t="str">
        <f>IF(OR('GNI per capita'!AL150="",'GNI per capita'!AM150=""),"",'GNI per capita'!AM150/'GNI per capita'!AL150-1)</f>
        <v/>
      </c>
      <c r="N151" s="30" t="str">
        <f>IF(OR('GNI per capita'!AM150="",'GNI per capita'!AN150=""),"",'GNI per capita'!AN150/'GNI per capita'!AM150-1)</f>
        <v/>
      </c>
      <c r="O151" s="30" t="str">
        <f>IF(OR('GNI per capita'!AN150="",'GNI per capita'!AO150=""),"",'GNI per capita'!AO150/'GNI per capita'!AN150-1)</f>
        <v/>
      </c>
      <c r="P151" s="30" t="str">
        <f>IF(OR('GNI per capita'!AO150="",'GNI per capita'!AP150=""),"",'GNI per capita'!AP150/'GNI per capita'!AO150-1)</f>
        <v/>
      </c>
      <c r="Q151" s="30" t="str">
        <f>IF(OR('GNI per capita'!AP150="",'GNI per capita'!AQ150=""),"",'GNI per capita'!AQ150/'GNI per capita'!AP150-1)</f>
        <v/>
      </c>
      <c r="R151" s="30" t="str">
        <f>IF(OR('GNI per capita'!AQ150="",'GNI per capita'!AR150=""),"",'GNI per capita'!AR150/'GNI per capita'!AQ150-1)</f>
        <v/>
      </c>
      <c r="S151" s="30" t="str">
        <f>IF(OR('GNI per capita'!AR150="",'GNI per capita'!AS150=""),"",'GNI per capita'!AS150/'GNI per capita'!AR150-1)</f>
        <v/>
      </c>
      <c r="T151" s="30" t="str">
        <f>IF(OR('GNI per capita'!AS150="",'GNI per capita'!AT150=""),"",'GNI per capita'!AT150/'GNI per capita'!AS150-1)</f>
        <v/>
      </c>
      <c r="U151" s="28" t="s">
        <v>204</v>
      </c>
    </row>
    <row r="152" spans="1:21" x14ac:dyDescent="0.2">
      <c r="A152" s="2" t="s">
        <v>522</v>
      </c>
      <c r="B152" s="2" t="s">
        <v>523</v>
      </c>
      <c r="C152" s="11" t="s">
        <v>79</v>
      </c>
      <c r="D152" s="30">
        <f t="shared" si="8"/>
        <v>-8.815625012093542E-4</v>
      </c>
      <c r="E152" s="31">
        <f>Assumptions!$C$5</f>
        <v>1.244E-2</v>
      </c>
      <c r="F152" s="32">
        <f>IF($C152="L",Assumptions!$C$8,IF($C152="LM",Assumptions!$C$9,IF($C152="UM",Assumptions!$C$10,Assumptions!$C$11)))</f>
        <v>7.1689000000000003E-2</v>
      </c>
      <c r="G152" s="33">
        <f>IF(J152&lt;Assumptions!$C$13,"",MIN(MAX(D152,E152),F152))</f>
        <v>1.244E-2</v>
      </c>
      <c r="H152" s="12" t="str">
        <f t="shared" si="9"/>
        <v>raised by floor</v>
      </c>
      <c r="I152" s="34">
        <f t="shared" si="10"/>
        <v>1.3321562501209354E-2</v>
      </c>
      <c r="J152" s="12">
        <f t="shared" si="11"/>
        <v>10</v>
      </c>
      <c r="K152" s="30">
        <f>IF(OR('GNI per capita'!AJ151="",'GNI per capita'!AK151=""),"",'GNI per capita'!AK151/'GNI per capita'!AJ151-1)</f>
        <v>-0.12273555579376139</v>
      </c>
      <c r="L152" s="30">
        <f>IF(OR('GNI per capita'!AK151="",'GNI per capita'!AL151=""),"",'GNI per capita'!AL151/'GNI per capita'!AK151-1)</f>
        <v>-6.8059628543499562E-2</v>
      </c>
      <c r="M152" s="30">
        <f>IF(OR('GNI per capita'!AL151="",'GNI per capita'!AM151=""),"",'GNI per capita'!AM151/'GNI per capita'!AL151-1)</f>
        <v>6.4638783269961975E-2</v>
      </c>
      <c r="N152" s="30">
        <f>IF(OR('GNI per capita'!AM151="",'GNI per capita'!AN151=""),"",'GNI per capita'!AN151/'GNI per capita'!AM151-1)</f>
        <v>1.6009852216748666E-2</v>
      </c>
      <c r="O152" s="30">
        <f>IF(OR('GNI per capita'!AN151="",'GNI per capita'!AO151=""),"",'GNI per capita'!AO151/'GNI per capita'!AN151-1)</f>
        <v>-4.8969696969696996E-2</v>
      </c>
      <c r="P152" s="30">
        <f>IF(OR('GNI per capita'!AO151="",'GNI per capita'!AP151=""),"",'GNI per capita'!AP151/'GNI per capita'!AO151-1)</f>
        <v>6.6020902370634627E-2</v>
      </c>
      <c r="Q152" s="30">
        <f>IF(OR('GNI per capita'!AP151="",'GNI per capita'!AQ151=""),"",'GNI per capita'!AQ151/'GNI per capita'!AP151-1)</f>
        <v>0.16296030607364886</v>
      </c>
      <c r="R152" s="30">
        <f>IF(OR('GNI per capita'!AQ151="",'GNI per capita'!AR151=""),"",'GNI per capita'!AR151/'GNI per capita'!AQ151-1)</f>
        <v>4.6982625681093904E-2</v>
      </c>
      <c r="S152" s="30">
        <f>IF(OR('GNI per capita'!AR151="",'GNI per capita'!AS151=""),"",'GNI per capita'!AS151/'GNI per capita'!AR151-1)</f>
        <v>-1.7772977219167374E-2</v>
      </c>
      <c r="T152" s="30">
        <f>IF(OR('GNI per capita'!AS151="",'GNI per capita'!AT151=""),"",'GNI per capita'!AT151/'GNI per capita'!AS151-1)</f>
        <v>-2.7191842447265802E-2</v>
      </c>
      <c r="U152" s="28" t="s">
        <v>510</v>
      </c>
    </row>
    <row r="153" spans="1:21" x14ac:dyDescent="0.2">
      <c r="A153" s="2" t="s">
        <v>524</v>
      </c>
      <c r="B153" s="2" t="s">
        <v>525</v>
      </c>
      <c r="C153" s="11" t="s">
        <v>79</v>
      </c>
      <c r="D153" s="30">
        <f t="shared" si="8"/>
        <v>3.5288012454592677E-2</v>
      </c>
      <c r="E153" s="31">
        <f>Assumptions!$C$5</f>
        <v>1.244E-2</v>
      </c>
      <c r="F153" s="32">
        <f>IF($C153="L",Assumptions!$C$8,IF($C153="LM",Assumptions!$C$9,IF($C153="UM",Assumptions!$C$10,Assumptions!$C$11)))</f>
        <v>7.1689000000000003E-2</v>
      </c>
      <c r="G153" s="33">
        <f>IF(J153&lt;Assumptions!$C$13,"",MIN(MAX(D153,E153),F153))</f>
        <v>3.5288012454592677E-2</v>
      </c>
      <c r="H153" s="12" t="str">
        <f t="shared" si="9"/>
        <v>unadjusted</v>
      </c>
      <c r="I153" s="34">
        <f t="shared" si="10"/>
        <v>0</v>
      </c>
      <c r="J153" s="12">
        <f t="shared" si="11"/>
        <v>9</v>
      </c>
      <c r="K153" s="30">
        <f>IF(OR('GNI per capita'!AJ152="",'GNI per capita'!AK152=""),"",'GNI per capita'!AK152/'GNI per capita'!AJ152-1)</f>
        <v>-9.7762645914396873E-2</v>
      </c>
      <c r="L153" s="30">
        <f>IF(OR('GNI per capita'!AK152="",'GNI per capita'!AL152=""),"",'GNI per capita'!AL152/'GNI per capita'!AK152-1)</f>
        <v>-0.10296495956873319</v>
      </c>
      <c r="M153" s="30">
        <f>IF(OR('GNI per capita'!AL152="",'GNI per capita'!AM152=""),"",'GNI per capita'!AM152/'GNI per capita'!AL152-1)</f>
        <v>3.6658653846153744E-2</v>
      </c>
      <c r="N153" s="30">
        <f>IF(OR('GNI per capita'!AM152="",'GNI per capita'!AN152=""),"",'GNI per capita'!AN152/'GNI per capita'!AM152-1)</f>
        <v>3.536231884057961E-2</v>
      </c>
      <c r="O153" s="30">
        <f>IF(OR('GNI per capita'!AN152="",'GNI per capita'!AO152=""),"",'GNI per capita'!AO152/'GNI per capita'!AN152-1)</f>
        <v>-3.7513997760358353E-2</v>
      </c>
      <c r="P153" s="30">
        <f>IF(OR('GNI per capita'!AO152="",'GNI per capita'!AP152=""),"",'GNI per capita'!AP152/'GNI per capita'!AO152-1)</f>
        <v>4.1884816753926746E-2</v>
      </c>
      <c r="Q153" s="30">
        <f>IF(OR('GNI per capita'!AP152="",'GNI per capita'!AQ152=""),"",'GNI per capita'!AQ152/'GNI per capita'!AP152-1)</f>
        <v>7.5935231714126195E-2</v>
      </c>
      <c r="R153" s="30">
        <f>IF(OR('GNI per capita'!AQ152="",'GNI per capita'!AR152=""),"",'GNI per capita'!AR152/'GNI per capita'!AQ152-1)</f>
        <v>3.5288012454592677E-2</v>
      </c>
      <c r="S153" s="30">
        <f>IF(OR('GNI per capita'!AR152="",'GNI per capita'!AS152=""),"",'GNI per capita'!AS152/'GNI per capita'!AR152-1)</f>
        <v>-2.1553884711779436E-2</v>
      </c>
      <c r="T153" s="30" t="str">
        <f>IF(OR('GNI per capita'!AS152="",'GNI per capita'!AT152=""),"",'GNI per capita'!AT152/'GNI per capita'!AS152-1)</f>
        <v/>
      </c>
      <c r="U153" s="2" t="s">
        <v>162</v>
      </c>
    </row>
    <row r="154" spans="1:21" x14ac:dyDescent="0.2">
      <c r="A154" s="2" t="s">
        <v>526</v>
      </c>
      <c r="B154" s="2" t="s">
        <v>527</v>
      </c>
      <c r="C154" s="11" t="s">
        <v>210</v>
      </c>
      <c r="D154" s="30">
        <f t="shared" si="8"/>
        <v>4.2723699658006264E-2</v>
      </c>
      <c r="E154" s="31">
        <f>Assumptions!$C$5</f>
        <v>1.244E-2</v>
      </c>
      <c r="F154" s="32">
        <f>IF($C154="L",Assumptions!$C$8,IF($C154="LM",Assumptions!$C$9,IF($C154="UM",Assumptions!$C$10,Assumptions!$C$11)))</f>
        <v>7.4680999999999997E-2</v>
      </c>
      <c r="G154" s="33">
        <f>IF(J154&lt;Assumptions!$C$13,"",MIN(MAX(D154,E154),F154))</f>
        <v>4.2723699658006264E-2</v>
      </c>
      <c r="H154" s="12" t="str">
        <f t="shared" si="9"/>
        <v>unadjusted</v>
      </c>
      <c r="I154" s="34">
        <f t="shared" si="10"/>
        <v>0</v>
      </c>
      <c r="J154" s="12">
        <f t="shared" si="11"/>
        <v>10</v>
      </c>
      <c r="K154" s="30">
        <f>IF(OR('GNI per capita'!AJ153="",'GNI per capita'!AK153=""),"",'GNI per capita'!AK153/'GNI per capita'!AJ153-1)</f>
        <v>6.25E-2</v>
      </c>
      <c r="L154" s="30">
        <f>IF(OR('GNI per capita'!AK153="",'GNI per capita'!AL153=""),"",'GNI per capita'!AL153/'GNI per capita'!AK153-1)</f>
        <v>6.6176470588235281E-2</v>
      </c>
      <c r="M154" s="30">
        <f>IF(OR('GNI per capita'!AL153="",'GNI per capita'!AM153=""),"",'GNI per capita'!AM153/'GNI per capita'!AL153-1)</f>
        <v>7.5862068965517171E-2</v>
      </c>
      <c r="N154" s="30">
        <f>IF(OR('GNI per capita'!AM153="",'GNI per capita'!AN153=""),"",'GNI per capita'!AN153/'GNI per capita'!AM153-1)</f>
        <v>-2.5641025641025661E-2</v>
      </c>
      <c r="O154" s="30">
        <f>IF(OR('GNI per capita'!AN153="",'GNI per capita'!AO153=""),"",'GNI per capita'!AO153/'GNI per capita'!AN153-1)</f>
        <v>-9.8684210526315819E-2</v>
      </c>
      <c r="P154" s="30">
        <f>IF(OR('GNI per capita'!AO153="",'GNI per capita'!AP153=""),"",'GNI per capita'!AP153/'GNI per capita'!AO153-1)</f>
        <v>3.649635036496357E-2</v>
      </c>
      <c r="Q154" s="30">
        <f>IF(OR('GNI per capita'!AP153="",'GNI per capita'!AQ153=""),"",'GNI per capita'!AQ153/'GNI per capita'!AP153-1)</f>
        <v>6.3380281690140761E-2</v>
      </c>
      <c r="R154" s="30">
        <f>IF(OR('GNI per capita'!AQ153="",'GNI per capita'!AR153=""),"",'GNI per capita'!AR153/'GNI per capita'!AQ153-1)</f>
        <v>-3.9735099337748325E-2</v>
      </c>
      <c r="S154" s="30">
        <f>IF(OR('GNI per capita'!AR153="",'GNI per capita'!AS153=""),"",'GNI per capita'!AS153/'GNI per capita'!AR153-1)</f>
        <v>-1.379310344827589E-2</v>
      </c>
      <c r="T154" s="30">
        <f>IF(OR('GNI per capita'!AS153="",'GNI per capita'!AT153=""),"",'GNI per capita'!AT153/'GNI per capita'!AS153-1)</f>
        <v>4.8951048951048959E-2</v>
      </c>
      <c r="U154" s="2" t="s">
        <v>162</v>
      </c>
    </row>
    <row r="155" spans="1:21" x14ac:dyDescent="0.2">
      <c r="A155" s="2" t="s">
        <v>528</v>
      </c>
      <c r="B155" s="2" t="s">
        <v>529</v>
      </c>
      <c r="C155" s="11" t="s">
        <v>79</v>
      </c>
      <c r="D155" s="30">
        <f t="shared" si="8"/>
        <v>3.5122650799881638E-2</v>
      </c>
      <c r="E155" s="31">
        <f>Assumptions!$C$5</f>
        <v>1.244E-2</v>
      </c>
      <c r="F155" s="32">
        <f>IF($C155="L",Assumptions!$C$8,IF($C155="LM",Assumptions!$C$9,IF($C155="UM",Assumptions!$C$10,Assumptions!$C$11)))</f>
        <v>7.1689000000000003E-2</v>
      </c>
      <c r="G155" s="33">
        <f>IF(J155&lt;Assumptions!$C$13,"",MIN(MAX(D155,E155),F155))</f>
        <v>3.5122650799881638E-2</v>
      </c>
      <c r="H155" s="12" t="str">
        <f t="shared" si="9"/>
        <v>unadjusted</v>
      </c>
      <c r="I155" s="34">
        <f t="shared" si="10"/>
        <v>0</v>
      </c>
      <c r="J155" s="12">
        <f t="shared" si="11"/>
        <v>10</v>
      </c>
      <c r="K155" s="30">
        <f>IF(OR('GNI per capita'!AJ154="",'GNI per capita'!AK154=""),"",'GNI per capita'!AK154/'GNI per capita'!AJ154-1)</f>
        <v>5.5712270803949249E-2</v>
      </c>
      <c r="L155" s="30">
        <f>IF(OR('GNI per capita'!AK154="",'GNI per capita'!AL154=""),"",'GNI per capita'!AL154/'GNI per capita'!AK154-1)</f>
        <v>3.6740146960587916E-2</v>
      </c>
      <c r="M155" s="30">
        <f>IF(OR('GNI per capita'!AL154="",'GNI per capita'!AM154=""),"",'GNI per capita'!AM154/'GNI per capita'!AL154-1)</f>
        <v>3.3505154639175361E-2</v>
      </c>
      <c r="N155" s="30">
        <f>IF(OR('GNI per capita'!AM154="",'GNI per capita'!AN154=""),"",'GNI per capita'!AN154/'GNI per capita'!AM154-1)</f>
        <v>1.4962593516209433E-2</v>
      </c>
      <c r="O155" s="30">
        <f>IF(OR('GNI per capita'!AN154="",'GNI per capita'!AO154=""),"",'GNI per capita'!AO154/'GNI per capita'!AN154-1)</f>
        <v>-5.1597051597051635E-2</v>
      </c>
      <c r="P155" s="30">
        <f>IF(OR('GNI per capita'!AO154="",'GNI per capita'!AP154=""),"",'GNI per capita'!AP154/'GNI per capita'!AO154-1)</f>
        <v>-9.4559585492227982E-2</v>
      </c>
      <c r="Q155" s="30">
        <f>IF(OR('GNI per capita'!AP154="",'GNI per capita'!AQ154=""),"",'GNI per capita'!AQ154/'GNI per capita'!AP154-1)</f>
        <v>8.5836909871244149E-3</v>
      </c>
      <c r="R155" s="30">
        <f>IF(OR('GNI per capita'!AQ154="",'GNI per capita'!AR154=""),"",'GNI per capita'!AR154/'GNI per capita'!AQ154-1)</f>
        <v>4.6099290780141855E-2</v>
      </c>
      <c r="S155" s="30">
        <f>IF(OR('GNI per capita'!AR154="",'GNI per capita'!AS154=""),"",'GNI per capita'!AS154/'GNI per capita'!AR154-1)</f>
        <v>0.14711864406779651</v>
      </c>
      <c r="T155" s="30">
        <f>IF(OR('GNI per capita'!AS154="",'GNI per capita'!AT154=""),"",'GNI per capita'!AT154/'GNI per capita'!AS154-1)</f>
        <v>0.17553191489361697</v>
      </c>
      <c r="U155" s="2" t="s">
        <v>162</v>
      </c>
    </row>
    <row r="156" spans="1:21" x14ac:dyDescent="0.2">
      <c r="A156" s="2" t="s">
        <v>530</v>
      </c>
      <c r="B156" s="2" t="s">
        <v>531</v>
      </c>
      <c r="C156" s="11" t="s">
        <v>79</v>
      </c>
      <c r="D156" s="30">
        <f t="shared" si="8"/>
        <v>4.8744335543891792E-2</v>
      </c>
      <c r="E156" s="31">
        <f>Assumptions!$C$5</f>
        <v>1.244E-2</v>
      </c>
      <c r="F156" s="32">
        <f>IF($C156="L",Assumptions!$C$8,IF($C156="LM",Assumptions!$C$9,IF($C156="UM",Assumptions!$C$10,Assumptions!$C$11)))</f>
        <v>7.1689000000000003E-2</v>
      </c>
      <c r="G156" s="33">
        <f>IF(J156&lt;Assumptions!$C$13,"",MIN(MAX(D156,E156),F156))</f>
        <v>4.8744335543891792E-2</v>
      </c>
      <c r="H156" s="12" t="str">
        <f t="shared" si="9"/>
        <v>unadjusted</v>
      </c>
      <c r="I156" s="34">
        <f t="shared" si="10"/>
        <v>0</v>
      </c>
      <c r="J156" s="12">
        <f t="shared" si="11"/>
        <v>10</v>
      </c>
      <c r="K156" s="30">
        <f>IF(OR('GNI per capita'!AJ155="",'GNI per capita'!AK155=""),"",'GNI per capita'!AK155/'GNI per capita'!AJ155-1)</f>
        <v>4.8528241845664288E-2</v>
      </c>
      <c r="L156" s="30">
        <f>IF(OR('GNI per capita'!AK155="",'GNI per capita'!AL155=""),"",'GNI per capita'!AL155/'GNI per capita'!AK155-1)</f>
        <v>7.9666160849772405E-2</v>
      </c>
      <c r="M156" s="30">
        <f>IF(OR('GNI per capita'!AL155="",'GNI per capita'!AM155=""),"",'GNI per capita'!AM155/'GNI per capita'!AL155-1)</f>
        <v>4.7786366830639526E-2</v>
      </c>
      <c r="N156" s="30">
        <f>IF(OR('GNI per capita'!AM155="",'GNI per capita'!AN155=""),"",'GNI per capita'!AN155/'GNI per capita'!AM155-1)</f>
        <v>4.8960429242119297E-2</v>
      </c>
      <c r="O156" s="30">
        <f>IF(OR('GNI per capita'!AN155="",'GNI per capita'!AO155=""),"",'GNI per capita'!AO155/'GNI per capita'!AN155-1)</f>
        <v>-0.16432225063938621</v>
      </c>
      <c r="P156" s="30">
        <f>IF(OR('GNI per capita'!AO155="",'GNI per capita'!AP155=""),"",'GNI per capita'!AP155/'GNI per capita'!AO155-1)</f>
        <v>0.14154552410099464</v>
      </c>
      <c r="Q156" s="30">
        <f>IF(OR('GNI per capita'!AP155="",'GNI per capita'!AQ155=""),"",'GNI per capita'!AQ155/'GNI per capita'!AP155-1)</f>
        <v>0.14812332439678277</v>
      </c>
      <c r="R156" s="30">
        <f>IF(OR('GNI per capita'!AQ155="",'GNI per capita'!AR155=""),"",'GNI per capita'!AR155/'GNI per capita'!AQ155-1)</f>
        <v>4.0863981319322784E-2</v>
      </c>
      <c r="S156" s="30">
        <f>IF(OR('GNI per capita'!AR155="",'GNI per capita'!AS155=""),"",'GNI per capita'!AS155/'GNI per capita'!AR155-1)</f>
        <v>6.7302299495233253E-3</v>
      </c>
      <c r="T156" s="30">
        <f>IF(OR('GNI per capita'!AS155="",'GNI per capita'!AT155=""),"",'GNI per capita'!AT155/'GNI per capita'!AS155-1)</f>
        <v>6.6295264623955408E-2</v>
      </c>
      <c r="U156" s="2" t="s">
        <v>162</v>
      </c>
    </row>
    <row r="157" spans="1:21" x14ac:dyDescent="0.2">
      <c r="A157" s="2" t="s">
        <v>532</v>
      </c>
      <c r="B157" s="2" t="s">
        <v>533</v>
      </c>
      <c r="C157" s="11" t="s">
        <v>210</v>
      </c>
      <c r="D157" s="30">
        <f t="shared" si="8"/>
        <v>5.2447552447552059E-3</v>
      </c>
      <c r="E157" s="31">
        <f>Assumptions!$C$5</f>
        <v>1.244E-2</v>
      </c>
      <c r="F157" s="32">
        <f>IF($C157="L",Assumptions!$C$8,IF($C157="LM",Assumptions!$C$9,IF($C157="UM",Assumptions!$C$10,Assumptions!$C$11)))</f>
        <v>7.4680999999999997E-2</v>
      </c>
      <c r="G157" s="33">
        <f>IF(J157&lt;Assumptions!$C$13,"",MIN(MAX(D157,E157),F157))</f>
        <v>1.244E-2</v>
      </c>
      <c r="H157" s="12" t="str">
        <f t="shared" si="9"/>
        <v>raised by floor</v>
      </c>
      <c r="I157" s="34">
        <f t="shared" si="10"/>
        <v>7.1952447552447937E-3</v>
      </c>
      <c r="J157" s="12">
        <f t="shared" si="11"/>
        <v>10</v>
      </c>
      <c r="K157" s="30">
        <f>IF(OR('GNI per capita'!AJ156="",'GNI per capita'!AK156=""),"",'GNI per capita'!AK156/'GNI per capita'!AJ156-1)</f>
        <v>-4.3650793650793607E-2</v>
      </c>
      <c r="L157" s="30">
        <f>IF(OR('GNI per capita'!AK156="",'GNI per capita'!AL156=""),"",'GNI per capita'!AL156/'GNI per capita'!AK156-1)</f>
        <v>-4.1493775933609922E-2</v>
      </c>
      <c r="M157" s="30">
        <f>IF(OR('GNI per capita'!AL156="",'GNI per capita'!AM156=""),"",'GNI per capita'!AM156/'GNI per capita'!AL156-1)</f>
        <v>0</v>
      </c>
      <c r="N157" s="30">
        <f>IF(OR('GNI per capita'!AM156="",'GNI per capita'!AN156=""),"",'GNI per capita'!AN156/'GNI per capita'!AM156-1)</f>
        <v>4.7619047619047672E-2</v>
      </c>
      <c r="O157" s="30">
        <f>IF(OR('GNI per capita'!AN156="",'GNI per capita'!AO156=""),"",'GNI per capita'!AO156/'GNI per capita'!AN156-1)</f>
        <v>-4.1322314049586639E-3</v>
      </c>
      <c r="P157" s="30">
        <f>IF(OR('GNI per capita'!AO156="",'GNI per capita'!AP156=""),"",'GNI per capita'!AP156/'GNI per capita'!AO156-1)</f>
        <v>-1.6597510373444035E-2</v>
      </c>
      <c r="Q157" s="30">
        <f>IF(OR('GNI per capita'!AP156="",'GNI per capita'!AQ156=""),"",'GNI per capita'!AQ156/'GNI per capita'!AP156-1)</f>
        <v>0.13502109704641341</v>
      </c>
      <c r="R157" s="30">
        <f>IF(OR('GNI per capita'!AQ156="",'GNI per capita'!AR156=""),"",'GNI per capita'!AR156/'GNI per capita'!AQ156-1)</f>
        <v>4.0892193308550207E-2</v>
      </c>
      <c r="S157" s="30">
        <f>IF(OR('GNI per capita'!AR156="",'GNI per capita'!AS156=""),"",'GNI per capita'!AS156/'GNI per capita'!AR156-1)</f>
        <v>2.1428571428571352E-2</v>
      </c>
      <c r="T157" s="30">
        <f>IF(OR('GNI per capita'!AS156="",'GNI per capita'!AT156=""),"",'GNI per capita'!AT156/'GNI per capita'!AS156-1)</f>
        <v>1.0489510489510412E-2</v>
      </c>
      <c r="U157" s="28" t="s">
        <v>445</v>
      </c>
    </row>
    <row r="158" spans="1:21" x14ac:dyDescent="0.2">
      <c r="A158" s="2" t="s">
        <v>534</v>
      </c>
      <c r="B158" s="2" t="s">
        <v>535</v>
      </c>
      <c r="C158" s="11" t="s">
        <v>82</v>
      </c>
      <c r="D158" s="30">
        <f t="shared" si="8"/>
        <v>2.2573379831444251E-2</v>
      </c>
      <c r="E158" s="31">
        <f>Assumptions!$C$5</f>
        <v>1.244E-2</v>
      </c>
      <c r="F158" s="32">
        <f>IF($C158="L",Assumptions!$C$8,IF($C158="LM",Assumptions!$C$9,IF($C158="UM",Assumptions!$C$10,Assumptions!$C$11)))</f>
        <v>9.0712000000000001E-2</v>
      </c>
      <c r="G158" s="33">
        <f>IF(J158&lt;Assumptions!$C$13,"",MIN(MAX(D158,E158),F158))</f>
        <v>2.2573379831444251E-2</v>
      </c>
      <c r="H158" s="12" t="str">
        <f t="shared" si="9"/>
        <v>unadjusted</v>
      </c>
      <c r="I158" s="34">
        <f t="shared" si="10"/>
        <v>0</v>
      </c>
      <c r="J158" s="12">
        <f t="shared" si="11"/>
        <v>10</v>
      </c>
      <c r="K158" s="30">
        <f>IF(OR('GNI per capita'!AJ157="",'GNI per capita'!AK157=""),"",'GNI per capita'!AK157/'GNI per capita'!AJ157-1)</f>
        <v>-3.770491803278686E-2</v>
      </c>
      <c r="L158" s="30">
        <f>IF(OR('GNI per capita'!AK157="",'GNI per capita'!AL157=""),"",'GNI per capita'!AL157/'GNI per capita'!AK157-1)</f>
        <v>-1.0221465076660996E-2</v>
      </c>
      <c r="M158" s="30">
        <f>IF(OR('GNI per capita'!AL157="",'GNI per capita'!AM157=""),"",'GNI per capita'!AM157/'GNI per capita'!AL157-1)</f>
        <v>4.3029259896729677E-2</v>
      </c>
      <c r="N158" s="30">
        <f>IF(OR('GNI per capita'!AM157="",'GNI per capita'!AN157=""),"",'GNI per capita'!AN157/'GNI per capita'!AM157-1)</f>
        <v>-1.8151815181518205E-2</v>
      </c>
      <c r="O158" s="30">
        <f>IF(OR('GNI per capita'!AN157="",'GNI per capita'!AO157=""),"",'GNI per capita'!AO157/'GNI per capita'!AN157-1)</f>
        <v>-6.7226890756302504E-2</v>
      </c>
      <c r="P158" s="30">
        <f>IF(OR('GNI per capita'!AO157="",'GNI per capita'!AP157=""),"",'GNI per capita'!AP157/'GNI per capita'!AO157-1)</f>
        <v>3.063063063063054E-2</v>
      </c>
      <c r="Q158" s="30">
        <f>IF(OR('GNI per capita'!AP157="",'GNI per capita'!AQ157=""),"",'GNI per capita'!AQ157/'GNI per capita'!AP157-1)</f>
        <v>3.1468531468531458E-2</v>
      </c>
      <c r="R158" s="30">
        <f>IF(OR('GNI per capita'!AQ157="",'GNI per capita'!AR157=""),"",'GNI per capita'!AR157/'GNI per capita'!AQ157-1)</f>
        <v>5.0847457627118731E-2</v>
      </c>
      <c r="S158" s="30">
        <f>IF(OR('GNI per capita'!AR157="",'GNI per capita'!AS157=""),"",'GNI per capita'!AS157/'GNI per capita'!AR157-1)</f>
        <v>1.4516129032257963E-2</v>
      </c>
      <c r="T158" s="30">
        <f>IF(OR('GNI per capita'!AS157="",'GNI per capita'!AT157=""),"",'GNI per capita'!AT157/'GNI per capita'!AS157-1)</f>
        <v>7.3131955484896594E-2</v>
      </c>
      <c r="U158" s="2" t="s">
        <v>162</v>
      </c>
    </row>
    <row r="159" spans="1:21" x14ac:dyDescent="0.2">
      <c r="A159" s="2" t="s">
        <v>536</v>
      </c>
      <c r="B159" s="2" t="s">
        <v>537</v>
      </c>
      <c r="C159" s="11" t="s">
        <v>82</v>
      </c>
      <c r="D159" s="30">
        <f t="shared" si="8"/>
        <v>5.593071051086318E-2</v>
      </c>
      <c r="E159" s="31">
        <f>Assumptions!$C$5</f>
        <v>1.244E-2</v>
      </c>
      <c r="F159" s="32">
        <f>IF($C159="L",Assumptions!$C$8,IF($C159="LM",Assumptions!$C$9,IF($C159="UM",Assumptions!$C$10,Assumptions!$C$11)))</f>
        <v>9.0712000000000001E-2</v>
      </c>
      <c r="G159" s="33">
        <f>IF(J159&lt;Assumptions!$C$13,"",MIN(MAX(D159,E159),F159))</f>
        <v>5.593071051086318E-2</v>
      </c>
      <c r="H159" s="12" t="str">
        <f t="shared" si="9"/>
        <v>unadjusted</v>
      </c>
      <c r="I159" s="34">
        <f t="shared" si="10"/>
        <v>0</v>
      </c>
      <c r="J159" s="12">
        <f t="shared" si="11"/>
        <v>10</v>
      </c>
      <c r="K159" s="30">
        <f>IF(OR('GNI per capita'!AJ158="",'GNI per capita'!AK158=""),"",'GNI per capita'!AK158/'GNI per capita'!AJ158-1)</f>
        <v>-3.3123028391167209E-2</v>
      </c>
      <c r="L159" s="30">
        <f>IF(OR('GNI per capita'!AK158="",'GNI per capita'!AL158=""),"",'GNI per capita'!AL158/'GNI per capita'!AK158-1)</f>
        <v>-6.525285481239762E-3</v>
      </c>
      <c r="M159" s="30">
        <f>IF(OR('GNI per capita'!AL158="",'GNI per capita'!AM158=""),"",'GNI per capita'!AM158/'GNI per capita'!AL158-1)</f>
        <v>6.7323481116584594E-2</v>
      </c>
      <c r="N159" s="30">
        <f>IF(OR('GNI per capita'!AM158="",'GNI per capita'!AN158=""),"",'GNI per capita'!AN158/'GNI per capita'!AM158-1)</f>
        <v>5.3846153846153877E-2</v>
      </c>
      <c r="O159" s="30">
        <f>IF(OR('GNI per capita'!AN158="",'GNI per capita'!AO158=""),"",'GNI per capita'!AO158/'GNI per capita'!AN158-1)</f>
        <v>-0.11240875912408754</v>
      </c>
      <c r="P159" s="30">
        <f>IF(OR('GNI per capita'!AO158="",'GNI per capita'!AP158=""),"",'GNI per capita'!AP158/'GNI per capita'!AO158-1)</f>
        <v>7.7302631578947345E-2</v>
      </c>
      <c r="Q159" s="30">
        <f>IF(OR('GNI per capita'!AP158="",'GNI per capita'!AQ158=""),"",'GNI per capita'!AQ158/'GNI per capita'!AP158-1)</f>
        <v>5.8015267175572482E-2</v>
      </c>
      <c r="R159" s="30">
        <f>IF(OR('GNI per capita'!AQ158="",'GNI per capita'!AR158=""),"",'GNI per capita'!AR158/'GNI per capita'!AQ158-1)</f>
        <v>2.4531024531024626E-2</v>
      </c>
      <c r="S159" s="30">
        <f>IF(OR('GNI per capita'!AR158="",'GNI per capita'!AS158=""),"",'GNI per capita'!AS158/'GNI per capita'!AR158-1)</f>
        <v>6.056338028169006E-2</v>
      </c>
      <c r="T159" s="30">
        <f>IF(OR('GNI per capita'!AS158="",'GNI per capita'!AT158=""),"",'GNI per capita'!AT158/'GNI per capita'!AS158-1)</f>
        <v>0.1195219123505975</v>
      </c>
      <c r="U159" s="2" t="s">
        <v>162</v>
      </c>
    </row>
    <row r="160" spans="1:21" x14ac:dyDescent="0.2">
      <c r="A160" s="2" t="s">
        <v>538</v>
      </c>
      <c r="B160" s="2" t="s">
        <v>539</v>
      </c>
      <c r="C160" s="11" t="s">
        <v>82</v>
      </c>
      <c r="D160" s="30">
        <f t="shared" si="8"/>
        <v>4.5484925594279524E-2</v>
      </c>
      <c r="E160" s="31">
        <f>Assumptions!$C$5</f>
        <v>1.244E-2</v>
      </c>
      <c r="F160" s="32">
        <f>IF($C160="L",Assumptions!$C$8,IF($C160="LM",Assumptions!$C$9,IF($C160="UM",Assumptions!$C$10,Assumptions!$C$11)))</f>
        <v>9.0712000000000001E-2</v>
      </c>
      <c r="G160" s="33">
        <f>IF(J160&lt;Assumptions!$C$13,"",MIN(MAX(D160,E160),F160))</f>
        <v>4.5484925594279524E-2</v>
      </c>
      <c r="H160" s="12" t="str">
        <f t="shared" si="9"/>
        <v>unadjusted</v>
      </c>
      <c r="I160" s="34">
        <f t="shared" si="10"/>
        <v>0</v>
      </c>
      <c r="J160" s="12">
        <f t="shared" si="11"/>
        <v>10</v>
      </c>
      <c r="K160" s="30">
        <f>IF(OR('GNI per capita'!AJ159="",'GNI per capita'!AK159=""),"",'GNI per capita'!AK159/'GNI per capita'!AJ159-1)</f>
        <v>2.1341463414634054E-2</v>
      </c>
      <c r="L160" s="30">
        <f>IF(OR('GNI per capita'!AK159="",'GNI per capita'!AL159=""),"",'GNI per capita'!AL159/'GNI per capita'!AK159-1)</f>
        <v>2.6865671641790989E-2</v>
      </c>
      <c r="M160" s="30">
        <f>IF(OR('GNI per capita'!AL159="",'GNI per capita'!AM159=""),"",'GNI per capita'!AM159/'GNI per capita'!AL159-1)</f>
        <v>4.9418604651162878E-2</v>
      </c>
      <c r="N160" s="30">
        <f>IF(OR('GNI per capita'!AM159="",'GNI per capita'!AN159=""),"",'GNI per capita'!AN159/'GNI per capita'!AM159-1)</f>
        <v>4.1551246537396169E-2</v>
      </c>
      <c r="O160" s="30">
        <f>IF(OR('GNI per capita'!AN159="",'GNI per capita'!AO159=""),"",'GNI per capita'!AO159/'GNI per capita'!AN159-1)</f>
        <v>-0.10904255319148937</v>
      </c>
      <c r="P160" s="30">
        <f>IF(OR('GNI per capita'!AO159="",'GNI per capita'!AP159=""),"",'GNI per capita'!AP159/'GNI per capita'!AO159-1)</f>
        <v>6.5671641791044788E-2</v>
      </c>
      <c r="Q160" s="30">
        <f>IF(OR('GNI per capita'!AP159="",'GNI per capita'!AQ159=""),"",'GNI per capita'!AQ159/'GNI per capita'!AP159-1)</f>
        <v>0.12324929971988796</v>
      </c>
      <c r="R160" s="30">
        <f>IF(OR('GNI per capita'!AQ159="",'GNI per capita'!AR159=""),"",'GNI per capita'!AR159/'GNI per capita'!AQ159-1)</f>
        <v>7.7306733167082253E-2</v>
      </c>
      <c r="S160" s="30">
        <f>IF(OR('GNI per capita'!AR159="",'GNI per capita'!AS159=""),"",'GNI per capita'!AS159/'GNI per capita'!AR159-1)</f>
        <v>3.4722222222222321E-2</v>
      </c>
      <c r="T160" s="30">
        <f>IF(OR('GNI per capita'!AS159="",'GNI per capita'!AT159=""),"",'GNI per capita'!AT159/'GNI per capita'!AS159-1)</f>
        <v>8.5011185682326573E-2</v>
      </c>
      <c r="U160" s="2" t="s">
        <v>162</v>
      </c>
    </row>
    <row r="161" spans="1:21" x14ac:dyDescent="0.2">
      <c r="A161" s="2" t="s">
        <v>540</v>
      </c>
      <c r="B161" s="2" t="s">
        <v>541</v>
      </c>
      <c r="C161" s="11" t="s">
        <v>79</v>
      </c>
      <c r="D161" s="30">
        <f t="shared" si="8"/>
        <v>8.4663763909046841E-2</v>
      </c>
      <c r="E161" s="31">
        <f>Assumptions!$C$5</f>
        <v>1.244E-2</v>
      </c>
      <c r="F161" s="32">
        <f>IF($C161="L",Assumptions!$C$8,IF($C161="LM",Assumptions!$C$9,IF($C161="UM",Assumptions!$C$10,Assumptions!$C$11)))</f>
        <v>7.1689000000000003E-2</v>
      </c>
      <c r="G161" s="33">
        <f>IF(J161&lt;Assumptions!$C$13,"",MIN(MAX(D161,E161),F161))</f>
        <v>7.1689000000000003E-2</v>
      </c>
      <c r="H161" s="12" t="str">
        <f t="shared" si="9"/>
        <v>cut by cap</v>
      </c>
      <c r="I161" s="34">
        <f t="shared" si="10"/>
        <v>-1.2974763909046838E-2</v>
      </c>
      <c r="J161" s="12">
        <f t="shared" si="11"/>
        <v>10</v>
      </c>
      <c r="K161" s="30">
        <f>IF(OR('GNI per capita'!AJ160="",'GNI per capita'!AK160=""),"",'GNI per capita'!AK160/'GNI per capita'!AJ160-1)</f>
        <v>-4.3543543543543506E-2</v>
      </c>
      <c r="L161" s="30">
        <f>IF(OR('GNI per capita'!AK160="",'GNI per capita'!AL160=""),"",'GNI per capita'!AL160/'GNI per capita'!AK160-1)</f>
        <v>3.1397174254317317E-3</v>
      </c>
      <c r="M161" s="30">
        <f>IF(OR('GNI per capita'!AL160="",'GNI per capita'!AM160=""),"",'GNI per capita'!AM160/'GNI per capita'!AL160-1)</f>
        <v>0.11971830985915499</v>
      </c>
      <c r="N161" s="30">
        <f>IF(OR('GNI per capita'!AM160="",'GNI per capita'!AN160=""),"",'GNI per capita'!AN160/'GNI per capita'!AM160-1)</f>
        <v>8.3857442348008293E-2</v>
      </c>
      <c r="O161" s="30">
        <f>IF(OR('GNI per capita'!AN160="",'GNI per capita'!AO160=""),"",'GNI per capita'!AO160/'GNI per capita'!AN160-1)</f>
        <v>8.3816892327530645E-3</v>
      </c>
      <c r="P161" s="30">
        <f>IF(OR('GNI per capita'!AO160="",'GNI per capita'!AP160=""),"",'GNI per capita'!AP160/'GNI per capita'!AO160-1)</f>
        <v>0.11700767263427103</v>
      </c>
      <c r="Q161" s="30">
        <f>IF(OR('GNI per capita'!AP160="",'GNI per capita'!AQ160=""),"",'GNI per capita'!AQ160/'GNI per capita'!AP160-1)</f>
        <v>9.3875214653692085E-2</v>
      </c>
      <c r="R161" s="30">
        <f>IF(OR('GNI per capita'!AQ160="",'GNI per capita'!AR160=""),"",'GNI per capita'!AR160/'GNI per capita'!AQ160-1)</f>
        <v>4.081632653061229E-2</v>
      </c>
      <c r="S161" s="30">
        <f>IF(OR('GNI per capita'!AR160="",'GNI per capita'!AS160=""),"",'GNI per capita'!AS160/'GNI per capita'!AR160-1)</f>
        <v>8.5470085470085388E-2</v>
      </c>
      <c r="T161" s="30">
        <f>IF(OR('GNI per capita'!AS160="",'GNI per capita'!AT160=""),"",'GNI per capita'!AT160/'GNI per capita'!AS160-1)</f>
        <v>0.18202871699861056</v>
      </c>
      <c r="U161" s="28" t="s">
        <v>279</v>
      </c>
    </row>
    <row r="162" spans="1:21" x14ac:dyDescent="0.2">
      <c r="A162" s="2" t="s">
        <v>542</v>
      </c>
      <c r="B162" s="2" t="s">
        <v>543</v>
      </c>
      <c r="C162" s="11" t="s">
        <v>79</v>
      </c>
      <c r="D162" s="30">
        <f t="shared" si="8"/>
        <v>3.8839612384192757E-2</v>
      </c>
      <c r="E162" s="31">
        <f>Assumptions!$C$5</f>
        <v>1.244E-2</v>
      </c>
      <c r="F162" s="32">
        <f>IF($C162="L",Assumptions!$C$8,IF($C162="LM",Assumptions!$C$9,IF($C162="UM",Assumptions!$C$10,Assumptions!$C$11)))</f>
        <v>7.1689000000000003E-2</v>
      </c>
      <c r="G162" s="33">
        <f>IF(J162&lt;Assumptions!$C$13,"",MIN(MAX(D162,E162),F162))</f>
        <v>3.8839612384192757E-2</v>
      </c>
      <c r="H162" s="12" t="str">
        <f t="shared" si="9"/>
        <v>unadjusted</v>
      </c>
      <c r="I162" s="34">
        <f t="shared" si="10"/>
        <v>0</v>
      </c>
      <c r="J162" s="12">
        <f t="shared" si="11"/>
        <v>10</v>
      </c>
      <c r="K162" s="30">
        <f>IF(OR('GNI per capita'!AJ161="",'GNI per capita'!AK161=""),"",'GNI per capita'!AK161/'GNI per capita'!AJ161-1)</f>
        <v>-2.4449877750611249E-2</v>
      </c>
      <c r="L162" s="30">
        <f>IF(OR('GNI per capita'!AK161="",'GNI per capita'!AL161=""),"",'GNI per capita'!AL161/'GNI per capita'!AK161-1)</f>
        <v>4.0100250626566858E-3</v>
      </c>
      <c r="M162" s="30">
        <f>IF(OR('GNI per capita'!AL161="",'GNI per capita'!AM161=""),"",'GNI per capita'!AM161/'GNI per capita'!AL161-1)</f>
        <v>0.10034947578632059</v>
      </c>
      <c r="N162" s="30">
        <f>IF(OR('GNI per capita'!AM161="",'GNI per capita'!AN161=""),"",'GNI per capita'!AN161/'GNI per capita'!AM161-1)</f>
        <v>5.4900181488203303E-2</v>
      </c>
      <c r="O162" s="30">
        <f>IF(OR('GNI per capita'!AN161="",'GNI per capita'!AO161=""),"",'GNI per capita'!AO161/'GNI per capita'!AN161-1)</f>
        <v>-5.7634408602150522E-2</v>
      </c>
      <c r="P162" s="30">
        <f>IF(OR('GNI per capita'!AO161="",'GNI per capita'!AP161=""),"",'GNI per capita'!AP161/'GNI per capita'!AO161-1)</f>
        <v>9.4477407576449179E-2</v>
      </c>
      <c r="Q162" s="30">
        <f>IF(OR('GNI per capita'!AP161="",'GNI per capita'!AQ161=""),"",'GNI per capita'!AQ161/'GNI per capita'!AP161-1)</f>
        <v>7.9232693911593044E-2</v>
      </c>
      <c r="R162" s="30">
        <f>IF(OR('GNI per capita'!AQ161="",'GNI per capita'!AR161=""),"",'GNI per capita'!AR161/'GNI per capita'!AQ161-1)</f>
        <v>1.7774343122102021E-2</v>
      </c>
      <c r="S162" s="30">
        <f>IF(OR('GNI per capita'!AR161="",'GNI per capita'!AS161=""),"",'GNI per capita'!AS161/'GNI per capita'!AR161-1)</f>
        <v>2.277904328018221E-2</v>
      </c>
      <c r="T162" s="30">
        <f>IF(OR('GNI per capita'!AS161="",'GNI per capita'!AT161=""),"",'GNI per capita'!AT161/'GNI per capita'!AS161-1)</f>
        <v>0.11098737936154413</v>
      </c>
      <c r="U162" s="2" t="s">
        <v>162</v>
      </c>
    </row>
    <row r="163" spans="1:21" x14ac:dyDescent="0.2">
      <c r="A163" s="2" t="s">
        <v>544</v>
      </c>
      <c r="B163" s="2" t="s">
        <v>545</v>
      </c>
      <c r="C163" s="11" t="s">
        <v>79</v>
      </c>
      <c r="D163" s="30">
        <f t="shared" si="8"/>
        <v>3.5129972041200275E-2</v>
      </c>
      <c r="E163" s="31">
        <f>Assumptions!$C$5</f>
        <v>1.244E-2</v>
      </c>
      <c r="F163" s="32">
        <f>IF($C163="L",Assumptions!$C$8,IF($C163="LM",Assumptions!$C$9,IF($C163="UM",Assumptions!$C$10,Assumptions!$C$11)))</f>
        <v>7.1689000000000003E-2</v>
      </c>
      <c r="G163" s="33">
        <f>IF(J163&lt;Assumptions!$C$13,"",MIN(MAX(D163,E163),F163))</f>
        <v>3.5129972041200275E-2</v>
      </c>
      <c r="H163" s="12" t="str">
        <f t="shared" si="9"/>
        <v>unadjusted</v>
      </c>
      <c r="I163" s="34">
        <f t="shared" si="10"/>
        <v>0</v>
      </c>
      <c r="J163" s="12">
        <f t="shared" si="11"/>
        <v>10</v>
      </c>
      <c r="K163" s="30">
        <f>IF(OR('GNI per capita'!AJ162="",'GNI per capita'!AK162=""),"",'GNI per capita'!AK162/'GNI per capita'!AJ162-1)</f>
        <v>1.1006289308176154E-2</v>
      </c>
      <c r="L163" s="30">
        <f>IF(OR('GNI per capita'!AK162="",'GNI per capita'!AL162=""),"",'GNI per capita'!AL162/'GNI per capita'!AK162-1)</f>
        <v>1.0886469673405896E-2</v>
      </c>
      <c r="M163" s="30">
        <f>IF(OR('GNI per capita'!AL162="",'GNI per capita'!AM162=""),"",'GNI per capita'!AM162/'GNI per capita'!AL162-1)</f>
        <v>4.5128205128205146E-2</v>
      </c>
      <c r="N163" s="30">
        <f>IF(OR('GNI per capita'!AM162="",'GNI per capita'!AN162=""),"",'GNI per capita'!AN162/'GNI per capita'!AM162-1)</f>
        <v>4.5632973503434648E-2</v>
      </c>
      <c r="O163" s="30">
        <f>IF(OR('GNI per capita'!AN162="",'GNI per capita'!AO162=""),"",'GNI per capita'!AO162/'GNI per capita'!AN162-1)</f>
        <v>-5.1618958235569723E-3</v>
      </c>
      <c r="P163" s="30">
        <f>IF(OR('GNI per capita'!AO162="",'GNI per capita'!AP162=""),"",'GNI per capita'!AP162/'GNI per capita'!AO162-1)</f>
        <v>6.509433962264155E-2</v>
      </c>
      <c r="Q163" s="30">
        <f>IF(OR('GNI per capita'!AP162="",'GNI per capita'!AQ162=""),"",'GNI per capita'!AQ162/'GNI per capita'!AP162-1)</f>
        <v>9.2559787422497708E-2</v>
      </c>
      <c r="R163" s="30">
        <f>IF(OR('GNI per capita'!AQ162="",'GNI per capita'!AR162=""),"",'GNI per capita'!AR162/'GNI per capita'!AQ162-1)</f>
        <v>2.5131738954195404E-2</v>
      </c>
      <c r="S163" s="30">
        <f>IF(OR('GNI per capita'!AR162="",'GNI per capita'!AS162=""),"",'GNI per capita'!AS162/'GNI per capita'!AR162-1)</f>
        <v>2.2933965994464289E-2</v>
      </c>
      <c r="T163" s="30">
        <f>IF(OR('GNI per capita'!AS162="",'GNI per capita'!AT162=""),"",'GNI per capita'!AT162/'GNI per capita'!AS162-1)</f>
        <v>5.6049478160030919E-2</v>
      </c>
      <c r="U163" s="2" t="s">
        <v>162</v>
      </c>
    </row>
    <row r="164" spans="1:21" x14ac:dyDescent="0.2">
      <c r="A164" s="2" t="s">
        <v>546</v>
      </c>
      <c r="B164" s="2" t="s">
        <v>547</v>
      </c>
      <c r="C164" s="11" t="s">
        <v>79</v>
      </c>
      <c r="D164" s="30">
        <f t="shared" si="8"/>
        <v>3.4299502212394861E-3</v>
      </c>
      <c r="E164" s="31">
        <f>Assumptions!$C$5</f>
        <v>1.244E-2</v>
      </c>
      <c r="F164" s="32">
        <f>IF($C164="L",Assumptions!$C$8,IF($C164="LM",Assumptions!$C$9,IF($C164="UM",Assumptions!$C$10,Assumptions!$C$11)))</f>
        <v>7.1689000000000003E-2</v>
      </c>
      <c r="G164" s="33">
        <f>IF(J164&lt;Assumptions!$C$13,"",MIN(MAX(D164,E164),F164))</f>
        <v>1.244E-2</v>
      </c>
      <c r="H164" s="12" t="str">
        <f t="shared" si="9"/>
        <v>raised by floor</v>
      </c>
      <c r="I164" s="34">
        <f t="shared" si="10"/>
        <v>9.0100497787605136E-3</v>
      </c>
      <c r="J164" s="12">
        <f t="shared" si="11"/>
        <v>10</v>
      </c>
      <c r="K164" s="30">
        <f>IF(OR('GNI per capita'!AJ163="",'GNI per capita'!AK163=""),"",'GNI per capita'!AK163/'GNI per capita'!AJ163-1)</f>
        <v>-0.13634661006367832</v>
      </c>
      <c r="L164" s="30">
        <f>IF(OR('GNI per capita'!AK163="",'GNI per capita'!AL163=""),"",'GNI per capita'!AL163/'GNI per capita'!AK163-1)</f>
        <v>-0.11927136041636544</v>
      </c>
      <c r="M164" s="30">
        <f>IF(OR('GNI per capita'!AL163="",'GNI per capita'!AM163=""),"",'GNI per capita'!AM163/'GNI per capita'!AL163-1)</f>
        <v>4.0873276428102345E-2</v>
      </c>
      <c r="N164" s="30">
        <f>IF(OR('GNI per capita'!AM163="",'GNI per capita'!AN163=""),"",'GNI per capita'!AN163/'GNI per capita'!AM163-1)</f>
        <v>3.6114177574515072E-2</v>
      </c>
      <c r="O164" s="30">
        <f>IF(OR('GNI per capita'!AN163="",'GNI per capita'!AO163=""),"",'GNI per capita'!AO163/'GNI per capita'!AN163-1)</f>
        <v>-0.12130898021308978</v>
      </c>
      <c r="P164" s="30">
        <f>IF(OR('GNI per capita'!AO163="",'GNI per capita'!AP163=""),"",'GNI per capita'!AP163/'GNI per capita'!AO163-1)</f>
        <v>0.16005543045210469</v>
      </c>
      <c r="Q164" s="30">
        <f>IF(OR('GNI per capita'!AP163="",'GNI per capita'!AQ163=""),"",'GNI per capita'!AQ163/'GNI per capita'!AP163-1)</f>
        <v>6.0922801254293057E-2</v>
      </c>
      <c r="R164" s="30">
        <f>IF(OR('GNI per capita'!AQ163="",'GNI per capita'!AR163=""),"",'GNI per capita'!AR163/'GNI per capita'!AQ163-1)</f>
        <v>0.11794510907811406</v>
      </c>
      <c r="S164" s="30">
        <f>IF(OR('GNI per capita'!AR163="",'GNI per capita'!AS163=""),"",'GNI per capita'!AS163/'GNI per capita'!AR163-1)</f>
        <v>-3.6006546644844484E-2</v>
      </c>
      <c r="T164" s="30">
        <f>IF(OR('GNI per capita'!AS163="",'GNI per capita'!AT163=""),"",'GNI per capita'!AT163/'GNI per capita'!AS163-1)</f>
        <v>-2.9254277132036099E-2</v>
      </c>
      <c r="U164" s="28" t="s">
        <v>548</v>
      </c>
    </row>
    <row r="165" spans="1:21" x14ac:dyDescent="0.2">
      <c r="A165" s="2" t="s">
        <v>549</v>
      </c>
      <c r="B165" s="2" t="s">
        <v>550</v>
      </c>
      <c r="C165" s="11" t="s">
        <v>79</v>
      </c>
      <c r="D165" s="30">
        <f t="shared" si="8"/>
        <v>8.1652081151004752E-2</v>
      </c>
      <c r="E165" s="31">
        <f>Assumptions!$C$5</f>
        <v>1.244E-2</v>
      </c>
      <c r="F165" s="32">
        <f>IF($C165="L",Assumptions!$C$8,IF($C165="LM",Assumptions!$C$9,IF($C165="UM",Assumptions!$C$10,Assumptions!$C$11)))</f>
        <v>7.1689000000000003E-2</v>
      </c>
      <c r="G165" s="33">
        <f>IF(J165&lt;Assumptions!$C$13,"",MIN(MAX(D165,E165),F165))</f>
        <v>7.1689000000000003E-2</v>
      </c>
      <c r="H165" s="12" t="str">
        <f t="shared" si="9"/>
        <v>cut by cap</v>
      </c>
      <c r="I165" s="34">
        <f t="shared" si="10"/>
        <v>-9.963081151004749E-3</v>
      </c>
      <c r="J165" s="12">
        <f t="shared" si="11"/>
        <v>10</v>
      </c>
      <c r="K165" s="30">
        <f>IF(OR('GNI per capita'!AJ164="",'GNI per capita'!AK164=""),"",'GNI per capita'!AK164/'GNI per capita'!AJ164-1)</f>
        <v>-1.5608740894901163E-2</v>
      </c>
      <c r="L165" s="30">
        <f>IF(OR('GNI per capita'!AK164="",'GNI per capita'!AL164=""),"",'GNI per capita'!AL164/'GNI per capita'!AK164-1)</f>
        <v>6.0253699788583415E-2</v>
      </c>
      <c r="M165" s="30">
        <f>IF(OR('GNI per capita'!AL164="",'GNI per capita'!AM164=""),"",'GNI per capita'!AM164/'GNI per capita'!AL164-1)</f>
        <v>0.14556331006979062</v>
      </c>
      <c r="N165" s="30">
        <f>IF(OR('GNI per capita'!AM164="",'GNI per capita'!AN164=""),"",'GNI per capita'!AN164/'GNI per capita'!AM164-1)</f>
        <v>0.10182767624020883</v>
      </c>
      <c r="O165" s="30">
        <f>IF(OR('GNI per capita'!AN164="",'GNI per capita'!AO164=""),"",'GNI per capita'!AO164/'GNI per capita'!AN164-1)</f>
        <v>4.7393364928909332E-3</v>
      </c>
      <c r="P165" s="30">
        <f>IF(OR('GNI per capita'!AO164="",'GNI per capita'!AP164=""),"",'GNI per capita'!AP164/'GNI per capita'!AO164-1)</f>
        <v>0.1147798742138364</v>
      </c>
      <c r="Q165" s="30">
        <f>IF(OR('GNI per capita'!AP164="",'GNI per capita'!AQ164=""),"",'GNI per capita'!AQ164/'GNI per capita'!AP164-1)</f>
        <v>8.5331452750352588E-2</v>
      </c>
      <c r="R165" s="30">
        <f>IF(OR('GNI per capita'!AQ164="",'GNI per capita'!AR164=""),"",'GNI per capita'!AR164/'GNI per capita'!AQ164-1)</f>
        <v>7.7972709551656916E-2</v>
      </c>
      <c r="S165" s="30">
        <f>IF(OR('GNI per capita'!AR164="",'GNI per capita'!AS164=""),"",'GNI per capita'!AS164/'GNI per capita'!AR164-1)</f>
        <v>6.088004822182036E-2</v>
      </c>
      <c r="T165" s="30">
        <f>IF(OR('GNI per capita'!AS164="",'GNI per capita'!AT164=""),"",'GNI per capita'!AT164/'GNI per capita'!AS164-1)</f>
        <v>0.14715909090909096</v>
      </c>
      <c r="U165" s="28" t="s">
        <v>551</v>
      </c>
    </row>
    <row r="166" spans="1:21" x14ac:dyDescent="0.2">
      <c r="A166" s="2" t="s">
        <v>552</v>
      </c>
      <c r="B166" s="2" t="s">
        <v>553</v>
      </c>
      <c r="C166" s="11" t="s">
        <v>79</v>
      </c>
      <c r="D166" s="30">
        <f t="shared" si="8"/>
        <v>8.154119762351475E-2</v>
      </c>
      <c r="E166" s="31">
        <f>Assumptions!$C$5</f>
        <v>1.244E-2</v>
      </c>
      <c r="F166" s="32">
        <f>IF($C166="L",Assumptions!$C$8,IF($C166="LM",Assumptions!$C$9,IF($C166="UM",Assumptions!$C$10,Assumptions!$C$11)))</f>
        <v>7.1689000000000003E-2</v>
      </c>
      <c r="G166" s="33">
        <f>IF(J166&lt;Assumptions!$C$13,"",MIN(MAX(D166,E166),F166))</f>
        <v>7.1689000000000003E-2</v>
      </c>
      <c r="H166" s="12" t="str">
        <f t="shared" si="9"/>
        <v>cut by cap</v>
      </c>
      <c r="I166" s="34">
        <f t="shared" si="10"/>
        <v>-9.8521976235147468E-3</v>
      </c>
      <c r="J166" s="12">
        <f t="shared" si="11"/>
        <v>10</v>
      </c>
      <c r="K166" s="30">
        <f>IF(OR('GNI per capita'!AJ165="",'GNI per capita'!AK165=""),"",'GNI per capita'!AK165/'GNI per capita'!AJ165-1)</f>
        <v>-0.17546848381601365</v>
      </c>
      <c r="L166" s="30">
        <f>IF(OR('GNI per capita'!AK165="",'GNI per capita'!AL165=""),"",'GNI per capita'!AL165/'GNI per capita'!AK165-1)</f>
        <v>-5.3719008264462853E-2</v>
      </c>
      <c r="M166" s="30">
        <f>IF(OR('GNI per capita'!AL165="",'GNI per capita'!AM165=""),"",'GNI per capita'!AM165/'GNI per capita'!AL165-1)</f>
        <v>0.11135371179039311</v>
      </c>
      <c r="N166" s="30">
        <f>IF(OR('GNI per capita'!AM165="",'GNI per capita'!AN165=""),"",'GNI per capita'!AN165/'GNI per capita'!AM165-1)</f>
        <v>9.9214145383104135E-2</v>
      </c>
      <c r="O166" s="30">
        <f>IF(OR('GNI per capita'!AN165="",'GNI per capita'!AO165=""),"",'GNI per capita'!AO165/'GNI per capita'!AN165-1)</f>
        <v>-4.7363717605004463E-2</v>
      </c>
      <c r="P166" s="30">
        <f>IF(OR('GNI per capita'!AO165="",'GNI per capita'!AP165=""),"",'GNI per capita'!AP165/'GNI per capita'!AO165-1)</f>
        <v>9.8499061913696062E-2</v>
      </c>
      <c r="Q166" s="30">
        <f>IF(OR('GNI per capita'!AP165="",'GNI per capita'!AQ165=""),"",'GNI per capita'!AQ165/'GNI per capita'!AP165-1)</f>
        <v>0.10076857386848848</v>
      </c>
      <c r="R166" s="30">
        <f>IF(OR('GNI per capita'!AQ165="",'GNI per capita'!AR165=""),"",'GNI per capita'!AR165/'GNI per capita'!AQ165-1)</f>
        <v>0.11714507370054306</v>
      </c>
      <c r="S166" s="30">
        <f>IF(OR('GNI per capita'!AR165="",'GNI per capita'!AS165=""),"",'GNI per capita'!AS165/'GNI per capita'!AR165-1)</f>
        <v>6.4583333333333437E-2</v>
      </c>
      <c r="T166" s="30">
        <f>IF(OR('GNI per capita'!AS165="",'GNI per capita'!AT165=""),"",'GNI per capita'!AT165/'GNI per capita'!AS165-1)</f>
        <v>4.1095890410958846E-2</v>
      </c>
      <c r="U166" s="28" t="s">
        <v>551</v>
      </c>
    </row>
    <row r="167" spans="1:21" x14ac:dyDescent="0.2">
      <c r="A167" s="2" t="s">
        <v>554</v>
      </c>
      <c r="B167" s="2" t="s">
        <v>555</v>
      </c>
      <c r="C167" s="11" t="s">
        <v>75</v>
      </c>
      <c r="D167" s="30">
        <f t="shared" si="8"/>
        <v>5.8705612829324183E-2</v>
      </c>
      <c r="E167" s="31">
        <f>Assumptions!$C$5</f>
        <v>1.244E-2</v>
      </c>
      <c r="F167" s="32">
        <f>IF($C167="L",Assumptions!$C$8,IF($C167="LM",Assumptions!$C$9,IF($C167="UM",Assumptions!$C$10,Assumptions!$C$11)))</f>
        <v>5.5947999999999998E-2</v>
      </c>
      <c r="G167" s="33">
        <f>IF(J167&lt;Assumptions!$C$13,"",MIN(MAX(D167,E167),F167))</f>
        <v>5.5947999999999998E-2</v>
      </c>
      <c r="H167" s="12" t="str">
        <f t="shared" si="9"/>
        <v>cut by cap</v>
      </c>
      <c r="I167" s="34">
        <f t="shared" si="10"/>
        <v>-2.7576128293241853E-3</v>
      </c>
      <c r="J167" s="12">
        <f t="shared" si="11"/>
        <v>10</v>
      </c>
      <c r="K167" s="30">
        <f>IF(OR('GNI per capita'!AJ166="",'GNI per capita'!AK166=""),"",'GNI per capita'!AK166/'GNI per capita'!AJ166-1)</f>
        <v>0</v>
      </c>
      <c r="L167" s="30">
        <f>IF(OR('GNI per capita'!AK166="",'GNI per capita'!AL166=""),"",'GNI per capita'!AL166/'GNI per capita'!AK166-1)</f>
        <v>0</v>
      </c>
      <c r="M167" s="30">
        <f>IF(OR('GNI per capita'!AL166="",'GNI per capita'!AM166=""),"",'GNI per capita'!AM166/'GNI per capita'!AL166-1)</f>
        <v>5.555555555555558E-2</v>
      </c>
      <c r="N167" s="30">
        <f>IF(OR('GNI per capita'!AM166="",'GNI per capita'!AN166=""),"",'GNI per capita'!AN166/'GNI per capita'!AM166-1)</f>
        <v>7.8947368421052655E-2</v>
      </c>
      <c r="O167" s="30">
        <f>IF(OR('GNI per capita'!AN166="",'GNI per capita'!AO166=""),"",'GNI per capita'!AO166/'GNI per capita'!AN166-1)</f>
        <v>-4.8780487804878092E-2</v>
      </c>
      <c r="P167" s="30">
        <f>IF(OR('GNI per capita'!AO166="",'GNI per capita'!AP166=""),"",'GNI per capita'!AP166/'GNI per capita'!AO166-1)</f>
        <v>8.9743589743589647E-2</v>
      </c>
      <c r="Q167" s="30">
        <f>IF(OR('GNI per capita'!AP166="",'GNI per capita'!AQ166=""),"",'GNI per capita'!AQ166/'GNI per capita'!AP166-1)</f>
        <v>0.14117647058823524</v>
      </c>
      <c r="R167" s="30">
        <f>IF(OR('GNI per capita'!AQ166="",'GNI per capita'!AR166=""),"",'GNI per capita'!AR166/'GNI per capita'!AQ166-1)</f>
        <v>6.1855670103092786E-2</v>
      </c>
      <c r="S167" s="30">
        <f>IF(OR('GNI per capita'!AR166="",'GNI per capita'!AS166=""),"",'GNI per capita'!AS166/'GNI per capita'!AR166-1)</f>
        <v>3.8834951456310662E-2</v>
      </c>
      <c r="T167" s="30">
        <f>IF(OR('GNI per capita'!AS166="",'GNI per capita'!AT166=""),"",'GNI per capita'!AT166/'GNI per capita'!AS166-1)</f>
        <v>7.4766355140186924E-2</v>
      </c>
      <c r="U167" s="28" t="s">
        <v>556</v>
      </c>
    </row>
    <row r="168" spans="1:21" x14ac:dyDescent="0.2">
      <c r="A168" s="2" t="s">
        <v>557</v>
      </c>
      <c r="B168" s="2" t="s">
        <v>558</v>
      </c>
      <c r="C168" s="11" t="s">
        <v>82</v>
      </c>
      <c r="D168" s="30">
        <f t="shared" si="8"/>
        <v>3.6435547306553628E-2</v>
      </c>
      <c r="E168" s="31">
        <f>Assumptions!$C$5</f>
        <v>1.244E-2</v>
      </c>
      <c r="F168" s="32">
        <f>IF($C168="L",Assumptions!$C$8,IF($C168="LM",Assumptions!$C$9,IF($C168="UM",Assumptions!$C$10,Assumptions!$C$11)))</f>
        <v>9.0712000000000001E-2</v>
      </c>
      <c r="G168" s="33">
        <f>IF(J168&lt;Assumptions!$C$13,"",MIN(MAX(D168,E168),F168))</f>
        <v>3.6435547306553628E-2</v>
      </c>
      <c r="H168" s="12" t="str">
        <f t="shared" si="9"/>
        <v>unadjusted</v>
      </c>
      <c r="I168" s="34">
        <f t="shared" si="10"/>
        <v>0</v>
      </c>
      <c r="J168" s="12">
        <f t="shared" si="11"/>
        <v>10</v>
      </c>
      <c r="K168" s="30">
        <f>IF(OR('GNI per capita'!AJ167="",'GNI per capita'!AK167=""),"",'GNI per capita'!AK167/'GNI per capita'!AJ167-1)</f>
        <v>3.7783375314861534E-2</v>
      </c>
      <c r="L168" s="30">
        <f>IF(OR('GNI per capita'!AK167="",'GNI per capita'!AL167=""),"",'GNI per capita'!AL167/'GNI per capita'!AK167-1)</f>
        <v>-4.8543689320388328E-3</v>
      </c>
      <c r="M168" s="30">
        <f>IF(OR('GNI per capita'!AL167="",'GNI per capita'!AM167=""),"",'GNI per capita'!AM167/'GNI per capita'!AL167-1)</f>
        <v>0</v>
      </c>
      <c r="N168" s="30">
        <f>IF(OR('GNI per capita'!AM167="",'GNI per capita'!AN167=""),"",'GNI per capita'!AN167/'GNI per capita'!AM167-1)</f>
        <v>4.1463414634146378E-2</v>
      </c>
      <c r="O168" s="30">
        <f>IF(OR('GNI per capita'!AN167="",'GNI per capita'!AO167=""),"",'GNI per capita'!AO167/'GNI per capita'!AN167-1)</f>
        <v>-4.4496487119437989E-2</v>
      </c>
      <c r="P168" s="30">
        <f>IF(OR('GNI per capita'!AO167="",'GNI per capita'!AP167=""),"",'GNI per capita'!AP167/'GNI per capita'!AO167-1)</f>
        <v>-2.2058823529411797E-2</v>
      </c>
      <c r="Q168" s="30">
        <f>IF(OR('GNI per capita'!AP167="",'GNI per capita'!AQ167=""),"",'GNI per capita'!AQ167/'GNI per capita'!AP167-1)</f>
        <v>3.5087719298245723E-2</v>
      </c>
      <c r="R168" s="30">
        <f>IF(OR('GNI per capita'!AQ167="",'GNI per capita'!AR167=""),"",'GNI per capita'!AR167/'GNI per capita'!AQ167-1)</f>
        <v>0.16222760290556892</v>
      </c>
      <c r="S168" s="30">
        <f>IF(OR('GNI per capita'!AR167="",'GNI per capita'!AS167=""),"",'GNI per capita'!AS167/'GNI per capita'!AR167-1)</f>
        <v>5.0000000000000044E-2</v>
      </c>
      <c r="T168" s="30">
        <f>IF(OR('GNI per capita'!AS167="",'GNI per capita'!AT167=""),"",'GNI per capita'!AT167/'GNI per capita'!AS167-1)</f>
        <v>0.11904761904761907</v>
      </c>
      <c r="U168" s="2" t="s">
        <v>162</v>
      </c>
    </row>
    <row r="169" spans="1:21" x14ac:dyDescent="0.2">
      <c r="A169" s="2" t="s">
        <v>559</v>
      </c>
      <c r="B169" s="2" t="s">
        <v>560</v>
      </c>
      <c r="C169" s="11" t="s">
        <v>79</v>
      </c>
      <c r="D169" s="30">
        <f t="shared" si="8"/>
        <v>4.5934000949523379E-2</v>
      </c>
      <c r="E169" s="31">
        <f>Assumptions!$C$5</f>
        <v>1.244E-2</v>
      </c>
      <c r="F169" s="32">
        <f>IF($C169="L",Assumptions!$C$8,IF($C169="LM",Assumptions!$C$9,IF($C169="UM",Assumptions!$C$10,Assumptions!$C$11)))</f>
        <v>7.1689000000000003E-2</v>
      </c>
      <c r="G169" s="33" t="str">
        <f>IF(J169&lt;Assumptions!$C$13,"",MIN(MAX(D169,E169),F169))</f>
        <v/>
      </c>
      <c r="H169" s="12" t="str">
        <f t="shared" si="9"/>
        <v>frozen</v>
      </c>
      <c r="I169" s="34" t="str">
        <f t="shared" si="10"/>
        <v/>
      </c>
      <c r="J169" s="12">
        <f t="shared" si="11"/>
        <v>6</v>
      </c>
      <c r="K169" s="30" t="str">
        <f>IF(OR('GNI per capita'!AJ168="",'GNI per capita'!AK168=""),"",'GNI per capita'!AK168/'GNI per capita'!AJ168-1)</f>
        <v/>
      </c>
      <c r="L169" s="30" t="str">
        <f>IF(OR('GNI per capita'!AK168="",'GNI per capita'!AL168=""),"",'GNI per capita'!AL168/'GNI per capita'!AK168-1)</f>
        <v/>
      </c>
      <c r="M169" s="30">
        <f>IF(OR('GNI per capita'!AL168="",'GNI per capita'!AM168=""),"",'GNI per capita'!AM168/'GNI per capita'!AL168-1)</f>
        <v>4.4738815296175849E-2</v>
      </c>
      <c r="N169" s="30">
        <f>IF(OR('GNI per capita'!AM168="",'GNI per capita'!AN168=""),"",'GNI per capita'!AN168/'GNI per capita'!AM168-1)</f>
        <v>4.7129186602870909E-2</v>
      </c>
      <c r="O169" s="30">
        <f>IF(OR('GNI per capita'!AN168="",'GNI per capita'!AO168=""),"",'GNI per capita'!AO168/'GNI per capita'!AN168-1)</f>
        <v>-7.3109435686543267E-2</v>
      </c>
      <c r="P169" s="30">
        <f>IF(OR('GNI per capita'!AO168="",'GNI per capita'!AP168=""),"",'GNI per capita'!AP168/'GNI per capita'!AO168-1)</f>
        <v>0.18782351491249694</v>
      </c>
      <c r="Q169" s="30">
        <f>IF(OR('GNI per capita'!AP168="",'GNI per capita'!AQ168=""),"",'GNI per capita'!AQ168/'GNI per capita'!AP168-1)</f>
        <v>0.1195268727951857</v>
      </c>
      <c r="R169" s="30">
        <f>IF(OR('GNI per capita'!AQ168="",'GNI per capita'!AR168=""),"",'GNI per capita'!AR168/'GNI per capita'!AQ168-1)</f>
        <v>-7.414272474512984E-4</v>
      </c>
      <c r="S169" s="30" t="str">
        <f>IF(OR('GNI per capita'!AR168="",'GNI per capita'!AS168=""),"",'GNI per capita'!AS168/'GNI per capita'!AR168-1)</f>
        <v/>
      </c>
      <c r="T169" s="30" t="str">
        <f>IF(OR('GNI per capita'!AS168="",'GNI per capita'!AT168=""),"",'GNI per capita'!AT168/'GNI per capita'!AS168-1)</f>
        <v/>
      </c>
      <c r="U169" s="28" t="s">
        <v>207</v>
      </c>
    </row>
    <row r="170" spans="1:21" x14ac:dyDescent="0.2">
      <c r="A170" s="2" t="s">
        <v>561</v>
      </c>
      <c r="B170" s="2" t="s">
        <v>562</v>
      </c>
      <c r="C170" s="11" t="s">
        <v>79</v>
      </c>
      <c r="D170" s="30">
        <f t="shared" si="8"/>
        <v>1.8485387369462147E-2</v>
      </c>
      <c r="E170" s="31">
        <f>Assumptions!$C$5</f>
        <v>1.244E-2</v>
      </c>
      <c r="F170" s="32">
        <f>IF($C170="L",Assumptions!$C$8,IF($C170="LM",Assumptions!$C$9,IF($C170="UM",Assumptions!$C$10,Assumptions!$C$11)))</f>
        <v>7.1689000000000003E-2</v>
      </c>
      <c r="G170" s="33">
        <f>IF(J170&lt;Assumptions!$C$13,"",MIN(MAX(D170,E170),F170))</f>
        <v>1.8485387369462147E-2</v>
      </c>
      <c r="H170" s="12" t="str">
        <f t="shared" si="9"/>
        <v>unadjusted</v>
      </c>
      <c r="I170" s="34">
        <f t="shared" si="10"/>
        <v>0</v>
      </c>
      <c r="J170" s="12">
        <f t="shared" si="11"/>
        <v>10</v>
      </c>
      <c r="K170" s="30">
        <f>IF(OR('GNI per capita'!AJ169="",'GNI per capita'!AK169=""),"",'GNI per capita'!AK169/'GNI per capita'!AJ169-1)</f>
        <v>-9.9322799097065428E-2</v>
      </c>
      <c r="L170" s="30">
        <f>IF(OR('GNI per capita'!AK169="",'GNI per capita'!AL169=""),"",'GNI per capita'!AL169/'GNI per capita'!AK169-1)</f>
        <v>-3.3834586466165439E-2</v>
      </c>
      <c r="M170" s="30">
        <f>IF(OR('GNI per capita'!AL169="",'GNI per capita'!AM169=""),"",'GNI per capita'!AM169/'GNI per capita'!AL169-1)</f>
        <v>0.14872460008646771</v>
      </c>
      <c r="N170" s="30">
        <f>IF(OR('GNI per capita'!AM169="",'GNI per capita'!AN169=""),"",'GNI per capita'!AN169/'GNI per capita'!AM169-1)</f>
        <v>9.6725630410237073E-2</v>
      </c>
      <c r="O170" s="30">
        <f>IF(OR('GNI per capita'!AN169="",'GNI per capita'!AO169=""),"",'GNI per capita'!AO169/'GNI per capita'!AN169-1)</f>
        <v>-7.549759780370624E-2</v>
      </c>
      <c r="P170" s="30">
        <f>IF(OR('GNI per capita'!AO169="",'GNI per capita'!AP169=""),"",'GNI per capita'!AP169/'GNI per capita'!AO169-1)</f>
        <v>0.1314031180400892</v>
      </c>
      <c r="Q170" s="30">
        <f>IF(OR('GNI per capita'!AP169="",'GNI per capita'!AQ169=""),"",'GNI per capita'!AQ169/'GNI per capita'!AP169-1)</f>
        <v>0.15190288713910771</v>
      </c>
      <c r="R170" s="30">
        <f>IF(OR('GNI per capita'!AQ169="",'GNI per capita'!AR169=""),"",'GNI per capita'!AR169/'GNI per capita'!AQ169-1)</f>
        <v>3.4747935061236079E-2</v>
      </c>
      <c r="S170" s="30">
        <f>IF(OR('GNI per capita'!AR169="",'GNI per capita'!AS169=""),"",'GNI per capita'!AS169/'GNI per capita'!AR169-1)</f>
        <v>-9.358656757500694E-3</v>
      </c>
      <c r="T170" s="30">
        <f>IF(OR('GNI per capita'!AS169="",'GNI per capita'!AT169=""),"",'GNI per capita'!AT169/'GNI per capita'!AS169-1)</f>
        <v>2.2228396776882153E-3</v>
      </c>
      <c r="U170" s="2" t="s">
        <v>162</v>
      </c>
    </row>
    <row r="171" spans="1:21" x14ac:dyDescent="0.2">
      <c r="A171" s="2" t="s">
        <v>563</v>
      </c>
      <c r="B171" s="2" t="s">
        <v>564</v>
      </c>
      <c r="C171" s="11" t="s">
        <v>210</v>
      </c>
      <c r="D171" s="30">
        <f t="shared" si="8"/>
        <v>2.3822451472784056E-2</v>
      </c>
      <c r="E171" s="31">
        <f>Assumptions!$C$5</f>
        <v>1.244E-2</v>
      </c>
      <c r="F171" s="32">
        <f>IF($C171="L",Assumptions!$C$8,IF($C171="LM",Assumptions!$C$9,IF($C171="UM",Assumptions!$C$10,Assumptions!$C$11)))</f>
        <v>7.4680999999999997E-2</v>
      </c>
      <c r="G171" s="33">
        <f>IF(J171&lt;Assumptions!$C$13,"",MIN(MAX(D171,E171),F171))</f>
        <v>2.3822451472784056E-2</v>
      </c>
      <c r="H171" s="12" t="str">
        <f t="shared" si="9"/>
        <v>unadjusted</v>
      </c>
      <c r="I171" s="34">
        <f t="shared" si="10"/>
        <v>0</v>
      </c>
      <c r="J171" s="12">
        <f t="shared" si="11"/>
        <v>10</v>
      </c>
      <c r="K171" s="30">
        <f>IF(OR('GNI per capita'!AJ170="",'GNI per capita'!AK170=""),"",'GNI per capita'!AK170/'GNI per capita'!AJ170-1)</f>
        <v>-3.7878787878787845E-2</v>
      </c>
      <c r="L171" s="30">
        <f>IF(OR('GNI per capita'!AK170="",'GNI per capita'!AL170=""),"",'GNI per capita'!AL170/'GNI per capita'!AK170-1)</f>
        <v>0</v>
      </c>
      <c r="M171" s="30">
        <f>IF(OR('GNI per capita'!AL170="",'GNI per capita'!AM170=""),"",'GNI per capita'!AM170/'GNI per capita'!AL170-1)</f>
        <v>9.4488188976378007E-2</v>
      </c>
      <c r="N171" s="30">
        <f>IF(OR('GNI per capita'!AM170="",'GNI per capita'!AN170=""),"",'GNI per capita'!AN170/'GNI per capita'!AM170-1)</f>
        <v>2.877697841726623E-2</v>
      </c>
      <c r="O171" s="30">
        <f>IF(OR('GNI per capita'!AN170="",'GNI per capita'!AO170=""),"",'GNI per capita'!AO170/'GNI per capita'!AN170-1)</f>
        <v>0</v>
      </c>
      <c r="P171" s="30">
        <f>IF(OR('GNI per capita'!AO170="",'GNI per capita'!AP170=""),"",'GNI per capita'!AP170/'GNI per capita'!AO170-1)</f>
        <v>7.6923076923076872E-2</v>
      </c>
      <c r="Q171" s="30">
        <f>IF(OR('GNI per capita'!AP170="",'GNI per capita'!AQ170=""),"",'GNI per capita'!AQ170/'GNI per capita'!AP170-1)</f>
        <v>3.2467532467532534E-2</v>
      </c>
      <c r="R171" s="30">
        <f>IF(OR('GNI per capita'!AQ170="",'GNI per capita'!AR170=""),"",'GNI per capita'!AR170/'GNI per capita'!AQ170-1)</f>
        <v>1.8867924528301883E-2</v>
      </c>
      <c r="S171" s="30">
        <f>IF(OR('GNI per capita'!AR170="",'GNI per capita'!AS170=""),"",'GNI per capita'!AS170/'GNI per capita'!AR170-1)</f>
        <v>6.1728395061728669E-3</v>
      </c>
      <c r="T171" s="30">
        <f>IF(OR('GNI per capita'!AS170="",'GNI per capita'!AT170=""),"",'GNI per capita'!AT170/'GNI per capita'!AS170-1)</f>
        <v>9.2024539877300526E-2</v>
      </c>
      <c r="U171" s="2" t="s">
        <v>162</v>
      </c>
    </row>
    <row r="172" spans="1:21" x14ac:dyDescent="0.2">
      <c r="A172" s="2" t="s">
        <v>565</v>
      </c>
      <c r="B172" s="2" t="s">
        <v>566</v>
      </c>
      <c r="C172" s="11" t="s">
        <v>82</v>
      </c>
      <c r="D172" s="30">
        <f t="shared" si="8"/>
        <v>9.9648294729246745E-2</v>
      </c>
      <c r="E172" s="31">
        <f>Assumptions!$C$5</f>
        <v>1.244E-2</v>
      </c>
      <c r="F172" s="32">
        <f>IF($C172="L",Assumptions!$C$8,IF($C172="LM",Assumptions!$C$9,IF($C172="UM",Assumptions!$C$10,Assumptions!$C$11)))</f>
        <v>9.0712000000000001E-2</v>
      </c>
      <c r="G172" s="33">
        <f>IF(J172&lt;Assumptions!$C$13,"",MIN(MAX(D172,E172),F172))</f>
        <v>9.0712000000000001E-2</v>
      </c>
      <c r="H172" s="12" t="str">
        <f t="shared" si="9"/>
        <v>cut by cap</v>
      </c>
      <c r="I172" s="34">
        <f t="shared" si="10"/>
        <v>-8.9362947292467437E-3</v>
      </c>
      <c r="J172" s="12">
        <f t="shared" si="11"/>
        <v>10</v>
      </c>
      <c r="K172" s="30">
        <f>IF(OR('GNI per capita'!AJ171="",'GNI per capita'!AK171=""),"",'GNI per capita'!AK171/'GNI per capita'!AJ171-1)</f>
        <v>-4.6698872785829293E-2</v>
      </c>
      <c r="L172" s="30">
        <f>IF(OR('GNI per capita'!AK171="",'GNI per capita'!AL171=""),"",'GNI per capita'!AL171/'GNI per capita'!AK171-1)</f>
        <v>-1.858108108108103E-2</v>
      </c>
      <c r="M172" s="30">
        <f>IF(OR('GNI per capita'!AL171="",'GNI per capita'!AM171=""),"",'GNI per capita'!AM171/'GNI per capita'!AL171-1)</f>
        <v>0.153184165232358</v>
      </c>
      <c r="N172" s="30">
        <f>IF(OR('GNI per capita'!AM171="",'GNI per capita'!AN171=""),"",'GNI per capita'!AN171/'GNI per capita'!AM171-1)</f>
        <v>0.10149253731343277</v>
      </c>
      <c r="O172" s="30">
        <f>IF(OR('GNI per capita'!AN171="",'GNI per capita'!AO171=""),"",'GNI per capita'!AO171/'GNI per capita'!AN171-1)</f>
        <v>5.555555555555558E-2</v>
      </c>
      <c r="P172" s="30">
        <f>IF(OR('GNI per capita'!AO171="",'GNI per capita'!AP171=""),"",'GNI per capita'!AP171/'GNI per capita'!AO171-1)</f>
        <v>0.14120667522464703</v>
      </c>
      <c r="Q172" s="30">
        <f>IF(OR('GNI per capita'!AP171="",'GNI per capita'!AQ171=""),"",'GNI per capita'!AQ171/'GNI per capita'!AP171-1)</f>
        <v>0.10123734533183359</v>
      </c>
      <c r="R172" s="30">
        <f>IF(OR('GNI per capita'!AQ171="",'GNI per capita'!AR171=""),"",'GNI per capita'!AR171/'GNI per capita'!AQ171-1)</f>
        <v>9.8059244126659895E-2</v>
      </c>
      <c r="S172" s="30">
        <f>IF(OR('GNI per capita'!AR171="",'GNI per capita'!AS171=""),"",'GNI per capita'!AS171/'GNI per capita'!AR171-1)</f>
        <v>8.0000000000000071E-2</v>
      </c>
      <c r="T172" s="30">
        <f>IF(OR('GNI per capita'!AS171="",'GNI per capita'!AT171=""),"",'GNI per capita'!AT171/'GNI per capita'!AS171-1)</f>
        <v>0.16106804478897496</v>
      </c>
      <c r="U172" s="28" t="s">
        <v>567</v>
      </c>
    </row>
    <row r="173" spans="1:21" x14ac:dyDescent="0.2">
      <c r="A173" s="2" t="s">
        <v>568</v>
      </c>
      <c r="B173" s="2" t="s">
        <v>569</v>
      </c>
      <c r="C173" s="11" t="s">
        <v>79</v>
      </c>
      <c r="D173" s="30">
        <f t="shared" si="8"/>
        <v>6.0477500529059758E-2</v>
      </c>
      <c r="E173" s="31">
        <f>Assumptions!$C$5</f>
        <v>1.244E-2</v>
      </c>
      <c r="F173" s="32">
        <f>IF($C173="L",Assumptions!$C$8,IF($C173="LM",Assumptions!$C$9,IF($C173="UM",Assumptions!$C$10,Assumptions!$C$11)))</f>
        <v>7.1689000000000003E-2</v>
      </c>
      <c r="G173" s="33">
        <f>IF(J173&lt;Assumptions!$C$13,"",MIN(MAX(D173,E173),F173))</f>
        <v>6.0477500529059758E-2</v>
      </c>
      <c r="H173" s="12" t="str">
        <f t="shared" si="9"/>
        <v>unadjusted</v>
      </c>
      <c r="I173" s="34">
        <f t="shared" si="10"/>
        <v>0</v>
      </c>
      <c r="J173" s="12">
        <f t="shared" si="11"/>
        <v>10</v>
      </c>
      <c r="K173" s="30">
        <f>IF(OR('GNI per capita'!AJ172="",'GNI per capita'!AK172=""),"",'GNI per capita'!AK172/'GNI per capita'!AJ172-1)</f>
        <v>5.966101694915249E-2</v>
      </c>
      <c r="L173" s="30">
        <f>IF(OR('GNI per capita'!AK172="",'GNI per capita'!AL172=""),"",'GNI per capita'!AL172/'GNI per capita'!AK172-1)</f>
        <v>3.5188739603327024E-2</v>
      </c>
      <c r="M173" s="30">
        <f>IF(OR('GNI per capita'!AL172="",'GNI per capita'!AM172=""),"",'GNI per capita'!AM172/'GNI per capita'!AL172-1)</f>
        <v>8.8998763906056766E-2</v>
      </c>
      <c r="N173" s="30">
        <f>IF(OR('GNI per capita'!AM172="",'GNI per capita'!AN172=""),"",'GNI per capita'!AN172/'GNI per capita'!AM172-1)</f>
        <v>6.1293984108967026E-2</v>
      </c>
      <c r="O173" s="30">
        <f>IF(OR('GNI per capita'!AN172="",'GNI per capita'!AO172=""),"",'GNI per capita'!AO172/'GNI per capita'!AN172-1)</f>
        <v>-0.17647058823529416</v>
      </c>
      <c r="P173" s="30">
        <f>IF(OR('GNI per capita'!AO172="",'GNI per capita'!AP172=""),"",'GNI per capita'!AP172/'GNI per capita'!AO172-1)</f>
        <v>-3.31168831168831E-2</v>
      </c>
      <c r="Q173" s="30">
        <f>IF(OR('GNI per capita'!AP172="",'GNI per capita'!AQ172=""),"",'GNI per capita'!AQ172/'GNI per capita'!AP172-1)</f>
        <v>-3.3579583613163155E-2</v>
      </c>
      <c r="R173" s="30">
        <f>IF(OR('GNI per capita'!AQ172="",'GNI per capita'!AR172=""),"",'GNI per capita'!AR172/'GNI per capita'!AQ172-1)</f>
        <v>0.13551077136900624</v>
      </c>
      <c r="S173" s="30">
        <f>IF(OR('GNI per capita'!AR172="",'GNI per capita'!AS172=""),"",'GNI per capita'!AS172/'GNI per capita'!AR172-1)</f>
        <v>8.3231334149326708E-2</v>
      </c>
      <c r="T173" s="30">
        <f>IF(OR('GNI per capita'!AS172="",'GNI per capita'!AT172=""),"",'GNI per capita'!AT172/'GNI per capita'!AS172-1)</f>
        <v>8.4745762711864403E-2</v>
      </c>
      <c r="U173" s="2" t="s">
        <v>162</v>
      </c>
    </row>
    <row r="174" spans="1:21" x14ac:dyDescent="0.2">
      <c r="A174" s="2" t="s">
        <v>570</v>
      </c>
      <c r="B174" s="2" t="s">
        <v>571</v>
      </c>
      <c r="C174" s="11" t="s">
        <v>75</v>
      </c>
      <c r="D174" s="30">
        <f t="shared" si="8"/>
        <v>-1.1834733893557381E-2</v>
      </c>
      <c r="E174" s="31">
        <f>Assumptions!$C$5</f>
        <v>1.244E-2</v>
      </c>
      <c r="F174" s="32">
        <f>IF($C174="L",Assumptions!$C$8,IF($C174="LM",Assumptions!$C$9,IF($C174="UM",Assumptions!$C$10,Assumptions!$C$11)))</f>
        <v>5.5947999999999998E-2</v>
      </c>
      <c r="G174" s="33">
        <f>IF(J174&lt;Assumptions!$C$13,"",MIN(MAX(D174,E174),F174))</f>
        <v>1.244E-2</v>
      </c>
      <c r="H174" s="12" t="str">
        <f t="shared" si="9"/>
        <v>raised by floor</v>
      </c>
      <c r="I174" s="34">
        <f t="shared" si="10"/>
        <v>2.4274733893557381E-2</v>
      </c>
      <c r="J174" s="12">
        <f t="shared" si="11"/>
        <v>10</v>
      </c>
      <c r="K174" s="30">
        <f>IF(OR('GNI per capita'!AJ173="",'GNI per capita'!AK173=""),"",'GNI per capita'!AK173/'GNI per capita'!AJ173-1)</f>
        <v>-2.1052631578947323E-2</v>
      </c>
      <c r="L174" s="30">
        <f>IF(OR('GNI per capita'!AK173="",'GNI per capita'!AL173=""),"",'GNI per capita'!AL173/'GNI per capita'!AK173-1)</f>
        <v>-9.6774193548387122E-2</v>
      </c>
      <c r="M174" s="30">
        <f>IF(OR('GNI per capita'!AL173="",'GNI per capita'!AM173=""),"",'GNI per capita'!AM173/'GNI per capita'!AL173-1)</f>
        <v>-1.1904761904761862E-2</v>
      </c>
      <c r="N174" s="30">
        <f>IF(OR('GNI per capita'!AM173="",'GNI per capita'!AN173=""),"",'GNI per capita'!AN173/'GNI per capita'!AM173-1)</f>
        <v>2.4096385542168752E-2</v>
      </c>
      <c r="O174" s="30">
        <f>IF(OR('GNI per capita'!AN173="",'GNI per capita'!AO173=""),"",'GNI per capita'!AO173/'GNI per capita'!AN173-1)</f>
        <v>-1.1764705882352899E-2</v>
      </c>
      <c r="P174" s="30">
        <f>IF(OR('GNI per capita'!AO173="",'GNI per capita'!AP173=""),"",'GNI per capita'!AP173/'GNI per capita'!AO173-1)</f>
        <v>5.9523809523809534E-2</v>
      </c>
      <c r="Q174" s="30">
        <f>IF(OR('GNI per capita'!AP173="",'GNI per capita'!AQ173=""),"",'GNI per capita'!AQ173/'GNI per capita'!AP173-1)</f>
        <v>3.3707865168539408E-2</v>
      </c>
      <c r="R174" s="30">
        <f>IF(OR('GNI per capita'!AQ173="",'GNI per capita'!AR173=""),"",'GNI per capita'!AR173/'GNI per capita'!AQ173-1)</f>
        <v>-5.4347826086956541E-2</v>
      </c>
      <c r="S174" s="30">
        <f>IF(OR('GNI per capita'!AR173="",'GNI per capita'!AS173=""),"",'GNI per capita'!AS173/'GNI per capita'!AR173-1)</f>
        <v>-5.7471264367816133E-2</v>
      </c>
      <c r="T174" s="30">
        <f>IF(OR('GNI per capita'!AS173="",'GNI per capita'!AT173=""),"",'GNI per capita'!AT173/'GNI per capita'!AS173-1)</f>
        <v>1.2195121951219523E-2</v>
      </c>
      <c r="U174" s="28" t="s">
        <v>572</v>
      </c>
    </row>
    <row r="175" spans="1:21" x14ac:dyDescent="0.2">
      <c r="A175" s="2" t="s">
        <v>573</v>
      </c>
      <c r="B175" s="2" t="s">
        <v>574</v>
      </c>
      <c r="C175" s="11" t="s">
        <v>79</v>
      </c>
      <c r="D175" s="30">
        <f t="shared" si="8"/>
        <v>3.4755968562573347E-2</v>
      </c>
      <c r="E175" s="31">
        <f>Assumptions!$C$5</f>
        <v>1.244E-2</v>
      </c>
      <c r="F175" s="32">
        <f>IF($C175="L",Assumptions!$C$8,IF($C175="LM",Assumptions!$C$9,IF($C175="UM",Assumptions!$C$10,Assumptions!$C$11)))</f>
        <v>7.1689000000000003E-2</v>
      </c>
      <c r="G175" s="33">
        <f>IF(J175&lt;Assumptions!$C$13,"",MIN(MAX(D175,E175),F175))</f>
        <v>3.4755968562573347E-2</v>
      </c>
      <c r="H175" s="12" t="str">
        <f t="shared" si="9"/>
        <v>unadjusted</v>
      </c>
      <c r="I175" s="34">
        <f t="shared" si="10"/>
        <v>0</v>
      </c>
      <c r="J175" s="12">
        <f t="shared" si="11"/>
        <v>10</v>
      </c>
      <c r="K175" s="30">
        <f>IF(OR('GNI per capita'!AJ174="",'GNI per capita'!AK174=""),"",'GNI per capita'!AK174/'GNI per capita'!AJ174-1)</f>
        <v>8.2768999247555541E-3</v>
      </c>
      <c r="L175" s="30">
        <f>IF(OR('GNI per capita'!AK174="",'GNI per capita'!AL174=""),"",'GNI per capita'!AL174/'GNI per capita'!AK174-1)</f>
        <v>3.2835820895522394E-2</v>
      </c>
      <c r="M175" s="30">
        <f>IF(OR('GNI per capita'!AL174="",'GNI per capita'!AM174=""),"",'GNI per capita'!AM174/'GNI per capita'!AL174-1)</f>
        <v>1.9508670520231197E-2</v>
      </c>
      <c r="N175" s="30">
        <f>IF(OR('GNI per capita'!AM174="",'GNI per capita'!AN174=""),"",'GNI per capita'!AN174/'GNI per capita'!AM174-1)</f>
        <v>3.66761162296243E-2</v>
      </c>
      <c r="O175" s="30">
        <f>IF(OR('GNI per capita'!AN174="",'GNI per capita'!AO174=""),"",'GNI per capita'!AO174/'GNI per capita'!AN174-1)</f>
        <v>-3.7942232097077477E-2</v>
      </c>
      <c r="P175" s="30">
        <f>IF(OR('GNI per capita'!AO174="",'GNI per capita'!AP174=""),"",'GNI per capita'!AP174/'GNI per capita'!AO174-1)</f>
        <v>0.16432758926985258</v>
      </c>
      <c r="Q175" s="30">
        <f>IF(OR('GNI per capita'!AP174="",'GNI per capita'!AQ174=""),"",'GNI per capita'!AQ174/'GNI per capita'!AP174-1)</f>
        <v>3.9060115959719255E-2</v>
      </c>
      <c r="R175" s="30">
        <f>IF(OR('GNI per capita'!AQ174="",'GNI per capita'!AR174=""),"",'GNI per capita'!AR174/'GNI per capita'!AQ174-1)</f>
        <v>2.0998531571218892E-2</v>
      </c>
      <c r="S175" s="30">
        <f>IF(OR('GNI per capita'!AR174="",'GNI per capita'!AS174=""),"",'GNI per capita'!AS174/'GNI per capita'!AR174-1)</f>
        <v>9.0464547677261642E-2</v>
      </c>
      <c r="T175" s="30">
        <f>IF(OR('GNI per capita'!AS174="",'GNI per capita'!AT174=""),"",'GNI per capita'!AT174/'GNI per capita'!AS174-1)</f>
        <v>7.8343445001318956E-2</v>
      </c>
      <c r="U175" s="2" t="s">
        <v>162</v>
      </c>
    </row>
    <row r="176" spans="1:21" x14ac:dyDescent="0.2">
      <c r="A176" s="2" t="s">
        <v>575</v>
      </c>
      <c r="B176" s="2" t="s">
        <v>576</v>
      </c>
      <c r="C176" s="11" t="s">
        <v>79</v>
      </c>
      <c r="D176" s="30">
        <f t="shared" si="8"/>
        <v>3.517316017316019E-2</v>
      </c>
      <c r="E176" s="31">
        <f>Assumptions!$C$5</f>
        <v>1.244E-2</v>
      </c>
      <c r="F176" s="32">
        <f>IF($C176="L",Assumptions!$C$8,IF($C176="LM",Assumptions!$C$9,IF($C176="UM",Assumptions!$C$10,Assumptions!$C$11)))</f>
        <v>7.1689000000000003E-2</v>
      </c>
      <c r="G176" s="33">
        <f>IF(J176&lt;Assumptions!$C$13,"",MIN(MAX(D176,E176),F176))</f>
        <v>3.517316017316019E-2</v>
      </c>
      <c r="H176" s="12" t="str">
        <f t="shared" si="9"/>
        <v>unadjusted</v>
      </c>
      <c r="I176" s="34">
        <f t="shared" si="10"/>
        <v>0</v>
      </c>
      <c r="J176" s="12">
        <f t="shared" si="11"/>
        <v>9</v>
      </c>
      <c r="K176" s="30">
        <f>IF(OR('GNI per capita'!AJ175="",'GNI per capita'!AK175=""),"",'GNI per capita'!AK175/'GNI per capita'!AJ175-1)</f>
        <v>0.10567576042646598</v>
      </c>
      <c r="L176" s="30">
        <f>IF(OR('GNI per capita'!AK175="",'GNI per capita'!AL175=""),"",'GNI per capita'!AL175/'GNI per capita'!AK175-1)</f>
        <v>-6.5513329551900146E-2</v>
      </c>
      <c r="M176" s="30">
        <f>IF(OR('GNI per capita'!AL175="",'GNI per capita'!AM175=""),"",'GNI per capita'!AM175/'GNI per capita'!AL175-1)</f>
        <v>-5.4931714719271607E-2</v>
      </c>
      <c r="N176" s="30">
        <f>IF(OR('GNI per capita'!AM175="",'GNI per capita'!AN175=""),"",'GNI per capita'!AN175/'GNI per capita'!AM175-1)</f>
        <v>9.3770070648683257E-2</v>
      </c>
      <c r="O176" s="30">
        <f>IF(OR('GNI per capita'!AN175="",'GNI per capita'!AO175=""),"",'GNI per capita'!AO175/'GNI per capita'!AN175-1)</f>
        <v>-0.13564298297122723</v>
      </c>
      <c r="P176" s="30">
        <f>IF(OR('GNI per capita'!AO175="",'GNI per capita'!AP175=""),"",'GNI per capita'!AP175/'GNI per capita'!AO175-1)</f>
        <v>6.7595108695652106E-2</v>
      </c>
      <c r="Q176" s="30">
        <f>IF(OR('GNI per capita'!AP175="",'GNI per capita'!AQ175=""),"",'GNI per capita'!AQ175/'GNI per capita'!AP175-1)</f>
        <v>0.17594654788418707</v>
      </c>
      <c r="R176" s="30">
        <f>IF(OR('GNI per capita'!AQ175="",'GNI per capita'!AR175=""),"",'GNI per capita'!AR175/'GNI per capita'!AQ175-1)</f>
        <v>3.517316017316019E-2</v>
      </c>
      <c r="S176" s="30">
        <f>IF(OR('GNI per capita'!AR175="",'GNI per capita'!AS175=""),"",'GNI per capita'!AS175/'GNI per capita'!AR175-1)</f>
        <v>1.8034500784108731E-2</v>
      </c>
      <c r="T176" s="30" t="str">
        <f>IF(OR('GNI per capita'!AS175="",'GNI per capita'!AT175=""),"",'GNI per capita'!AT175/'GNI per capita'!AS175-1)</f>
        <v/>
      </c>
      <c r="U176" s="2" t="s">
        <v>162</v>
      </c>
    </row>
    <row r="177" spans="1:21" x14ac:dyDescent="0.2">
      <c r="A177" s="2" t="s">
        <v>577</v>
      </c>
      <c r="B177" s="2" t="s">
        <v>578</v>
      </c>
      <c r="C177" s="11" t="s">
        <v>79</v>
      </c>
      <c r="D177" s="30">
        <f t="shared" si="8"/>
        <v>3.9585918363609585E-2</v>
      </c>
      <c r="E177" s="31">
        <f>Assumptions!$C$5</f>
        <v>1.244E-2</v>
      </c>
      <c r="F177" s="32">
        <f>IF($C177="L",Assumptions!$C$8,IF($C177="LM",Assumptions!$C$9,IF($C177="UM",Assumptions!$C$10,Assumptions!$C$11)))</f>
        <v>7.1689000000000003E-2</v>
      </c>
      <c r="G177" s="33">
        <f>IF(J177&lt;Assumptions!$C$13,"",MIN(MAX(D177,E177),F177))</f>
        <v>3.9585918363609585E-2</v>
      </c>
      <c r="H177" s="12" t="str">
        <f t="shared" si="9"/>
        <v>unadjusted</v>
      </c>
      <c r="I177" s="34">
        <f t="shared" si="10"/>
        <v>0</v>
      </c>
      <c r="J177" s="12">
        <f t="shared" si="11"/>
        <v>10</v>
      </c>
      <c r="K177" s="30">
        <f>IF(OR('GNI per capita'!AJ176="",'GNI per capita'!AK176=""),"",'GNI per capita'!AK176/'GNI per capita'!AJ176-1)</f>
        <v>-5.0561797752809001E-2</v>
      </c>
      <c r="L177" s="30">
        <f>IF(OR('GNI per capita'!AK176="",'GNI per capita'!AL176=""),"",'GNI per capita'!AL176/'GNI per capita'!AK176-1)</f>
        <v>-1.1242603550295827E-2</v>
      </c>
      <c r="M177" s="30">
        <f>IF(OR('GNI per capita'!AL176="",'GNI per capita'!AM176=""),"",'GNI per capita'!AM176/'GNI per capita'!AL176-1)</f>
        <v>0.10472770795930586</v>
      </c>
      <c r="N177" s="30">
        <f>IF(OR('GNI per capita'!AM176="",'GNI per capita'!AN176=""),"",'GNI per capita'!AN176/'GNI per capita'!AM176-1)</f>
        <v>4.1711809317443116E-2</v>
      </c>
      <c r="O177" s="30">
        <f>IF(OR('GNI per capita'!AN176="",'GNI per capita'!AO176=""),"",'GNI per capita'!AO176/'GNI per capita'!AN176-1)</f>
        <v>9.880395215808635E-3</v>
      </c>
      <c r="P177" s="30">
        <f>IF(OR('GNI per capita'!AO176="",'GNI per capita'!AP176=""),"",'GNI per capita'!AP176/'GNI per capita'!AO176-1)</f>
        <v>8.1874356333676568E-2</v>
      </c>
      <c r="Q177" s="30">
        <f>IF(OR('GNI per capita'!AP176="",'GNI per capita'!AQ176=""),"",'GNI per capita'!AQ176/'GNI per capita'!AP176-1)</f>
        <v>4.1884816753926746E-2</v>
      </c>
      <c r="R177" s="30">
        <f>IF(OR('GNI per capita'!AQ176="",'GNI per capita'!AR176=""),"",'GNI per capita'!AR176/'GNI per capita'!AQ176-1)</f>
        <v>3.7460027409776053E-2</v>
      </c>
      <c r="S177" s="30">
        <f>IF(OR('GNI per capita'!AR176="",'GNI per capita'!AS176=""),"",'GNI per capita'!AS176/'GNI per capita'!AR176-1)</f>
        <v>3.7428445618670203E-2</v>
      </c>
      <c r="T177" s="30">
        <f>IF(OR('GNI per capita'!AS176="",'GNI per capita'!AT176=""),"",'GNI per capita'!AT176/'GNI per capita'!AS176-1)</f>
        <v>0.12096774193548376</v>
      </c>
      <c r="U177" s="2" t="s">
        <v>162</v>
      </c>
    </row>
    <row r="178" spans="1:21" x14ac:dyDescent="0.2">
      <c r="A178" s="2" t="s">
        <v>579</v>
      </c>
      <c r="B178" s="2" t="s">
        <v>580</v>
      </c>
      <c r="C178" s="11" t="s">
        <v>79</v>
      </c>
      <c r="D178" s="30">
        <f t="shared" si="8"/>
        <v>4.6585885157415019E-2</v>
      </c>
      <c r="E178" s="31">
        <f>Assumptions!$C$5</f>
        <v>1.244E-2</v>
      </c>
      <c r="F178" s="32">
        <f>IF($C178="L",Assumptions!$C$8,IF($C178="LM",Assumptions!$C$9,IF($C178="UM",Assumptions!$C$10,Assumptions!$C$11)))</f>
        <v>7.1689000000000003E-2</v>
      </c>
      <c r="G178" s="33">
        <f>IF(J178&lt;Assumptions!$C$13,"",MIN(MAX(D178,E178),F178))</f>
        <v>4.6585885157415019E-2</v>
      </c>
      <c r="H178" s="12" t="str">
        <f t="shared" si="9"/>
        <v>unadjusted</v>
      </c>
      <c r="I178" s="34">
        <f t="shared" si="10"/>
        <v>0</v>
      </c>
      <c r="J178" s="12">
        <f t="shared" si="11"/>
        <v>10</v>
      </c>
      <c r="K178" s="30">
        <f>IF(OR('GNI per capita'!AJ177="",'GNI per capita'!AK177=""),"",'GNI per capita'!AK177/'GNI per capita'!AJ177-1)</f>
        <v>-2.1286231884057982E-2</v>
      </c>
      <c r="L178" s="30">
        <f>IF(OR('GNI per capita'!AK177="",'GNI per capita'!AL177=""),"",'GNI per capita'!AL177/'GNI per capita'!AK177-1)</f>
        <v>1.989819527996306E-2</v>
      </c>
      <c r="M178" s="30">
        <f>IF(OR('GNI per capita'!AL177="",'GNI per capita'!AM177=""),"",'GNI per capita'!AM177/'GNI per capita'!AL177-1)</f>
        <v>0.11206896551724133</v>
      </c>
      <c r="N178" s="30">
        <f>IF(OR('GNI per capita'!AM177="",'GNI per capita'!AN177=""),"",'GNI per capita'!AN177/'GNI per capita'!AM177-1)</f>
        <v>5.6711546307629535E-2</v>
      </c>
      <c r="O178" s="30">
        <f>IF(OR('GNI per capita'!AN177="",'GNI per capita'!AO177=""),"",'GNI per capita'!AO177/'GNI per capita'!AN177-1)</f>
        <v>-2.0077220077220126E-2</v>
      </c>
      <c r="P178" s="30">
        <f>IF(OR('GNI per capita'!AO177="",'GNI per capita'!AP177=""),"",'GNI per capita'!AP177/'GNI per capita'!AO177-1)</f>
        <v>0.11583924349881802</v>
      </c>
      <c r="Q178" s="30">
        <f>IF(OR('GNI per capita'!AP177="",'GNI per capita'!AQ177=""),"",'GNI per capita'!AQ177/'GNI per capita'!AP177-1)</f>
        <v>4.4844632768361592E-2</v>
      </c>
      <c r="R178" s="30">
        <f>IF(OR('GNI per capita'!AQ177="",'GNI per capita'!AR177=""),"",'GNI per capita'!AR177/'GNI per capita'!AQ177-1)</f>
        <v>4.8327137546468446E-2</v>
      </c>
      <c r="S178" s="30">
        <f>IF(OR('GNI per capita'!AR177="",'GNI per capita'!AS177=""),"",'GNI per capita'!AS177/'GNI per capita'!AR177-1)</f>
        <v>2.4822695035461084E-2</v>
      </c>
      <c r="T178" s="30">
        <f>IF(OR('GNI per capita'!AS177="",'GNI per capita'!AT177=""),"",'GNI per capita'!AT177/'GNI per capita'!AS177-1)</f>
        <v>0.11733249449512417</v>
      </c>
      <c r="U178" s="2" t="s">
        <v>162</v>
      </c>
    </row>
    <row r="179" spans="1:21" x14ac:dyDescent="0.2">
      <c r="A179" s="2" t="s">
        <v>581</v>
      </c>
      <c r="B179" s="2" t="s">
        <v>582</v>
      </c>
      <c r="C179" s="11" t="s">
        <v>210</v>
      </c>
      <c r="D179" s="30">
        <f t="shared" si="8"/>
        <v>-9.9502487562189157E-3</v>
      </c>
      <c r="E179" s="31">
        <f>Assumptions!$C$5</f>
        <v>1.244E-2</v>
      </c>
      <c r="F179" s="32">
        <f>IF($C179="L",Assumptions!$C$8,IF($C179="LM",Assumptions!$C$9,IF($C179="UM",Assumptions!$C$10,Assumptions!$C$11)))</f>
        <v>7.4680999999999997E-2</v>
      </c>
      <c r="G179" s="33">
        <f>IF(J179&lt;Assumptions!$C$13,"",MIN(MAX(D179,E179),F179))</f>
        <v>1.244E-2</v>
      </c>
      <c r="H179" s="12" t="str">
        <f t="shared" si="9"/>
        <v>raised by floor</v>
      </c>
      <c r="I179" s="34">
        <f t="shared" si="10"/>
        <v>2.2390248756218915E-2</v>
      </c>
      <c r="J179" s="12">
        <f t="shared" si="11"/>
        <v>10</v>
      </c>
      <c r="K179" s="30">
        <f>IF(OR('GNI per capita'!AJ178="",'GNI per capita'!AK178=""),"",'GNI per capita'!AK178/'GNI per capita'!AJ178-1)</f>
        <v>-4.9751243781094301E-3</v>
      </c>
      <c r="L179" s="30">
        <f>IF(OR('GNI per capita'!AK178="",'GNI per capita'!AL178=""),"",'GNI per capita'!AL178/'GNI per capita'!AK178-1)</f>
        <v>1.0000000000000009E-2</v>
      </c>
      <c r="M179" s="30">
        <f>IF(OR('GNI per capita'!AL178="",'GNI per capita'!AM178=""),"",'GNI per capita'!AM178/'GNI per capita'!AL178-1)</f>
        <v>6.4356435643564414E-2</v>
      </c>
      <c r="N179" s="30">
        <f>IF(OR('GNI per capita'!AM178="",'GNI per capita'!AN178=""),"",'GNI per capita'!AN178/'GNI per capita'!AM178-1)</f>
        <v>2.7906976744185963E-2</v>
      </c>
      <c r="O179" s="30">
        <f>IF(OR('GNI per capita'!AN178="",'GNI per capita'!AO178=""),"",'GNI per capita'!AO178/'GNI per capita'!AN178-1)</f>
        <v>-1.8099547511312264E-2</v>
      </c>
      <c r="P179" s="30">
        <f>IF(OR('GNI per capita'!AO178="",'GNI per capita'!AP178=""),"",'GNI per capita'!AP178/'GNI per capita'!AO178-1)</f>
        <v>-2.3041474654377891E-2</v>
      </c>
      <c r="Q179" s="30">
        <f>IF(OR('GNI per capita'!AP178="",'GNI per capita'!AQ178=""),"",'GNI per capita'!AQ178/'GNI per capita'!AP178-1)</f>
        <v>-5.1886792452830233E-2</v>
      </c>
      <c r="R179" s="30">
        <f>IF(OR('GNI per capita'!AQ178="",'GNI per capita'!AR178=""),"",'GNI per capita'!AR178/'GNI per capita'!AQ178-1)</f>
        <v>-1.4925373134328401E-2</v>
      </c>
      <c r="S179" s="30">
        <f>IF(OR('GNI per capita'!AR178="",'GNI per capita'!AS178=""),"",'GNI per capita'!AS178/'GNI per capita'!AR178-1)</f>
        <v>-3.5353535353535359E-2</v>
      </c>
      <c r="T179" s="30">
        <f>IF(OR('GNI per capita'!AS178="",'GNI per capita'!AT178=""),"",'GNI per capita'!AT178/'GNI per capita'!AS178-1)</f>
        <v>5.7591623036649109E-2</v>
      </c>
      <c r="U179" s="28" t="s">
        <v>583</v>
      </c>
    </row>
    <row r="180" spans="1:21" x14ac:dyDescent="0.2">
      <c r="A180" s="2" t="s">
        <v>584</v>
      </c>
      <c r="B180" s="2" t="s">
        <v>585</v>
      </c>
      <c r="C180" s="11" t="s">
        <v>75</v>
      </c>
      <c r="D180" s="30">
        <f t="shared" si="8"/>
        <v>3.279569892473122E-2</v>
      </c>
      <c r="E180" s="31">
        <f>Assumptions!$C$5</f>
        <v>1.244E-2</v>
      </c>
      <c r="F180" s="32">
        <f>IF($C180="L",Assumptions!$C$8,IF($C180="LM",Assumptions!$C$9,IF($C180="UM",Assumptions!$C$10,Assumptions!$C$11)))</f>
        <v>5.5947999999999998E-2</v>
      </c>
      <c r="G180" s="33">
        <f>IF(J180&lt;Assumptions!$C$13,"",MIN(MAX(D180,E180),F180))</f>
        <v>3.279569892473122E-2</v>
      </c>
      <c r="H180" s="12" t="str">
        <f t="shared" si="9"/>
        <v>unadjusted</v>
      </c>
      <c r="I180" s="34">
        <f t="shared" si="10"/>
        <v>0</v>
      </c>
      <c r="J180" s="12">
        <f t="shared" si="11"/>
        <v>10</v>
      </c>
      <c r="K180" s="30">
        <f>IF(OR('GNI per capita'!AJ179="",'GNI per capita'!AK179=""),"",'GNI per capita'!AK179/'GNI per capita'!AJ179-1)</f>
        <v>2.2727272727272707E-2</v>
      </c>
      <c r="L180" s="30">
        <f>IF(OR('GNI per capita'!AK179="",'GNI per capita'!AL179=""),"",'GNI per capita'!AL179/'GNI per capita'!AK179-1)</f>
        <v>0.11111111111111116</v>
      </c>
      <c r="M180" s="30">
        <f>IF(OR('GNI per capita'!AL179="",'GNI per capita'!AM179=""),"",'GNI per capita'!AM179/'GNI per capita'!AL179-1)</f>
        <v>2.0000000000000018E-2</v>
      </c>
      <c r="N180" s="30">
        <f>IF(OR('GNI per capita'!AM179="",'GNI per capita'!AN179=""),"",'GNI per capita'!AN179/'GNI per capita'!AM179-1)</f>
        <v>1.9607843137254832E-2</v>
      </c>
      <c r="O180" s="30">
        <f>IF(OR('GNI per capita'!AN179="",'GNI per capita'!AO179=""),"",'GNI per capita'!AO179/'GNI per capita'!AN179-1)</f>
        <v>-3.8461538461538436E-2</v>
      </c>
      <c r="P180" s="30">
        <f>IF(OR('GNI per capita'!AO179="",'GNI per capita'!AP179=""),"",'GNI per capita'!AP179/'GNI per capita'!AO179-1)</f>
        <v>8.0000000000000071E-2</v>
      </c>
      <c r="Q180" s="30">
        <f>IF(OR('GNI per capita'!AP179="",'GNI per capita'!AQ179=""),"",'GNI per capita'!AQ179/'GNI per capita'!AP179-1)</f>
        <v>5.555555555555558E-2</v>
      </c>
      <c r="R180" s="30">
        <f>IF(OR('GNI per capita'!AQ179="",'GNI per capita'!AR179=""),"",'GNI per capita'!AR179/'GNI per capita'!AQ179-1)</f>
        <v>5.2631578947368363E-2</v>
      </c>
      <c r="S180" s="30">
        <f>IF(OR('GNI per capita'!AR179="",'GNI per capita'!AS179=""),"",'GNI per capita'!AS179/'GNI per capita'!AR179-1)</f>
        <v>3.3333333333333437E-2</v>
      </c>
      <c r="T180" s="30">
        <f>IF(OR('GNI per capita'!AS179="",'GNI per capita'!AT179=""),"",'GNI per capita'!AT179/'GNI per capita'!AS179-1)</f>
        <v>3.2258064516129004E-2</v>
      </c>
      <c r="U180" s="2" t="s">
        <v>162</v>
      </c>
    </row>
    <row r="181" spans="1:21" x14ac:dyDescent="0.2">
      <c r="A181" s="2" t="s">
        <v>586</v>
      </c>
      <c r="B181" s="2" t="s">
        <v>587</v>
      </c>
      <c r="C181" s="11" t="s">
        <v>82</v>
      </c>
      <c r="D181" s="30">
        <f t="shared" si="8"/>
        <v>1.0542269280871097E-2</v>
      </c>
      <c r="E181" s="31">
        <f>Assumptions!$C$5</f>
        <v>1.244E-2</v>
      </c>
      <c r="F181" s="32">
        <f>IF($C181="L",Assumptions!$C$8,IF($C181="LM",Assumptions!$C$9,IF($C181="UM",Assumptions!$C$10,Assumptions!$C$11)))</f>
        <v>9.0712000000000001E-2</v>
      </c>
      <c r="G181" s="33">
        <f>IF(J181&lt;Assumptions!$C$13,"",MIN(MAX(D181,E181),F181))</f>
        <v>1.244E-2</v>
      </c>
      <c r="H181" s="12" t="str">
        <f t="shared" si="9"/>
        <v>raised by floor</v>
      </c>
      <c r="I181" s="34">
        <f t="shared" si="10"/>
        <v>1.8977307191289025E-3</v>
      </c>
      <c r="J181" s="12">
        <f t="shared" si="11"/>
        <v>10</v>
      </c>
      <c r="K181" s="30">
        <f>IF(OR('GNI per capita'!AJ180="",'GNI per capita'!AK180=""),"",'GNI per capita'!AK180/'GNI per capita'!AJ180-1)</f>
        <v>-8.8372093023255771E-2</v>
      </c>
      <c r="L181" s="30">
        <f>IF(OR('GNI per capita'!AK180="",'GNI per capita'!AL180=""),"",'GNI per capita'!AL180/'GNI per capita'!AK180-1)</f>
        <v>-5.1020408163264808E-3</v>
      </c>
      <c r="M181" s="30">
        <f>IF(OR('GNI per capita'!AL180="",'GNI per capita'!AM180=""),"",'GNI per capita'!AM180/'GNI per capita'!AL180-1)</f>
        <v>6.8376068376068355E-2</v>
      </c>
      <c r="N181" s="30">
        <f>IF(OR('GNI per capita'!AM180="",'GNI per capita'!AN180=""),"",'GNI per capita'!AN180/'GNI per capita'!AM180-1)</f>
        <v>5.1199999999999912E-2</v>
      </c>
      <c r="O181" s="30">
        <f>IF(OR('GNI per capita'!AN180="",'GNI per capita'!AO180=""),"",'GNI per capita'!AO180/'GNI per capita'!AN180-1)</f>
        <v>-9.7412480974124804E-2</v>
      </c>
      <c r="P181" s="30">
        <f>IF(OR('GNI per capita'!AO180="",'GNI per capita'!AP180=""),"",'GNI per capita'!AP180/'GNI per capita'!AO180-1)</f>
        <v>6.5767284991568253E-2</v>
      </c>
      <c r="Q181" s="30">
        <f>IF(OR('GNI per capita'!AP180="",'GNI per capita'!AQ180=""),"",'GNI per capita'!AQ180/'GNI per capita'!AP180-1)</f>
        <v>3.3227848101265778E-2</v>
      </c>
      <c r="R181" s="30">
        <f>IF(OR('GNI per capita'!AQ180="",'GNI per capita'!AR180=""),"",'GNI per capita'!AR180/'GNI per capita'!AQ180-1)</f>
        <v>-6.1255742725880857E-3</v>
      </c>
      <c r="S181" s="30">
        <f>IF(OR('GNI per capita'!AR180="",'GNI per capita'!AS180=""),"",'GNI per capita'!AS180/'GNI per capita'!AR180-1)</f>
        <v>-5.8551617873651818E-2</v>
      </c>
      <c r="T181" s="30">
        <f>IF(OR('GNI per capita'!AS180="",'GNI per capita'!AT180=""),"",'GNI per capita'!AT180/'GNI per capita'!AS180-1)</f>
        <v>2.6186579378068675E-2</v>
      </c>
      <c r="U181" s="28" t="s">
        <v>284</v>
      </c>
    </row>
    <row r="182" spans="1:21" x14ac:dyDescent="0.2">
      <c r="A182" s="2" t="s">
        <v>588</v>
      </c>
      <c r="B182" s="2" t="s">
        <v>589</v>
      </c>
      <c r="C182" s="11" t="s">
        <v>75</v>
      </c>
      <c r="D182" s="30" t="str">
        <f t="shared" si="8"/>
        <v/>
      </c>
      <c r="E182" s="31">
        <f>Assumptions!$C$5</f>
        <v>1.244E-2</v>
      </c>
      <c r="F182" s="32">
        <f>IF($C182="L",Assumptions!$C$8,IF($C182="LM",Assumptions!$C$9,IF($C182="UM",Assumptions!$C$10,Assumptions!$C$11)))</f>
        <v>5.5947999999999998E-2</v>
      </c>
      <c r="G182" s="33" t="str">
        <f>IF(J182&lt;Assumptions!$C$13,"",MIN(MAX(D182,E182),F182))</f>
        <v/>
      </c>
      <c r="H182" s="12" t="str">
        <f t="shared" si="9"/>
        <v>frozen</v>
      </c>
      <c r="I182" s="34" t="str">
        <f t="shared" si="10"/>
        <v/>
      </c>
      <c r="J182" s="12">
        <f t="shared" si="11"/>
        <v>0</v>
      </c>
      <c r="K182" s="30" t="str">
        <f>IF(OR('GNI per capita'!AJ181="",'GNI per capita'!AK181=""),"",'GNI per capita'!AK181/'GNI per capita'!AJ181-1)</f>
        <v/>
      </c>
      <c r="L182" s="30" t="str">
        <f>IF(OR('GNI per capita'!AK181="",'GNI per capita'!AL181=""),"",'GNI per capita'!AL181/'GNI per capita'!AK181-1)</f>
        <v/>
      </c>
      <c r="M182" s="30" t="str">
        <f>IF(OR('GNI per capita'!AL181="",'GNI per capita'!AM181=""),"",'GNI per capita'!AM181/'GNI per capita'!AL181-1)</f>
        <v/>
      </c>
      <c r="N182" s="30" t="str">
        <f>IF(OR('GNI per capita'!AM181="",'GNI per capita'!AN181=""),"",'GNI per capita'!AN181/'GNI per capita'!AM181-1)</f>
        <v/>
      </c>
      <c r="O182" s="30" t="str">
        <f>IF(OR('GNI per capita'!AN181="",'GNI per capita'!AO181=""),"",'GNI per capita'!AO181/'GNI per capita'!AN181-1)</f>
        <v/>
      </c>
      <c r="P182" s="30" t="str">
        <f>IF(OR('GNI per capita'!AO181="",'GNI per capita'!AP181=""),"",'GNI per capita'!AP181/'GNI per capita'!AO181-1)</f>
        <v/>
      </c>
      <c r="Q182" s="30" t="str">
        <f>IF(OR('GNI per capita'!AP181="",'GNI per capita'!AQ181=""),"",'GNI per capita'!AQ181/'GNI per capita'!AP181-1)</f>
        <v/>
      </c>
      <c r="R182" s="30" t="str">
        <f>IF(OR('GNI per capita'!AQ181="",'GNI per capita'!AR181=""),"",'GNI per capita'!AR181/'GNI per capita'!AQ181-1)</f>
        <v/>
      </c>
      <c r="S182" s="30" t="str">
        <f>IF(OR('GNI per capita'!AR181="",'GNI per capita'!AS181=""),"",'GNI per capita'!AS181/'GNI per capita'!AR181-1)</f>
        <v/>
      </c>
      <c r="T182" s="30" t="str">
        <f>IF(OR('GNI per capita'!AS181="",'GNI per capita'!AT181=""),"",'GNI per capita'!AT181/'GNI per capita'!AS181-1)</f>
        <v/>
      </c>
      <c r="U182" s="28" t="s">
        <v>204</v>
      </c>
    </row>
    <row r="183" spans="1:21" x14ac:dyDescent="0.2">
      <c r="A183" s="2" t="s">
        <v>590</v>
      </c>
      <c r="B183" s="2" t="s">
        <v>591</v>
      </c>
      <c r="C183" s="11" t="s">
        <v>79</v>
      </c>
      <c r="D183" s="30">
        <f t="shared" si="8"/>
        <v>2.6081492605909751E-2</v>
      </c>
      <c r="E183" s="31">
        <f>Assumptions!$C$5</f>
        <v>1.244E-2</v>
      </c>
      <c r="F183" s="32">
        <f>IF($C183="L",Assumptions!$C$8,IF($C183="LM",Assumptions!$C$9,IF($C183="UM",Assumptions!$C$10,Assumptions!$C$11)))</f>
        <v>7.1689000000000003E-2</v>
      </c>
      <c r="G183" s="33">
        <f>IF(J183&lt;Assumptions!$C$13,"",MIN(MAX(D183,E183),F183))</f>
        <v>2.6081492605909751E-2</v>
      </c>
      <c r="H183" s="12" t="str">
        <f t="shared" si="9"/>
        <v>unadjusted</v>
      </c>
      <c r="I183" s="34">
        <f t="shared" si="10"/>
        <v>0</v>
      </c>
      <c r="J183" s="12">
        <f t="shared" si="11"/>
        <v>10</v>
      </c>
      <c r="K183" s="30">
        <f>IF(OR('GNI per capita'!AJ182="",'GNI per capita'!AK182=""),"",'GNI per capita'!AK182/'GNI per capita'!AJ182-1)</f>
        <v>-3.2752613240418116E-2</v>
      </c>
      <c r="L183" s="30">
        <f>IF(OR('GNI per capita'!AK182="",'GNI per capita'!AL182=""),"",'GNI per capita'!AL182/'GNI per capita'!AK182-1)</f>
        <v>-1.6930835734870309E-2</v>
      </c>
      <c r="M183" s="30">
        <f>IF(OR('GNI per capita'!AL182="",'GNI per capita'!AM182=""),"",'GNI per capita'!AM182/'GNI per capita'!AL182-1)</f>
        <v>8.2081348479296379E-2</v>
      </c>
      <c r="N183" s="30">
        <f>IF(OR('GNI per capita'!AM182="",'GNI per capita'!AN182=""),"",'GNI per capita'!AN182/'GNI per capita'!AM182-1)</f>
        <v>3.487978327124952E-2</v>
      </c>
      <c r="O183" s="30">
        <f>IF(OR('GNI per capita'!AN182="",'GNI per capita'!AO182=""),"",'GNI per capita'!AO182/'GNI per capita'!AN182-1)</f>
        <v>-0.10307591623036649</v>
      </c>
      <c r="P183" s="30">
        <f>IF(OR('GNI per capita'!AO182="",'GNI per capita'!AP182=""),"",'GNI per capita'!AP182/'GNI per capita'!AO182-1)</f>
        <v>0.1083546151039767</v>
      </c>
      <c r="Q183" s="30">
        <f>IF(OR('GNI per capita'!AP182="",'GNI per capita'!AQ182=""),"",'GNI per capita'!AQ182/'GNI per capita'!AP182-1)</f>
        <v>7.6036866359447064E-2</v>
      </c>
      <c r="R183" s="30">
        <f>IF(OR('GNI per capita'!AQ182="",'GNI per capita'!AR182=""),"",'GNI per capita'!AR182/'GNI per capita'!AQ182-1)</f>
        <v>8.8712144386662306E-3</v>
      </c>
      <c r="S183" s="30">
        <f>IF(OR('GNI per capita'!AR182="",'GNI per capita'!AS182=""),"",'GNI per capita'!AS182/'GNI per capita'!AR182-1)</f>
        <v>1.7283201940569981E-2</v>
      </c>
      <c r="T183" s="30">
        <f>IF(OR('GNI per capita'!AS182="",'GNI per capita'!AT182=""),"",'GNI per capita'!AT182/'GNI per capita'!AS182-1)</f>
        <v>0.10640834575260816</v>
      </c>
      <c r="U183" s="2" t="s">
        <v>162</v>
      </c>
    </row>
    <row r="184" spans="1:21" x14ac:dyDescent="0.2">
      <c r="A184" s="2" t="s">
        <v>592</v>
      </c>
      <c r="B184" s="2" t="s">
        <v>593</v>
      </c>
      <c r="C184" s="11" t="s">
        <v>82</v>
      </c>
      <c r="D184" s="30">
        <f t="shared" si="8"/>
        <v>2.8157945642712012E-2</v>
      </c>
      <c r="E184" s="31">
        <f>Assumptions!$C$5</f>
        <v>1.244E-2</v>
      </c>
      <c r="F184" s="32">
        <f>IF($C184="L",Assumptions!$C$8,IF($C184="LM",Assumptions!$C$9,IF($C184="UM",Assumptions!$C$10,Assumptions!$C$11)))</f>
        <v>9.0712000000000001E-2</v>
      </c>
      <c r="G184" s="33">
        <f>IF(J184&lt;Assumptions!$C$13,"",MIN(MAX(D184,E184),F184))</f>
        <v>2.8157945642712012E-2</v>
      </c>
      <c r="H184" s="12" t="str">
        <f t="shared" si="9"/>
        <v>unadjusted</v>
      </c>
      <c r="I184" s="34">
        <f t="shared" si="10"/>
        <v>0</v>
      </c>
      <c r="J184" s="12">
        <f t="shared" si="11"/>
        <v>10</v>
      </c>
      <c r="K184" s="30">
        <f>IF(OR('GNI per capita'!AJ183="",'GNI per capita'!AK183=""),"",'GNI per capita'!AK183/'GNI per capita'!AJ183-1)</f>
        <v>2.5510204081632626E-2</v>
      </c>
      <c r="L184" s="30">
        <f>IF(OR('GNI per capita'!AK183="",'GNI per capita'!AL183=""),"",'GNI per capita'!AL183/'GNI per capita'!AK183-1)</f>
        <v>4.9751243781094523E-2</v>
      </c>
      <c r="M184" s="30">
        <f>IF(OR('GNI per capita'!AL183="",'GNI per capita'!AM183=""),"",'GNI per capita'!AM183/'GNI per capita'!AL183-1)</f>
        <v>3.0805687203791399E-2</v>
      </c>
      <c r="N184" s="30">
        <f>IF(OR('GNI per capita'!AM183="",'GNI per capita'!AN183=""),"",'GNI per capita'!AN183/'GNI per capita'!AM183-1)</f>
        <v>-2.9885057471264354E-2</v>
      </c>
      <c r="O184" s="30">
        <f>IF(OR('GNI per capita'!AN183="",'GNI per capita'!AO183=""),"",'GNI per capita'!AO183/'GNI per capita'!AN183-1)</f>
        <v>-8.0568720379146974E-2</v>
      </c>
      <c r="P184" s="30">
        <f>IF(OR('GNI per capita'!AO183="",'GNI per capita'!AP183=""),"",'GNI per capita'!AP183/'GNI per capita'!AO183-1)</f>
        <v>3.3505154639175361E-2</v>
      </c>
      <c r="Q184" s="30">
        <f>IF(OR('GNI per capita'!AP183="",'GNI per capita'!AQ183=""),"",'GNI per capita'!AQ183/'GNI per capita'!AP183-1)</f>
        <v>-9.7256857855361645E-2</v>
      </c>
      <c r="R184" s="30">
        <f>IF(OR('GNI per capita'!AQ183="",'GNI per capita'!AR183=""),"",'GNI per capita'!AR183/'GNI per capita'!AQ183-1)</f>
        <v>-1.9337016574585641E-2</v>
      </c>
      <c r="S184" s="30">
        <f>IF(OR('GNI per capita'!AR183="",'GNI per capita'!AS183=""),"",'GNI per capita'!AS183/'GNI per capita'!AR183-1)</f>
        <v>9.0140845070422637E-2</v>
      </c>
      <c r="T184" s="30">
        <f>IF(OR('GNI per capita'!AS183="",'GNI per capita'!AT183=""),"",'GNI per capita'!AT183/'GNI per capita'!AS183-1)</f>
        <v>0.20671834625323005</v>
      </c>
      <c r="U184" s="2" t="s">
        <v>162</v>
      </c>
    </row>
    <row r="185" spans="1:21" x14ac:dyDescent="0.2">
      <c r="A185" s="2" t="s">
        <v>594</v>
      </c>
      <c r="B185" s="2" t="s">
        <v>595</v>
      </c>
      <c r="C185" s="11" t="s">
        <v>79</v>
      </c>
      <c r="D185" s="30">
        <f t="shared" si="8"/>
        <v>4.5834937825693811E-2</v>
      </c>
      <c r="E185" s="31">
        <f>Assumptions!$C$5</f>
        <v>1.244E-2</v>
      </c>
      <c r="F185" s="32">
        <f>IF($C185="L",Assumptions!$C$8,IF($C185="LM",Assumptions!$C$9,IF($C185="UM",Assumptions!$C$10,Assumptions!$C$11)))</f>
        <v>7.1689000000000003E-2</v>
      </c>
      <c r="G185" s="33">
        <f>IF(J185&lt;Assumptions!$C$13,"",MIN(MAX(D185,E185),F185))</f>
        <v>4.5834937825693811E-2</v>
      </c>
      <c r="H185" s="12" t="str">
        <f t="shared" si="9"/>
        <v>unadjusted</v>
      </c>
      <c r="I185" s="34">
        <f t="shared" si="10"/>
        <v>0</v>
      </c>
      <c r="J185" s="12">
        <f t="shared" si="11"/>
        <v>10</v>
      </c>
      <c r="K185" s="30">
        <f>IF(OR('GNI per capita'!AJ184="",'GNI per capita'!AK184=""),"",'GNI per capita'!AK184/'GNI per capita'!AJ184-1)</f>
        <v>5.1955008034279659E-2</v>
      </c>
      <c r="L185" s="30">
        <f>IF(OR('GNI per capita'!AK184="",'GNI per capita'!AL184=""),"",'GNI per capita'!AL184/'GNI per capita'!AK184-1)</f>
        <v>3.9714867617107963E-2</v>
      </c>
      <c r="M185" s="30">
        <f>IF(OR('GNI per capita'!AL184="",'GNI per capita'!AM184=""),"",'GNI per capita'!AM184/'GNI per capita'!AL184-1)</f>
        <v>7.3947110675808059E-2</v>
      </c>
      <c r="N185" s="30">
        <f>IF(OR('GNI per capita'!AM184="",'GNI per capita'!AN184=""),"",'GNI per capita'!AN184/'GNI per capita'!AM184-1)</f>
        <v>7.9343365253077947E-2</v>
      </c>
      <c r="O185" s="30">
        <f>IF(OR('GNI per capita'!AN184="",'GNI per capita'!AO184=""),"",'GNI per capita'!AO184/'GNI per capita'!AN184-1)</f>
        <v>-0.18293198141106881</v>
      </c>
      <c r="P185" s="30">
        <f>IF(OR('GNI per capita'!AO184="",'GNI per capita'!AP184=""),"",'GNI per capita'!AP184/'GNI per capita'!AO184-1)</f>
        <v>-1.3960703205791125E-2</v>
      </c>
      <c r="Q185" s="30">
        <f>IF(OR('GNI per capita'!AP184="",'GNI per capita'!AQ184=""),"",'GNI per capita'!AQ184/'GNI per capita'!AP184-1)</f>
        <v>0.12323020450970112</v>
      </c>
      <c r="R185" s="30">
        <f>IF(OR('GNI per capita'!AQ184="",'GNI per capita'!AR184=""),"",'GNI per capita'!AR184/'GNI per capita'!AQ184-1)</f>
        <v>2.1008403361344463E-2</v>
      </c>
      <c r="S185" s="30">
        <f>IF(OR('GNI per capita'!AR184="",'GNI per capita'!AS184=""),"",'GNI per capita'!AS184/'GNI per capita'!AR184-1)</f>
        <v>4.115226337448652E-3</v>
      </c>
      <c r="T185" s="30">
        <f>IF(OR('GNI per capita'!AS184="",'GNI per capita'!AT184=""),"",'GNI per capita'!AT184/'GNI per capita'!AS184-1)</f>
        <v>0.11703096539162106</v>
      </c>
      <c r="U185" s="2" t="s">
        <v>162</v>
      </c>
    </row>
    <row r="186" spans="1:21" x14ac:dyDescent="0.2">
      <c r="A186" s="2" t="s">
        <v>596</v>
      </c>
      <c r="B186" s="2" t="s">
        <v>597</v>
      </c>
      <c r="C186" s="11" t="s">
        <v>82</v>
      </c>
      <c r="D186" s="30">
        <f t="shared" si="8"/>
        <v>6.0855564803972695E-2</v>
      </c>
      <c r="E186" s="31">
        <f>Assumptions!$C$5</f>
        <v>1.244E-2</v>
      </c>
      <c r="F186" s="32">
        <f>IF($C186="L",Assumptions!$C$8,IF($C186="LM",Assumptions!$C$9,IF($C186="UM",Assumptions!$C$10,Assumptions!$C$11)))</f>
        <v>9.0712000000000001E-2</v>
      </c>
      <c r="G186" s="33">
        <f>IF(J186&lt;Assumptions!$C$13,"",MIN(MAX(D186,E186),F186))</f>
        <v>6.0855564803972695E-2</v>
      </c>
      <c r="H186" s="12" t="str">
        <f t="shared" si="9"/>
        <v>unadjusted</v>
      </c>
      <c r="I186" s="34">
        <f t="shared" si="10"/>
        <v>0</v>
      </c>
      <c r="J186" s="12">
        <f t="shared" si="11"/>
        <v>10</v>
      </c>
      <c r="K186" s="30">
        <f>IF(OR('GNI per capita'!AJ185="",'GNI per capita'!AK185=""),"",'GNI per capita'!AK185/'GNI per capita'!AJ185-1)</f>
        <v>7.6496674057649594E-2</v>
      </c>
      <c r="L186" s="30">
        <f>IF(OR('GNI per capita'!AK185="",'GNI per capita'!AL185=""),"",'GNI per capita'!AL185/'GNI per capita'!AK185-1)</f>
        <v>5.6642636457260531E-2</v>
      </c>
      <c r="M186" s="30">
        <f>IF(OR('GNI per capita'!AL185="",'GNI per capita'!AM185=""),"",'GNI per capita'!AM185/'GNI per capita'!AL185-1)</f>
        <v>7.7972709551656916E-2</v>
      </c>
      <c r="N186" s="30">
        <f>IF(OR('GNI per capita'!AM185="",'GNI per capita'!AN185=""),"",'GNI per capita'!AN185/'GNI per capita'!AM185-1)</f>
        <v>0</v>
      </c>
      <c r="O186" s="30">
        <f>IF(OR('GNI per capita'!AN185="",'GNI per capita'!AO185=""),"",'GNI per capita'!AO185/'GNI per capita'!AN185-1)</f>
        <v>-0.21338155515370705</v>
      </c>
      <c r="P186" s="30">
        <f>IF(OR('GNI per capita'!AO185="",'GNI per capita'!AP185=""),"",'GNI per capita'!AP185/'GNI per capita'!AO185-1)</f>
        <v>0.15287356321839085</v>
      </c>
      <c r="Q186" s="30">
        <f>IF(OR('GNI per capita'!AP185="",'GNI per capita'!AQ185=""),"",'GNI per capita'!AQ185/'GNI per capita'!AP185-1)</f>
        <v>0.16450648055832495</v>
      </c>
      <c r="R186" s="30">
        <f>IF(OR('GNI per capita'!AQ185="",'GNI per capita'!AR185=""),"",'GNI per capita'!AR185/'GNI per capita'!AQ185-1)</f>
        <v>6.5068493150684859E-2</v>
      </c>
      <c r="S186" s="30">
        <f>IF(OR('GNI per capita'!AR185="",'GNI per capita'!AS185=""),"",'GNI per capita'!AS185/'GNI per capita'!AR185-1)</f>
        <v>3.2154340836012762E-2</v>
      </c>
      <c r="T186" s="30">
        <f>IF(OR('GNI per capita'!AS185="",'GNI per capita'!AT185=""),"",'GNI per capita'!AT185/'GNI per capita'!AS185-1)</f>
        <v>4.4392523364485958E-2</v>
      </c>
      <c r="U186" s="2" t="s">
        <v>162</v>
      </c>
    </row>
    <row r="187" spans="1:21" x14ac:dyDescent="0.2">
      <c r="A187" s="2" t="s">
        <v>598</v>
      </c>
      <c r="B187" s="2" t="s">
        <v>599</v>
      </c>
      <c r="C187" s="11" t="s">
        <v>79</v>
      </c>
      <c r="D187" s="30" t="str">
        <f t="shared" si="8"/>
        <v/>
      </c>
      <c r="E187" s="31">
        <f>Assumptions!$C$5</f>
        <v>1.244E-2</v>
      </c>
      <c r="F187" s="32">
        <f>IF($C187="L",Assumptions!$C$8,IF($C187="LM",Assumptions!$C$9,IF($C187="UM",Assumptions!$C$10,Assumptions!$C$11)))</f>
        <v>7.1689000000000003E-2</v>
      </c>
      <c r="G187" s="33" t="str">
        <f>IF(J187&lt;Assumptions!$C$13,"",MIN(MAX(D187,E187),F187))</f>
        <v/>
      </c>
      <c r="H187" s="12" t="str">
        <f t="shared" si="9"/>
        <v>frozen</v>
      </c>
      <c r="I187" s="34" t="str">
        <f t="shared" si="10"/>
        <v/>
      </c>
      <c r="J187" s="12">
        <f t="shared" si="11"/>
        <v>0</v>
      </c>
      <c r="K187" s="30" t="str">
        <f>IF(OR('GNI per capita'!AJ186="",'GNI per capita'!AK186=""),"",'GNI per capita'!AK186/'GNI per capita'!AJ186-1)</f>
        <v/>
      </c>
      <c r="L187" s="30" t="str">
        <f>IF(OR('GNI per capita'!AK186="",'GNI per capita'!AL186=""),"",'GNI per capita'!AL186/'GNI per capita'!AK186-1)</f>
        <v/>
      </c>
      <c r="M187" s="30" t="str">
        <f>IF(OR('GNI per capita'!AL186="",'GNI per capita'!AM186=""),"",'GNI per capita'!AM186/'GNI per capita'!AL186-1)</f>
        <v/>
      </c>
      <c r="N187" s="30" t="str">
        <f>IF(OR('GNI per capita'!AM186="",'GNI per capita'!AN186=""),"",'GNI per capita'!AN186/'GNI per capita'!AM186-1)</f>
        <v/>
      </c>
      <c r="O187" s="30" t="str">
        <f>IF(OR('GNI per capita'!AN186="",'GNI per capita'!AO186=""),"",'GNI per capita'!AO186/'GNI per capita'!AN186-1)</f>
        <v/>
      </c>
      <c r="P187" s="30" t="str">
        <f>IF(OR('GNI per capita'!AO186="",'GNI per capita'!AP186=""),"",'GNI per capita'!AP186/'GNI per capita'!AO186-1)</f>
        <v/>
      </c>
      <c r="Q187" s="30" t="str">
        <f>IF(OR('GNI per capita'!AP186="",'GNI per capita'!AQ186=""),"",'GNI per capita'!AQ186/'GNI per capita'!AP186-1)</f>
        <v/>
      </c>
      <c r="R187" s="30" t="str">
        <f>IF(OR('GNI per capita'!AQ186="",'GNI per capita'!AR186=""),"",'GNI per capita'!AR186/'GNI per capita'!AQ186-1)</f>
        <v/>
      </c>
      <c r="S187" s="30" t="str">
        <f>IF(OR('GNI per capita'!AR186="",'GNI per capita'!AS186=""),"",'GNI per capita'!AS186/'GNI per capita'!AR186-1)</f>
        <v/>
      </c>
      <c r="T187" s="30" t="str">
        <f>IF(OR('GNI per capita'!AS186="",'GNI per capita'!AT186=""),"",'GNI per capita'!AT186/'GNI per capita'!AS186-1)</f>
        <v/>
      </c>
      <c r="U187" s="28" t="s">
        <v>204</v>
      </c>
    </row>
    <row r="188" spans="1:21" x14ac:dyDescent="0.2">
      <c r="A188" s="2" t="s">
        <v>600</v>
      </c>
      <c r="B188" s="2" t="s">
        <v>601</v>
      </c>
      <c r="C188" s="11" t="s">
        <v>82</v>
      </c>
      <c r="D188" s="30">
        <f t="shared" si="8"/>
        <v>6.1256086651585773E-2</v>
      </c>
      <c r="E188" s="31">
        <f>Assumptions!$C$5</f>
        <v>1.244E-2</v>
      </c>
      <c r="F188" s="32">
        <f>IF($C188="L",Assumptions!$C$8,IF($C188="LM",Assumptions!$C$9,IF($C188="UM",Assumptions!$C$10,Assumptions!$C$11)))</f>
        <v>9.0712000000000001E-2</v>
      </c>
      <c r="G188" s="33">
        <f>IF(J188&lt;Assumptions!$C$13,"",MIN(MAX(D188,E188),F188))</f>
        <v>6.1256086651585773E-2</v>
      </c>
      <c r="H188" s="12" t="str">
        <f t="shared" si="9"/>
        <v>unadjusted</v>
      </c>
      <c r="I188" s="34">
        <f t="shared" si="10"/>
        <v>0</v>
      </c>
      <c r="J188" s="12">
        <f t="shared" si="11"/>
        <v>10</v>
      </c>
      <c r="K188" s="30">
        <f>IF(OR('GNI per capita'!AJ187="",'GNI per capita'!AK187=""),"",'GNI per capita'!AK187/'GNI per capita'!AJ187-1)</f>
        <v>5.2039381153305309E-2</v>
      </c>
      <c r="L188" s="30">
        <f>IF(OR('GNI per capita'!AK187="",'GNI per capita'!AL187=""),"",'GNI per capita'!AL187/'GNI per capita'!AK187-1)</f>
        <v>3.3422459893048151E-2</v>
      </c>
      <c r="M188" s="30">
        <f>IF(OR('GNI per capita'!AL187="",'GNI per capita'!AM187=""),"",'GNI per capita'!AM187/'GNI per capita'!AL187-1)</f>
        <v>8.2794307891332464E-2</v>
      </c>
      <c r="N188" s="30">
        <f>IF(OR('GNI per capita'!AM187="",'GNI per capita'!AN187=""),"",'GNI per capita'!AN187/'GNI per capita'!AM187-1)</f>
        <v>3.9426523297491078E-2</v>
      </c>
      <c r="O188" s="30">
        <f>IF(OR('GNI per capita'!AN187="",'GNI per capita'!AO187=""),"",'GNI per capita'!AO187/'GNI per capita'!AN187-1)</f>
        <v>-3.9080459770114984E-2</v>
      </c>
      <c r="P188" s="30">
        <f>IF(OR('GNI per capita'!AO187="",'GNI per capita'!AP187=""),"",'GNI per capita'!AP187/'GNI per capita'!AO187-1)</f>
        <v>4.3062200956937691E-2</v>
      </c>
      <c r="Q188" s="30">
        <f>IF(OR('GNI per capita'!AP187="",'GNI per capita'!AQ187=""),"",'GNI per capita'!AQ187/'GNI per capita'!AP187-1)</f>
        <v>9.174311926605494E-2</v>
      </c>
      <c r="R188" s="30">
        <f>IF(OR('GNI per capita'!AQ187="",'GNI per capita'!AR187=""),"",'GNI per capita'!AR187/'GNI per capita'!AQ187-1)</f>
        <v>7.247899159663862E-2</v>
      </c>
      <c r="S188" s="30">
        <f>IF(OR('GNI per capita'!AR187="",'GNI per capita'!AS187=""),"",'GNI per capita'!AS187/'GNI per capita'!AR187-1)</f>
        <v>9.7943192948090063E-2</v>
      </c>
      <c r="T188" s="30">
        <f>IF(OR('GNI per capita'!AS187="",'GNI per capita'!AT187=""),"",'GNI per capita'!AT187/'GNI per capita'!AS187-1)</f>
        <v>7.0472792149866237E-2</v>
      </c>
      <c r="U188" s="2" t="s">
        <v>162</v>
      </c>
    </row>
    <row r="189" spans="1:21" x14ac:dyDescent="0.2">
      <c r="A189" s="2" t="s">
        <v>602</v>
      </c>
      <c r="B189" s="2" t="s">
        <v>603</v>
      </c>
      <c r="C189" s="11" t="s">
        <v>75</v>
      </c>
      <c r="D189" s="30">
        <f t="shared" si="8"/>
        <v>-5.8615819209039577E-2</v>
      </c>
      <c r="E189" s="31">
        <f>Assumptions!$C$5</f>
        <v>1.244E-2</v>
      </c>
      <c r="F189" s="32">
        <f>IF($C189="L",Assumptions!$C$8,IF($C189="LM",Assumptions!$C$9,IF($C189="UM",Assumptions!$C$10,Assumptions!$C$11)))</f>
        <v>5.5947999999999998E-2</v>
      </c>
      <c r="G189" s="33">
        <f>IF(J189&lt;Assumptions!$C$13,"",MIN(MAX(D189,E189),F189))</f>
        <v>1.244E-2</v>
      </c>
      <c r="H189" s="12" t="str">
        <f t="shared" si="9"/>
        <v>raised by floor</v>
      </c>
      <c r="I189" s="34">
        <f t="shared" si="10"/>
        <v>7.1055819209039583E-2</v>
      </c>
      <c r="J189" s="12">
        <f t="shared" si="11"/>
        <v>10</v>
      </c>
      <c r="K189" s="30">
        <f>IF(OR('GNI per capita'!AJ188="",'GNI per capita'!AK188=""),"",'GNI per capita'!AK188/'GNI per capita'!AJ188-1)</f>
        <v>-3.3898305084745783E-2</v>
      </c>
      <c r="L189" s="30">
        <f>IF(OR('GNI per capita'!AK188="",'GNI per capita'!AL188=""),"",'GNI per capita'!AL188/'GNI per capita'!AK188-1)</f>
        <v>-0.11403508771929827</v>
      </c>
      <c r="M189" s="30">
        <f>IF(OR('GNI per capita'!AL188="",'GNI per capita'!AM188=""),"",'GNI per capita'!AM188/'GNI per capita'!AL188-1)</f>
        <v>-0.19801980198019797</v>
      </c>
      <c r="N189" s="30">
        <f>IF(OR('GNI per capita'!AM188="",'GNI per capita'!AN188=""),"",'GNI per capita'!AN188/'GNI per capita'!AM188-1)</f>
        <v>-0.11111111111111116</v>
      </c>
      <c r="O189" s="30">
        <f>IF(OR('GNI per capita'!AN188="",'GNI per capita'!AO188=""),"",'GNI per capita'!AO188/'GNI per capita'!AN188-1)</f>
        <v>-0.16666666666666663</v>
      </c>
      <c r="P189" s="30">
        <f>IF(OR('GNI per capita'!AO188="",'GNI per capita'!AP188=""),"",'GNI per capita'!AP188/'GNI per capita'!AO188-1)</f>
        <v>3.3333333333333437E-2</v>
      </c>
      <c r="Q189" s="30">
        <f>IF(OR('GNI per capita'!AP188="",'GNI per capita'!AQ188=""),"",'GNI per capita'!AQ188/'GNI per capita'!AP188-1)</f>
        <v>0.16129032258064524</v>
      </c>
      <c r="R189" s="30">
        <f>IF(OR('GNI per capita'!AQ188="",'GNI per capita'!AR188=""),"",'GNI per capita'!AR188/'GNI per capita'!AQ188-1)</f>
        <v>-8.333333333333337E-2</v>
      </c>
      <c r="S189" s="30">
        <f>IF(OR('GNI per capita'!AR188="",'GNI per capita'!AS188=""),"",'GNI per capita'!AS188/'GNI per capita'!AR188-1)</f>
        <v>7.575757575757569E-2</v>
      </c>
      <c r="T189" s="30">
        <f>IF(OR('GNI per capita'!AS188="",'GNI per capita'!AT188=""),"",'GNI per capita'!AT188/'GNI per capita'!AS188-1)</f>
        <v>0.26760563380281699</v>
      </c>
      <c r="U189" s="28" t="s">
        <v>604</v>
      </c>
    </row>
    <row r="190" spans="1:21" x14ac:dyDescent="0.2">
      <c r="A190" s="2" t="s">
        <v>605</v>
      </c>
      <c r="B190" s="2" t="s">
        <v>606</v>
      </c>
      <c r="C190" s="11" t="s">
        <v>82</v>
      </c>
      <c r="D190" s="30">
        <f t="shared" si="8"/>
        <v>1.9496658312447845E-2</v>
      </c>
      <c r="E190" s="31">
        <f>Assumptions!$C$5</f>
        <v>1.244E-2</v>
      </c>
      <c r="F190" s="32">
        <f>IF($C190="L",Assumptions!$C$8,IF($C190="LM",Assumptions!$C$9,IF($C190="UM",Assumptions!$C$10,Assumptions!$C$11)))</f>
        <v>9.0712000000000001E-2</v>
      </c>
      <c r="G190" s="33">
        <f>IF(J190&lt;Assumptions!$C$13,"",MIN(MAX(D190,E190),F190))</f>
        <v>1.9496658312447845E-2</v>
      </c>
      <c r="H190" s="12" t="str">
        <f t="shared" si="9"/>
        <v>unadjusted</v>
      </c>
      <c r="I190" s="34">
        <f t="shared" si="10"/>
        <v>0</v>
      </c>
      <c r="J190" s="12">
        <f t="shared" si="11"/>
        <v>10</v>
      </c>
      <c r="K190" s="30">
        <f>IF(OR('GNI per capita'!AJ189="",'GNI per capita'!AK189=""),"",'GNI per capita'!AK189/'GNI per capita'!AJ189-1)</f>
        <v>-0.22105263157894739</v>
      </c>
      <c r="L190" s="30">
        <f>IF(OR('GNI per capita'!AK189="",'GNI per capita'!AL189=""),"",'GNI per capita'!AL189/'GNI per capita'!AK189-1)</f>
        <v>-0.14414414414414412</v>
      </c>
      <c r="M190" s="30">
        <f>IF(OR('GNI per capita'!AL189="",'GNI per capita'!AM189=""),"",'GNI per capita'!AM189/'GNI per capita'!AL189-1)</f>
        <v>5.2631578947368585E-3</v>
      </c>
      <c r="N190" s="30">
        <f>IF(OR('GNI per capita'!AM189="",'GNI per capita'!AN189=""),"",'GNI per capita'!AN189/'GNI per capita'!AM189-1)</f>
        <v>4.7120418848167533E-2</v>
      </c>
      <c r="O190" s="30">
        <f>IF(OR('GNI per capita'!AN189="",'GNI per capita'!AO189=""),"",'GNI per capita'!AO189/'GNI per capita'!AN189-1)</f>
        <v>-0.21499999999999997</v>
      </c>
      <c r="P190" s="30">
        <f>IF(OR('GNI per capita'!AO189="",'GNI per capita'!AP189=""),"",'GNI per capita'!AP189/'GNI per capita'!AO189-1)</f>
        <v>-4.6709129511677272E-2</v>
      </c>
      <c r="Q190" s="30">
        <f>IF(OR('GNI per capita'!AP189="",'GNI per capita'!AQ189=""),"",'GNI per capita'!AQ189/'GNI per capita'!AP189-1)</f>
        <v>0.12249443207126953</v>
      </c>
      <c r="R190" s="30">
        <f>IF(OR('GNI per capita'!AQ189="",'GNI per capita'!AR189=""),"",'GNI per capita'!AR189/'GNI per capita'!AQ189-1)</f>
        <v>3.3730158730158832E-2</v>
      </c>
      <c r="S190" s="30">
        <f>IF(OR('GNI per capita'!AR189="",'GNI per capita'!AS189=""),"",'GNI per capita'!AS189/'GNI per capita'!AR189-1)</f>
        <v>9.213051823416496E-2</v>
      </c>
      <c r="T190" s="30">
        <f>IF(OR('GNI per capita'!AS189="",'GNI per capita'!AT189=""),"",'GNI per capita'!AT189/'GNI per capita'!AS189-1)</f>
        <v>7.9086115992970107E-2</v>
      </c>
      <c r="U190" s="2" t="s">
        <v>162</v>
      </c>
    </row>
    <row r="191" spans="1:21" x14ac:dyDescent="0.2">
      <c r="A191" s="2" t="s">
        <v>607</v>
      </c>
      <c r="B191" s="2" t="s">
        <v>608</v>
      </c>
      <c r="C191" s="11" t="s">
        <v>79</v>
      </c>
      <c r="D191" s="30">
        <f t="shared" si="8"/>
        <v>-5.724297344926188E-4</v>
      </c>
      <c r="E191" s="31">
        <f>Assumptions!$C$5</f>
        <v>1.244E-2</v>
      </c>
      <c r="F191" s="32">
        <f>IF($C191="L",Assumptions!$C$8,IF($C191="LM",Assumptions!$C$9,IF($C191="UM",Assumptions!$C$10,Assumptions!$C$11)))</f>
        <v>7.1689000000000003E-2</v>
      </c>
      <c r="G191" s="33">
        <f>IF(J191&lt;Assumptions!$C$13,"",MIN(MAX(D191,E191),F191))</f>
        <v>1.244E-2</v>
      </c>
      <c r="H191" s="12" t="str">
        <f t="shared" si="9"/>
        <v>raised by floor</v>
      </c>
      <c r="I191" s="34">
        <f t="shared" si="10"/>
        <v>1.3012429734492618E-2</v>
      </c>
      <c r="J191" s="12">
        <f t="shared" si="11"/>
        <v>10</v>
      </c>
      <c r="K191" s="30">
        <f>IF(OR('GNI per capita'!AJ190="",'GNI per capita'!AK190=""),"",'GNI per capita'!AK190/'GNI per capita'!AJ190-1)</f>
        <v>-6.9948186528497436E-2</v>
      </c>
      <c r="L191" s="30">
        <f>IF(OR('GNI per capita'!AK190="",'GNI per capita'!AL190=""),"",'GNI per capita'!AL190/'GNI per capita'!AK190-1)</f>
        <v>-2.9897864438254373E-2</v>
      </c>
      <c r="M191" s="30">
        <f>IF(OR('GNI per capita'!AL190="",'GNI per capita'!AM190=""),"",'GNI per capita'!AM190/'GNI per capita'!AL190-1)</f>
        <v>5.1493108728943415E-2</v>
      </c>
      <c r="N191" s="30">
        <f>IF(OR('GNI per capita'!AM190="",'GNI per capita'!AN190=""),"",'GNI per capita'!AN190/'GNI per capita'!AM190-1)</f>
        <v>2.1299836155106444E-2</v>
      </c>
      <c r="O191" s="30">
        <f>IF(OR('GNI per capita'!AN190="",'GNI per capita'!AO190=""),"",'GNI per capita'!AO190/'GNI per capita'!AN190-1)</f>
        <v>-2.6916221033868037E-2</v>
      </c>
      <c r="P191" s="30">
        <f>IF(OR('GNI per capita'!AO190="",'GNI per capita'!AP190=""),"",'GNI per capita'!AP190/'GNI per capita'!AO190-1)</f>
        <v>9.6171459974354168E-2</v>
      </c>
      <c r="Q191" s="30">
        <f>IF(OR('GNI per capita'!AP190="",'GNI per capita'!AQ190=""),"",'GNI per capita'!AQ190/'GNI per capita'!AP190-1)</f>
        <v>3.4926470588235281E-2</v>
      </c>
      <c r="R191" s="30">
        <f>IF(OR('GNI per capita'!AQ190="",'GNI per capita'!AR190=""),"",'GNI per capita'!AR190/'GNI per capita'!AQ190-1)</f>
        <v>-2.2444695624091682E-2</v>
      </c>
      <c r="S191" s="30">
        <f>IF(OR('GNI per capita'!AR190="",'GNI per capita'!AS190=""),"",'GNI per capita'!AS190/'GNI per capita'!AR190-1)</f>
        <v>-3.3531549388833848E-2</v>
      </c>
      <c r="T191" s="30">
        <f>IF(OR('GNI per capita'!AS190="",'GNI per capita'!AT190=""),"",'GNI per capita'!AT190/'GNI per capita'!AS190-1)</f>
        <v>7.6909929926508358E-2</v>
      </c>
      <c r="U191" s="28" t="s">
        <v>510</v>
      </c>
    </row>
    <row r="192" spans="1:21" x14ac:dyDescent="0.2">
      <c r="A192" s="2" t="s">
        <v>609</v>
      </c>
      <c r="B192" s="2" t="s">
        <v>610</v>
      </c>
      <c r="C192" s="11" t="s">
        <v>79</v>
      </c>
      <c r="D192" s="30">
        <f t="shared" si="8"/>
        <v>1.0190445371302537E-2</v>
      </c>
      <c r="E192" s="31">
        <f>Assumptions!$C$5</f>
        <v>1.244E-2</v>
      </c>
      <c r="F192" s="32">
        <f>IF($C192="L",Assumptions!$C$8,IF($C192="LM",Assumptions!$C$9,IF($C192="UM",Assumptions!$C$10,Assumptions!$C$11)))</f>
        <v>7.1689000000000003E-2</v>
      </c>
      <c r="G192" s="33">
        <f>IF(J192&lt;Assumptions!$C$13,"",MIN(MAX(D192,E192),F192))</f>
        <v>1.244E-2</v>
      </c>
      <c r="H192" s="12" t="str">
        <f t="shared" si="9"/>
        <v>raised by floor</v>
      </c>
      <c r="I192" s="34">
        <f t="shared" si="10"/>
        <v>2.249554628697463E-3</v>
      </c>
      <c r="J192" s="12">
        <f t="shared" si="11"/>
        <v>10</v>
      </c>
      <c r="K192" s="30">
        <f>IF(OR('GNI per capita'!AJ191="",'GNI per capita'!AK191=""),"",'GNI per capita'!AK191/'GNI per capita'!AJ191-1)</f>
        <v>-4.424276800907545E-2</v>
      </c>
      <c r="L192" s="30">
        <f>IF(OR('GNI per capita'!AK191="",'GNI per capita'!AL191=""),"",'GNI per capita'!AL191/'GNI per capita'!AK191-1)</f>
        <v>-2.9198813056379835E-2</v>
      </c>
      <c r="M192" s="30">
        <f>IF(OR('GNI per capita'!AL191="",'GNI per capita'!AM191=""),"",'GNI per capita'!AM191/'GNI per capita'!AL191-1)</f>
        <v>3.6312507641520941E-2</v>
      </c>
      <c r="N192" s="30">
        <f>IF(OR('GNI per capita'!AM191="",'GNI per capita'!AN191=""),"",'GNI per capita'!AN191/'GNI per capita'!AM191-1)</f>
        <v>-7.0788107597923311E-3</v>
      </c>
      <c r="O192" s="30">
        <f>IF(OR('GNI per capita'!AN191="",'GNI per capita'!AO191=""),"",'GNI per capita'!AO191/'GNI per capita'!AN191-1)</f>
        <v>-1.2000950570342228E-2</v>
      </c>
      <c r="P192" s="30">
        <f>IF(OR('GNI per capita'!AO191="",'GNI per capita'!AP191=""),"",'GNI per capita'!AP191/'GNI per capita'!AO191-1)</f>
        <v>0.10523150932050518</v>
      </c>
      <c r="Q192" s="30">
        <f>IF(OR('GNI per capita'!AP191="",'GNI per capita'!AQ191=""),"",'GNI per capita'!AQ191/'GNI per capita'!AP191-1)</f>
        <v>6.5505984766049963E-2</v>
      </c>
      <c r="R192" s="30">
        <f>IF(OR('GNI per capita'!AQ191="",'GNI per capita'!AR191=""),"",'GNI per capita'!AR191/'GNI per capita'!AQ191-1)</f>
        <v>2.450980392156854E-3</v>
      </c>
      <c r="S192" s="30">
        <f>IF(OR('GNI per capita'!AR191="",'GNI per capita'!AS191=""),"",'GNI per capita'!AS191/'GNI per capita'!AR191-1)</f>
        <v>1.7929910350448219E-2</v>
      </c>
      <c r="T192" s="30">
        <f>IF(OR('GNI per capita'!AS191="",'GNI per capita'!AT191=""),"",'GNI per capita'!AT191/'GNI per capita'!AS191-1)</f>
        <v>0.10418334667734186</v>
      </c>
      <c r="U192" s="28" t="s">
        <v>412</v>
      </c>
    </row>
    <row r="193" spans="1:21" x14ac:dyDescent="0.2">
      <c r="A193" s="2" t="s">
        <v>611</v>
      </c>
      <c r="B193" s="2" t="s">
        <v>612</v>
      </c>
      <c r="C193" s="11" t="s">
        <v>75</v>
      </c>
      <c r="D193" s="30">
        <f t="shared" si="8"/>
        <v>-4.0000000000000036E-2</v>
      </c>
      <c r="E193" s="31">
        <f>Assumptions!$C$5</f>
        <v>1.244E-2</v>
      </c>
      <c r="F193" s="32">
        <f>IF($C193="L",Assumptions!$C$8,IF($C193="LM",Assumptions!$C$9,IF($C193="UM",Assumptions!$C$10,Assumptions!$C$11)))</f>
        <v>5.5947999999999998E-2</v>
      </c>
      <c r="G193" s="33" t="str">
        <f>IF(J193&lt;Assumptions!$C$13,"",MIN(MAX(D193,E193),F193))</f>
        <v/>
      </c>
      <c r="H193" s="12" t="str">
        <f t="shared" si="9"/>
        <v>frozen</v>
      </c>
      <c r="I193" s="34" t="str">
        <f t="shared" si="10"/>
        <v/>
      </c>
      <c r="J193" s="12">
        <f t="shared" si="11"/>
        <v>7</v>
      </c>
      <c r="K193" s="30">
        <f>IF(OR('GNI per capita'!AJ192="",'GNI per capita'!AK192=""),"",'GNI per capita'!AK192/'GNI per capita'!AJ192-1)</f>
        <v>-0.16666666666666663</v>
      </c>
      <c r="L193" s="30">
        <f>IF(OR('GNI per capita'!AK192="",'GNI per capita'!AL192=""),"",'GNI per capita'!AL192/'GNI per capita'!AK192-1)</f>
        <v>-4.0000000000000036E-2</v>
      </c>
      <c r="M193" s="30">
        <f>IF(OR('GNI per capita'!AL192="",'GNI per capita'!AM192=""),"",'GNI per capita'!AM192/'GNI per capita'!AL192-1)</f>
        <v>0.125</v>
      </c>
      <c r="N193" s="30">
        <f>IF(OR('GNI per capita'!AM192="",'GNI per capita'!AN192=""),"",'GNI per capita'!AN192/'GNI per capita'!AM192-1)</f>
        <v>0.19753086419753085</v>
      </c>
      <c r="O193" s="30">
        <f>IF(OR('GNI per capita'!AN192="",'GNI per capita'!AO192=""),"",'GNI per capita'!AO192/'GNI per capita'!AN192-1)</f>
        <v>-0.15463917525773196</v>
      </c>
      <c r="P193" s="30">
        <f>IF(OR('GNI per capita'!AO192="",'GNI per capita'!AP192=""),"",'GNI per capita'!AP192/'GNI per capita'!AO192-1)</f>
        <v>-0.1097560975609756</v>
      </c>
      <c r="Q193" s="30">
        <f>IF(OR('GNI per capita'!AP192="",'GNI per capita'!AQ192=""),"",'GNI per capita'!AQ192/'GNI per capita'!AP192-1)</f>
        <v>-1.3698630136986356E-2</v>
      </c>
      <c r="R193" s="30" t="str">
        <f>IF(OR('GNI per capita'!AQ192="",'GNI per capita'!AR192=""),"",'GNI per capita'!AR192/'GNI per capita'!AQ192-1)</f>
        <v/>
      </c>
      <c r="S193" s="30" t="str">
        <f>IF(OR('GNI per capita'!AR192="",'GNI per capita'!AS192=""),"",'GNI per capita'!AS192/'GNI per capita'!AR192-1)</f>
        <v/>
      </c>
      <c r="T193" s="30" t="str">
        <f>IF(OR('GNI per capita'!AS192="",'GNI per capita'!AT192=""),"",'GNI per capita'!AT192/'GNI per capita'!AS192-1)</f>
        <v/>
      </c>
      <c r="U193" s="28" t="s">
        <v>613</v>
      </c>
    </row>
    <row r="194" spans="1:21" x14ac:dyDescent="0.2">
      <c r="A194" s="2" t="s">
        <v>614</v>
      </c>
      <c r="B194" s="2" t="s">
        <v>615</v>
      </c>
      <c r="C194" s="11" t="s">
        <v>210</v>
      </c>
      <c r="D194" s="30">
        <f t="shared" si="8"/>
        <v>9.1978752448216516E-2</v>
      </c>
      <c r="E194" s="31">
        <f>Assumptions!$C$5</f>
        <v>1.244E-2</v>
      </c>
      <c r="F194" s="32">
        <f>IF($C194="L",Assumptions!$C$8,IF($C194="LM",Assumptions!$C$9,IF($C194="UM",Assumptions!$C$10,Assumptions!$C$11)))</f>
        <v>7.4680999999999997E-2</v>
      </c>
      <c r="G194" s="33">
        <f>IF(J194&lt;Assumptions!$C$13,"",MIN(MAX(D194,E194),F194))</f>
        <v>7.4680999999999997E-2</v>
      </c>
      <c r="H194" s="12" t="str">
        <f t="shared" si="9"/>
        <v>cut by cap</v>
      </c>
      <c r="I194" s="34">
        <f t="shared" si="10"/>
        <v>-1.7297752448216519E-2</v>
      </c>
      <c r="J194" s="12">
        <f t="shared" si="11"/>
        <v>10</v>
      </c>
      <c r="K194" s="30">
        <f>IF(OR('GNI per capita'!AJ193="",'GNI per capita'!AK193=""),"",'GNI per capita'!AK193/'GNI per capita'!AJ193-1)</f>
        <v>1.4285714285714235E-2</v>
      </c>
      <c r="L194" s="30">
        <f>IF(OR('GNI per capita'!AK193="",'GNI per capita'!AL193=""),"",'GNI per capita'!AL193/'GNI per capita'!AK193-1)</f>
        <v>1.4084507042253502E-2</v>
      </c>
      <c r="M194" s="30">
        <f>IF(OR('GNI per capita'!AL193="",'GNI per capita'!AM193=""),"",'GNI per capita'!AM193/'GNI per capita'!AL193-1)</f>
        <v>0.15277777777777768</v>
      </c>
      <c r="N194" s="30">
        <f>IF(OR('GNI per capita'!AM193="",'GNI per capita'!AN193=""),"",'GNI per capita'!AN193/'GNI per capita'!AM193-1)</f>
        <v>9.0361445783132543E-2</v>
      </c>
      <c r="O194" s="30">
        <f>IF(OR('GNI per capita'!AN193="",'GNI per capita'!AO193=""),"",'GNI per capita'!AO193/'GNI per capita'!AN193-1)</f>
        <v>0.12154696132596676</v>
      </c>
      <c r="P194" s="30">
        <f>IF(OR('GNI per capita'!AO193="",'GNI per capita'!AP193=""),"",'GNI per capita'!AP193/'GNI per capita'!AO193-1)</f>
        <v>9.3596059113300489E-2</v>
      </c>
      <c r="Q194" s="30">
        <f>IF(OR('GNI per capita'!AP193="",'GNI per capita'!AQ193=""),"",'GNI per capita'!AQ193/'GNI per capita'!AP193-1)</f>
        <v>0.27027027027027017</v>
      </c>
      <c r="R194" s="30">
        <f>IF(OR('GNI per capita'!AQ193="",'GNI per capita'!AR193=""),"",'GNI per capita'!AR193/'GNI per capita'!AQ193-1)</f>
        <v>-3.5460992907800915E-3</v>
      </c>
      <c r="S194" s="30">
        <f>IF(OR('GNI per capita'!AR193="",'GNI per capita'!AS193=""),"",'GNI per capita'!AS193/'GNI per capita'!AR193-1)</f>
        <v>3.5587188612099752E-2</v>
      </c>
      <c r="T194" s="30">
        <f>IF(OR('GNI per capita'!AS193="",'GNI per capita'!AT193=""),"",'GNI per capita'!AT193/'GNI per capita'!AS193-1)</f>
        <v>0.30584192439862545</v>
      </c>
      <c r="U194" s="28" t="s">
        <v>616</v>
      </c>
    </row>
    <row r="195" spans="1:21" x14ac:dyDescent="0.2">
      <c r="A195" s="2" t="s">
        <v>617</v>
      </c>
      <c r="B195" s="2" t="s">
        <v>618</v>
      </c>
      <c r="C195" s="11" t="s">
        <v>79</v>
      </c>
      <c r="D195" s="30" t="str">
        <f t="shared" si="8"/>
        <v/>
      </c>
      <c r="E195" s="31">
        <f>Assumptions!$C$5</f>
        <v>1.244E-2</v>
      </c>
      <c r="F195" s="32">
        <f>IF($C195="L",Assumptions!$C$8,IF($C195="LM",Assumptions!$C$9,IF($C195="UM",Assumptions!$C$10,Assumptions!$C$11)))</f>
        <v>7.1689000000000003E-2</v>
      </c>
      <c r="G195" s="33" t="str">
        <f>IF(J195&lt;Assumptions!$C$13,"",MIN(MAX(D195,E195),F195))</f>
        <v/>
      </c>
      <c r="H195" s="12" t="str">
        <f t="shared" si="9"/>
        <v>frozen</v>
      </c>
      <c r="I195" s="34" t="str">
        <f t="shared" si="10"/>
        <v/>
      </c>
      <c r="J195" s="12">
        <f t="shared" si="11"/>
        <v>0</v>
      </c>
      <c r="K195" s="30" t="str">
        <f>IF(OR('GNI per capita'!AJ194="",'GNI per capita'!AK194=""),"",'GNI per capita'!AK194/'GNI per capita'!AJ194-1)</f>
        <v/>
      </c>
      <c r="L195" s="30" t="str">
        <f>IF(OR('GNI per capita'!AK194="",'GNI per capita'!AL194=""),"",'GNI per capita'!AL194/'GNI per capita'!AK194-1)</f>
        <v/>
      </c>
      <c r="M195" s="30" t="str">
        <f>IF(OR('GNI per capita'!AL194="",'GNI per capita'!AM194=""),"",'GNI per capita'!AM194/'GNI per capita'!AL194-1)</f>
        <v/>
      </c>
      <c r="N195" s="30" t="str">
        <f>IF(OR('GNI per capita'!AM194="",'GNI per capita'!AN194=""),"",'GNI per capita'!AN194/'GNI per capita'!AM194-1)</f>
        <v/>
      </c>
      <c r="O195" s="30" t="str">
        <f>IF(OR('GNI per capita'!AN194="",'GNI per capita'!AO194=""),"",'GNI per capita'!AO194/'GNI per capita'!AN194-1)</f>
        <v/>
      </c>
      <c r="P195" s="30" t="str">
        <f>IF(OR('GNI per capita'!AO194="",'GNI per capita'!AP194=""),"",'GNI per capita'!AP194/'GNI per capita'!AO194-1)</f>
        <v/>
      </c>
      <c r="Q195" s="30" t="str">
        <f>IF(OR('GNI per capita'!AP194="",'GNI per capita'!AQ194=""),"",'GNI per capita'!AQ194/'GNI per capita'!AP194-1)</f>
        <v/>
      </c>
      <c r="R195" s="30" t="str">
        <f>IF(OR('GNI per capita'!AQ194="",'GNI per capita'!AR194=""),"",'GNI per capita'!AR194/'GNI per capita'!AQ194-1)</f>
        <v/>
      </c>
      <c r="S195" s="30" t="str">
        <f>IF(OR('GNI per capita'!AR194="",'GNI per capita'!AS194=""),"",'GNI per capita'!AS194/'GNI per capita'!AR194-1)</f>
        <v/>
      </c>
      <c r="T195" s="30" t="str">
        <f>IF(OR('GNI per capita'!AS194="",'GNI per capita'!AT194=""),"",'GNI per capita'!AT194/'GNI per capita'!AS194-1)</f>
        <v/>
      </c>
      <c r="U195" s="28" t="s">
        <v>204</v>
      </c>
    </row>
    <row r="196" spans="1:21" x14ac:dyDescent="0.2">
      <c r="A196" s="2" t="s">
        <v>619</v>
      </c>
      <c r="B196" s="2" t="s">
        <v>620</v>
      </c>
      <c r="C196" s="11" t="s">
        <v>210</v>
      </c>
      <c r="D196" s="30">
        <f t="shared" si="8"/>
        <v>3.9705882352941146E-2</v>
      </c>
      <c r="E196" s="31">
        <f>Assumptions!$C$5</f>
        <v>1.244E-2</v>
      </c>
      <c r="F196" s="32">
        <f>IF($C196="L",Assumptions!$C$8,IF($C196="LM",Assumptions!$C$9,IF($C196="UM",Assumptions!$C$10,Assumptions!$C$11)))</f>
        <v>7.4680999999999997E-2</v>
      </c>
      <c r="G196" s="33">
        <f>IF(J196&lt;Assumptions!$C$13,"",MIN(MAX(D196,E196),F196))</f>
        <v>3.9705882352941146E-2</v>
      </c>
      <c r="H196" s="12" t="str">
        <f t="shared" si="9"/>
        <v>unadjusted</v>
      </c>
      <c r="I196" s="34">
        <f t="shared" si="10"/>
        <v>0</v>
      </c>
      <c r="J196" s="12">
        <f t="shared" si="11"/>
        <v>10</v>
      </c>
      <c r="K196" s="30">
        <f>IF(OR('GNI per capita'!AJ195="",'GNI per capita'!AK195=""),"",'GNI per capita'!AK195/'GNI per capita'!AJ195-1)</f>
        <v>-0.11382113821138207</v>
      </c>
      <c r="L196" s="30">
        <f>IF(OR('GNI per capita'!AK195="",'GNI per capita'!AL195=""),"",'GNI per capita'!AL195/'GNI per capita'!AK195-1)</f>
        <v>-8.256880733944949E-2</v>
      </c>
      <c r="M196" s="30">
        <f>IF(OR('GNI per capita'!AL195="",'GNI per capita'!AM195=""),"",'GNI per capita'!AM195/'GNI per capita'!AL195-1)</f>
        <v>0</v>
      </c>
      <c r="N196" s="30">
        <f>IF(OR('GNI per capita'!AM195="",'GNI per capita'!AN195=""),"",'GNI per capita'!AN195/'GNI per capita'!AM195-1)</f>
        <v>5.0000000000000044E-2</v>
      </c>
      <c r="O196" s="30">
        <f>IF(OR('GNI per capita'!AN195="",'GNI per capita'!AO195=""),"",'GNI per capita'!AO195/'GNI per capita'!AN195-1)</f>
        <v>-1.9047619047619091E-2</v>
      </c>
      <c r="P196" s="30">
        <f>IF(OR('GNI per capita'!AO195="",'GNI per capita'!AP195=""),"",'GNI per capita'!AP195/'GNI per capita'!AO195-1)</f>
        <v>9.7087378640776656E-2</v>
      </c>
      <c r="Q196" s="30">
        <f>IF(OR('GNI per capita'!AP195="",'GNI per capita'!AQ195=""),"",'GNI per capita'!AQ195/'GNI per capita'!AP195-1)</f>
        <v>0.20353982300884965</v>
      </c>
      <c r="R196" s="30">
        <f>IF(OR('GNI per capita'!AQ195="",'GNI per capita'!AR195=""),"",'GNI per capita'!AR195/'GNI per capita'!AQ195-1)</f>
        <v>2.9411764705882248E-2</v>
      </c>
      <c r="S196" s="30">
        <f>IF(OR('GNI per capita'!AR195="",'GNI per capita'!AS195=""),"",'GNI per capita'!AS195/'GNI per capita'!AR195-1)</f>
        <v>0.1785714285714286</v>
      </c>
      <c r="T196" s="30">
        <f>IF(OR('GNI per capita'!AS195="",'GNI per capita'!AT195=""),"",'GNI per capita'!AT195/'GNI per capita'!AS195-1)</f>
        <v>0.26060606060606051</v>
      </c>
      <c r="U196" s="2" t="s">
        <v>162</v>
      </c>
    </row>
    <row r="197" spans="1:21" x14ac:dyDescent="0.2">
      <c r="A197" s="2" t="s">
        <v>621</v>
      </c>
      <c r="B197" s="2" t="s">
        <v>622</v>
      </c>
      <c r="C197" s="11" t="s">
        <v>210</v>
      </c>
      <c r="D197" s="30">
        <f t="shared" ref="D197:D222" si="12">IFERROR(MEDIAN(K197:T197),"")</f>
        <v>2.4563884959924565E-2</v>
      </c>
      <c r="E197" s="31">
        <f>Assumptions!$C$5</f>
        <v>1.244E-2</v>
      </c>
      <c r="F197" s="32">
        <f>IF($C197="L",Assumptions!$C$8,IF($C197="LM",Assumptions!$C$9,IF($C197="UM",Assumptions!$C$10,Assumptions!$C$11)))</f>
        <v>7.4680999999999997E-2</v>
      </c>
      <c r="G197" s="33">
        <f>IF(J197&lt;Assumptions!$C$13,"",MIN(MAX(D197,E197),F197))</f>
        <v>2.4563884959924565E-2</v>
      </c>
      <c r="H197" s="12" t="str">
        <f t="shared" ref="H197:H260" si="13">IF(G197="","frozen",IF(ROUND(G197-D197,8)&gt;0,"raised by floor",IF(ROUND(G197-D197,8)&lt;0,"cut by cap","unadjusted")))</f>
        <v>unadjusted</v>
      </c>
      <c r="I197" s="34">
        <f t="shared" ref="I197:I222" si="14">IF(OR(G197="",D197=""),"",G197-D197)</f>
        <v>0</v>
      </c>
      <c r="J197" s="12">
        <f t="shared" ref="J197:J260" si="15">COUNT(K197:T197)</f>
        <v>10</v>
      </c>
      <c r="K197" s="30">
        <f>IF(OR('GNI per capita'!AJ196="",'GNI per capita'!AK196=""),"",'GNI per capita'!AK196/'GNI per capita'!AJ196-1)</f>
        <v>-1.0309278350515427E-2</v>
      </c>
      <c r="L197" s="30">
        <f>IF(OR('GNI per capita'!AK196="",'GNI per capita'!AL196=""),"",'GNI per capita'!AL196/'GNI per capita'!AK196-1)</f>
        <v>0</v>
      </c>
      <c r="M197" s="30">
        <f>IF(OR('GNI per capita'!AL196="",'GNI per capita'!AM196=""),"",'GNI per capita'!AM196/'GNI per capita'!AL196-1)</f>
        <v>5.2083333333333259E-2</v>
      </c>
      <c r="N197" s="30">
        <f>IF(OR('GNI per capita'!AM196="",'GNI per capita'!AN196=""),"",'GNI per capita'!AN196/'GNI per capita'!AM196-1)</f>
        <v>3.9603960396039639E-2</v>
      </c>
      <c r="O197" s="30">
        <f>IF(OR('GNI per capita'!AN196="",'GNI per capita'!AO196=""),"",'GNI per capita'!AO196/'GNI per capita'!AN196-1)</f>
        <v>9.52380952380949E-3</v>
      </c>
      <c r="P197" s="30">
        <f>IF(OR('GNI per capita'!AO196="",'GNI per capita'!AP196=""),"",'GNI per capita'!AP196/'GNI per capita'!AO196-1)</f>
        <v>6.60377358490567E-2</v>
      </c>
      <c r="Q197" s="30">
        <f>IF(OR('GNI per capita'!AP196="",'GNI per capita'!AQ196=""),"",'GNI per capita'!AQ196/'GNI per capita'!AP196-1)</f>
        <v>7.079646017699126E-2</v>
      </c>
      <c r="R197" s="30">
        <f>IF(OR('GNI per capita'!AQ196="",'GNI per capita'!AR196=""),"",'GNI per capita'!AR196/'GNI per capita'!AQ196-1)</f>
        <v>8.2644628099173278E-3</v>
      </c>
      <c r="S197" s="30">
        <f>IF(OR('GNI per capita'!AR196="",'GNI per capita'!AS196=""),"",'GNI per capita'!AS196/'GNI per capita'!AR196-1)</f>
        <v>-8.1967213114754189E-3</v>
      </c>
      <c r="T197" s="30">
        <f>IF(OR('GNI per capita'!AS196="",'GNI per capita'!AT196=""),"",'GNI per capita'!AT196/'GNI per capita'!AS196-1)</f>
        <v>4.9586776859504189E-2</v>
      </c>
      <c r="U197" s="2" t="s">
        <v>162</v>
      </c>
    </row>
    <row r="198" spans="1:21" x14ac:dyDescent="0.2">
      <c r="A198" s="2" t="s">
        <v>623</v>
      </c>
      <c r="B198" s="2" t="s">
        <v>624</v>
      </c>
      <c r="C198" s="11" t="s">
        <v>82</v>
      </c>
      <c r="D198" s="30">
        <f t="shared" si="12"/>
        <v>2.2198895252848461E-2</v>
      </c>
      <c r="E198" s="31">
        <f>Assumptions!$C$5</f>
        <v>1.244E-2</v>
      </c>
      <c r="F198" s="32">
        <f>IF($C198="L",Assumptions!$C$8,IF($C198="LM",Assumptions!$C$9,IF($C198="UM",Assumptions!$C$10,Assumptions!$C$11)))</f>
        <v>9.0712000000000001E-2</v>
      </c>
      <c r="G198" s="33">
        <f>IF(J198&lt;Assumptions!$C$13,"",MIN(MAX(D198,E198),F198))</f>
        <v>2.2198895252848461E-2</v>
      </c>
      <c r="H198" s="12" t="str">
        <f t="shared" si="13"/>
        <v>unadjusted</v>
      </c>
      <c r="I198" s="34">
        <f t="shared" si="14"/>
        <v>0</v>
      </c>
      <c r="J198" s="12">
        <f t="shared" si="15"/>
        <v>10</v>
      </c>
      <c r="K198" s="30">
        <f>IF(OR('GNI per capita'!AJ197="",'GNI per capita'!AK197=""),"",'GNI per capita'!AK197/'GNI per capita'!AJ197-1)</f>
        <v>-1.7985611510791255E-3</v>
      </c>
      <c r="L198" s="30">
        <f>IF(OR('GNI per capita'!AK197="",'GNI per capita'!AL197=""),"",'GNI per capita'!AL197/'GNI per capita'!AK197-1)</f>
        <v>4.5045045045045029E-2</v>
      </c>
      <c r="M198" s="30">
        <f>IF(OR('GNI per capita'!AL197="",'GNI per capita'!AM197=""),"",'GNI per capita'!AM197/'GNI per capita'!AL197-1)</f>
        <v>0.10862068965517246</v>
      </c>
      <c r="N198" s="30">
        <f>IF(OR('GNI per capita'!AM197="",'GNI per capita'!AN197=""),"",'GNI per capita'!AN197/'GNI per capita'!AM197-1)</f>
        <v>9.9533437013996862E-2</v>
      </c>
      <c r="O198" s="30">
        <f>IF(OR('GNI per capita'!AN197="",'GNI per capita'!AO197=""),"",'GNI per capita'!AO197/'GNI per capita'!AN197-1)</f>
        <v>-2.2630834512022635E-2</v>
      </c>
      <c r="P198" s="30">
        <f>IF(OR('GNI per capita'!AO197="",'GNI per capita'!AP197=""),"",'GNI per capita'!AP197/'GNI per capita'!AO197-1)</f>
        <v>2.7496382054992718E-2</v>
      </c>
      <c r="Q198" s="30">
        <f>IF(OR('GNI per capita'!AP197="",'GNI per capita'!AQ197=""),"",'GNI per capita'!AQ197/'GNI per capita'!AP197-1)</f>
        <v>1.6901408450704203E-2</v>
      </c>
      <c r="R198" s="30">
        <f>IF(OR('GNI per capita'!AQ197="",'GNI per capita'!AR197=""),"",'GNI per capita'!AR197/'GNI per capita'!AQ197-1)</f>
        <v>-1.3850415512465242E-3</v>
      </c>
      <c r="S198" s="30">
        <f>IF(OR('GNI per capita'!AR197="",'GNI per capita'!AS197=""),"",'GNI per capita'!AS197/'GNI per capita'!AR197-1)</f>
        <v>-1.1095700416088761E-2</v>
      </c>
      <c r="T198" s="30">
        <f>IF(OR('GNI per capita'!AS197="",'GNI per capita'!AT197=""),"",'GNI per capita'!AT197/'GNI per capita'!AS197-1)</f>
        <v>7.8541374474053294E-2</v>
      </c>
      <c r="U198" s="2" t="s">
        <v>162</v>
      </c>
    </row>
    <row r="199" spans="1:21" x14ac:dyDescent="0.2">
      <c r="A199" s="2" t="s">
        <v>625</v>
      </c>
      <c r="B199" s="2" t="s">
        <v>626</v>
      </c>
      <c r="C199" s="11" t="s">
        <v>210</v>
      </c>
      <c r="D199" s="30">
        <f t="shared" si="12"/>
        <v>-2.9659111350962386E-2</v>
      </c>
      <c r="E199" s="31">
        <f>Assumptions!$C$5</f>
        <v>1.244E-2</v>
      </c>
      <c r="F199" s="32">
        <f>IF($C199="L",Assumptions!$C$8,IF($C199="LM",Assumptions!$C$9,IF($C199="UM",Assumptions!$C$10,Assumptions!$C$11)))</f>
        <v>7.4680999999999997E-2</v>
      </c>
      <c r="G199" s="33">
        <f>IF(J199&lt;Assumptions!$C$13,"",MIN(MAX(D199,E199),F199))</f>
        <v>1.244E-2</v>
      </c>
      <c r="H199" s="12" t="str">
        <f t="shared" si="13"/>
        <v>raised by floor</v>
      </c>
      <c r="I199" s="34">
        <f t="shared" si="14"/>
        <v>4.2099111350962386E-2</v>
      </c>
      <c r="J199" s="12">
        <f t="shared" si="15"/>
        <v>10</v>
      </c>
      <c r="K199" s="30">
        <f>IF(OR('GNI per capita'!AJ198="",'GNI per capita'!AK198=""),"",'GNI per capita'!AK198/'GNI per capita'!AJ198-1)</f>
        <v>-0.20642201834862384</v>
      </c>
      <c r="L199" s="30">
        <f>IF(OR('GNI per capita'!AK198="",'GNI per capita'!AL198=""),"",'GNI per capita'!AL198/'GNI per capita'!AK198-1)</f>
        <v>2.8901734104046284E-2</v>
      </c>
      <c r="M199" s="30">
        <f>IF(OR('GNI per capita'!AL198="",'GNI per capita'!AM198=""),"",'GNI per capita'!AM198/'GNI per capita'!AL198-1)</f>
        <v>5.6179775280897903E-3</v>
      </c>
      <c r="N199" s="30">
        <f>IF(OR('GNI per capita'!AM198="",'GNI per capita'!AN198=""),"",'GNI per capita'!AN198/'GNI per capita'!AM198-1)</f>
        <v>0.21787709497206698</v>
      </c>
      <c r="O199" s="30">
        <f>IF(OR('GNI per capita'!AN198="",'GNI per capita'!AO198=""),"",'GNI per capita'!AO198/'GNI per capita'!AN198-1)</f>
        <v>-6.422018348623848E-2</v>
      </c>
      <c r="P199" s="30">
        <f>IF(OR('GNI per capita'!AO198="",'GNI per capita'!AP198=""),"",'GNI per capita'!AP198/'GNI per capita'!AO198-1)</f>
        <v>4.9019607843137081E-3</v>
      </c>
      <c r="Q199" s="30">
        <f>IF(OR('GNI per capita'!AP198="",'GNI per capita'!AQ198=""),"",'GNI per capita'!AQ198/'GNI per capita'!AP198-1)</f>
        <v>-0.1121951219512195</v>
      </c>
      <c r="R199" s="30">
        <f>IF(OR('GNI per capita'!AQ198="",'GNI per capita'!AR198=""),"",'GNI per capita'!AR198/'GNI per capita'!AQ198-1)</f>
        <v>4.3956043956044022E-2</v>
      </c>
      <c r="S199" s="30">
        <f>IF(OR('GNI per capita'!AR198="",'GNI per capita'!AS198=""),"",'GNI per capita'!AS198/'GNI per capita'!AR198-1)</f>
        <v>-0.13157894736842102</v>
      </c>
      <c r="T199" s="30">
        <f>IF(OR('GNI per capita'!AS198="",'GNI per capita'!AT198=""),"",'GNI per capita'!AT198/'GNI per capita'!AS198-1)</f>
        <v>-8.484848484848484E-2</v>
      </c>
      <c r="U199" s="28" t="s">
        <v>627</v>
      </c>
    </row>
    <row r="200" spans="1:21" x14ac:dyDescent="0.2">
      <c r="A200" s="2" t="s">
        <v>628</v>
      </c>
      <c r="B200" s="2" t="s">
        <v>629</v>
      </c>
      <c r="C200" s="11" t="s">
        <v>210</v>
      </c>
      <c r="D200" s="30">
        <f t="shared" si="12"/>
        <v>4.2853020392458641E-2</v>
      </c>
      <c r="E200" s="31">
        <f>Assumptions!$C$5</f>
        <v>1.244E-2</v>
      </c>
      <c r="F200" s="32">
        <f>IF($C200="L",Assumptions!$C$8,IF($C200="LM",Assumptions!$C$9,IF($C200="UM",Assumptions!$C$10,Assumptions!$C$11)))</f>
        <v>7.4680999999999997E-2</v>
      </c>
      <c r="G200" s="33">
        <f>IF(J200&lt;Assumptions!$C$13,"",MIN(MAX(D200,E200),F200))</f>
        <v>4.2853020392458641E-2</v>
      </c>
      <c r="H200" s="12" t="str">
        <f t="shared" si="13"/>
        <v>unadjusted</v>
      </c>
      <c r="I200" s="34">
        <f t="shared" si="14"/>
        <v>0</v>
      </c>
      <c r="J200" s="12">
        <f t="shared" si="15"/>
        <v>10</v>
      </c>
      <c r="K200" s="30">
        <f>IF(OR('GNI per capita'!AJ199="",'GNI per capita'!AK199=""),"",'GNI per capita'!AK199/'GNI per capita'!AJ199-1)</f>
        <v>-4.3956043956043911E-2</v>
      </c>
      <c r="L200" s="30">
        <f>IF(OR('GNI per capita'!AK199="",'GNI per capita'!AL199=""),"",'GNI per capita'!AL199/'GNI per capita'!AK199-1)</f>
        <v>-2.2988505747126409E-2</v>
      </c>
      <c r="M200" s="30">
        <f>IF(OR('GNI per capita'!AL199="",'GNI per capita'!AM199=""),"",'GNI per capita'!AM199/'GNI per capita'!AL199-1)</f>
        <v>8.2352941176470518E-2</v>
      </c>
      <c r="N200" s="30">
        <f>IF(OR('GNI per capita'!AM199="",'GNI per capita'!AN199=""),"",'GNI per capita'!AN199/'GNI per capita'!AM199-1)</f>
        <v>3.2608695652173836E-2</v>
      </c>
      <c r="O200" s="30">
        <f>IF(OR('GNI per capita'!AN199="",'GNI per capita'!AO199=""),"",'GNI per capita'!AO199/'GNI per capita'!AN199-1)</f>
        <v>2.1052631578947434E-2</v>
      </c>
      <c r="P200" s="30">
        <f>IF(OR('GNI per capita'!AO199="",'GNI per capita'!AP199=""),"",'GNI per capita'!AP199/'GNI per capita'!AO199-1)</f>
        <v>7.2164948453608213E-2</v>
      </c>
      <c r="Q200" s="30">
        <f>IF(OR('GNI per capita'!AP199="",'GNI per capita'!AQ199=""),"",'GNI per capita'!AQ199/'GNI per capita'!AP199-1)</f>
        <v>8.6538461538461453E-2</v>
      </c>
      <c r="R200" s="30">
        <f>IF(OR('GNI per capita'!AQ199="",'GNI per capita'!AR199=""),"",'GNI per capita'!AR199/'GNI per capita'!AQ199-1)</f>
        <v>5.3097345132743445E-2</v>
      </c>
      <c r="S200" s="30">
        <f>IF(OR('GNI per capita'!AR199="",'GNI per capita'!AS199=""),"",'GNI per capita'!AS199/'GNI per capita'!AR199-1)</f>
        <v>2.5210084033613356E-2</v>
      </c>
      <c r="T200" s="30">
        <f>IF(OR('GNI per capita'!AS199="",'GNI per capita'!AT199=""),"",'GNI per capita'!AT199/'GNI per capita'!AS199-1)</f>
        <v>0.10655737704918034</v>
      </c>
      <c r="U200" s="2" t="s">
        <v>162</v>
      </c>
    </row>
    <row r="201" spans="1:21" x14ac:dyDescent="0.2">
      <c r="A201" s="2" t="s">
        <v>630</v>
      </c>
      <c r="B201" s="2" t="s">
        <v>631</v>
      </c>
      <c r="C201" s="11" t="s">
        <v>82</v>
      </c>
      <c r="D201" s="30">
        <f t="shared" si="12"/>
        <v>4.5564279590271206E-2</v>
      </c>
      <c r="E201" s="31">
        <f>Assumptions!$C$5</f>
        <v>1.244E-2</v>
      </c>
      <c r="F201" s="32">
        <f>IF($C201="L",Assumptions!$C$8,IF($C201="LM",Assumptions!$C$9,IF($C201="UM",Assumptions!$C$10,Assumptions!$C$11)))</f>
        <v>9.0712000000000001E-2</v>
      </c>
      <c r="G201" s="33">
        <f>IF(J201&lt;Assumptions!$C$13,"",MIN(MAX(D201,E201),F201))</f>
        <v>4.5564279590271206E-2</v>
      </c>
      <c r="H201" s="12" t="str">
        <f t="shared" si="13"/>
        <v>unadjusted</v>
      </c>
      <c r="I201" s="34">
        <f t="shared" si="14"/>
        <v>0</v>
      </c>
      <c r="J201" s="12">
        <f t="shared" si="15"/>
        <v>10</v>
      </c>
      <c r="K201" s="30">
        <f>IF(OR('GNI per capita'!AJ200="",'GNI per capita'!AK200=""),"",'GNI per capita'!AK200/'GNI per capita'!AJ200-1)</f>
        <v>1.4218009478673022E-2</v>
      </c>
      <c r="L201" s="30">
        <f>IF(OR('GNI per capita'!AK200="",'GNI per capita'!AL200=""),"",'GNI per capita'!AL200/'GNI per capita'!AK200-1)</f>
        <v>3.971962616822422E-2</v>
      </c>
      <c r="M201" s="30">
        <f>IF(OR('GNI per capita'!AL200="",'GNI per capita'!AM200=""),"",'GNI per capita'!AM200/'GNI per capita'!AL200-1)</f>
        <v>4.4943820224719211E-2</v>
      </c>
      <c r="N201" s="30">
        <f>IF(OR('GNI per capita'!AM200="",'GNI per capita'!AN200=""),"",'GNI per capita'!AN200/'GNI per capita'!AM200-1)</f>
        <v>7.0967741935483941E-2</v>
      </c>
      <c r="O201" s="30">
        <f>IF(OR('GNI per capita'!AN200="",'GNI per capita'!AO200=""),"",'GNI per capita'!AO200/'GNI per capita'!AN200-1)</f>
        <v>4.6184738955823201E-2</v>
      </c>
      <c r="P201" s="30">
        <f>IF(OR('GNI per capita'!AO200="",'GNI per capita'!AP200=""),"",'GNI per capita'!AP200/'GNI per capita'!AO200-1)</f>
        <v>5.7581573896352545E-3</v>
      </c>
      <c r="Q201" s="30">
        <f>IF(OR('GNI per capita'!AP200="",'GNI per capita'!AQ200=""),"",'GNI per capita'!AQ200/'GNI per capita'!AP200-1)</f>
        <v>2.8625954198473247E-2</v>
      </c>
      <c r="R201" s="30">
        <f>IF(OR('GNI per capita'!AQ200="",'GNI per capita'!AR200=""),"",'GNI per capita'!AR200/'GNI per capita'!AQ200-1)</f>
        <v>9.6474953617810666E-2</v>
      </c>
      <c r="S201" s="30">
        <f>IF(OR('GNI per capita'!AR200="",'GNI per capita'!AS200=""),"",'GNI per capita'!AS200/'GNI per capita'!AR200-1)</f>
        <v>6.0913705583756306E-2</v>
      </c>
      <c r="T201" s="30">
        <f>IF(OR('GNI per capita'!AS200="",'GNI per capita'!AT200=""),"",'GNI per capita'!AT200/'GNI per capita'!AS200-1)</f>
        <v>9.0909090909090828E-2</v>
      </c>
      <c r="U201" s="2" t="s">
        <v>162</v>
      </c>
    </row>
    <row r="202" spans="1:21" x14ac:dyDescent="0.2">
      <c r="A202" s="2" t="s">
        <v>632</v>
      </c>
      <c r="B202" s="2" t="s">
        <v>633</v>
      </c>
      <c r="C202" s="11" t="s">
        <v>79</v>
      </c>
      <c r="D202" s="30">
        <f t="shared" si="12"/>
        <v>-2.1276802445574727E-2</v>
      </c>
      <c r="E202" s="31">
        <f>Assumptions!$C$5</f>
        <v>1.244E-2</v>
      </c>
      <c r="F202" s="32">
        <f>IF($C202="L",Assumptions!$C$8,IF($C202="LM",Assumptions!$C$9,IF($C202="UM",Assumptions!$C$10,Assumptions!$C$11)))</f>
        <v>7.1689000000000003E-2</v>
      </c>
      <c r="G202" s="33">
        <f>IF(J202&lt;Assumptions!$C$13,"",MIN(MAX(D202,E202),F202))</f>
        <v>1.244E-2</v>
      </c>
      <c r="H202" s="12" t="str">
        <f t="shared" si="13"/>
        <v>raised by floor</v>
      </c>
      <c r="I202" s="34">
        <f t="shared" si="14"/>
        <v>3.3716802445574727E-2</v>
      </c>
      <c r="J202" s="12">
        <f t="shared" si="15"/>
        <v>10</v>
      </c>
      <c r="K202" s="30">
        <f>IF(OR('GNI per capita'!AJ201="",'GNI per capita'!AK201=""),"",'GNI per capita'!AK201/'GNI per capita'!AJ201-1)</f>
        <v>-0.13462469733656179</v>
      </c>
      <c r="L202" s="30">
        <f>IF(OR('GNI per capita'!AK201="",'GNI per capita'!AL201=""),"",'GNI per capita'!AL201/'GNI per capita'!AK201-1)</f>
        <v>-5.2602126468942356E-2</v>
      </c>
      <c r="M202" s="30">
        <f>IF(OR('GNI per capita'!AL201="",'GNI per capita'!AM201=""),"",'GNI per capita'!AM201/'GNI per capita'!AL201-1)</f>
        <v>-7.6786769049025372E-3</v>
      </c>
      <c r="N202" s="30">
        <f>IF(OR('GNI per capita'!AM201="",'GNI per capita'!AN201=""),"",'GNI per capita'!AN201/'GNI per capita'!AM201-1)</f>
        <v>2.6190476190476097E-2</v>
      </c>
      <c r="O202" s="30">
        <f>IF(OR('GNI per capita'!AN201="",'GNI per capita'!AO201=""),"",'GNI per capita'!AO201/'GNI per capita'!AN201-1)</f>
        <v>-0.12761020881670537</v>
      </c>
      <c r="P202" s="30">
        <f>IF(OR('GNI per capita'!AO201="",'GNI per capita'!AP201=""),"",'GNI per capita'!AP201/'GNI per capita'!AO201-1)</f>
        <v>8.4441489361702038E-2</v>
      </c>
      <c r="Q202" s="30">
        <f>IF(OR('GNI per capita'!AP201="",'GNI per capita'!AQ201=""),"",'GNI per capita'!AQ201/'GNI per capita'!AP201-1)</f>
        <v>-1.2875536480686733E-2</v>
      </c>
      <c r="R202" s="30">
        <f>IF(OR('GNI per capita'!AQ201="",'GNI per capita'!AR201=""),"",'GNI per capita'!AR201/'GNI per capita'!AQ201-1)</f>
        <v>0.23478260869565215</v>
      </c>
      <c r="S202" s="30">
        <f>IF(OR('GNI per capita'!AR201="",'GNI per capita'!AS201=""),"",'GNI per capita'!AS201/'GNI per capita'!AR201-1)</f>
        <v>-2.9678068410462721E-2</v>
      </c>
      <c r="T202" s="30">
        <f>IF(OR('GNI per capita'!AS201="",'GNI per capita'!AT201=""),"",'GNI per capita'!AT201/'GNI per capita'!AS201-1)</f>
        <v>-3.8361845515811344E-2</v>
      </c>
      <c r="U202" s="28" t="s">
        <v>634</v>
      </c>
    </row>
    <row r="203" spans="1:21" x14ac:dyDescent="0.2">
      <c r="A203" s="2" t="s">
        <v>635</v>
      </c>
      <c r="B203" s="2" t="s">
        <v>636</v>
      </c>
      <c r="C203" s="11" t="s">
        <v>210</v>
      </c>
      <c r="D203" s="30">
        <f t="shared" si="12"/>
        <v>-5.1413881748071932E-3</v>
      </c>
      <c r="E203" s="31">
        <f>Assumptions!$C$5</f>
        <v>1.244E-2</v>
      </c>
      <c r="F203" s="32">
        <f>IF($C203="L",Assumptions!$C$8,IF($C203="LM",Assumptions!$C$9,IF($C203="UM",Assumptions!$C$10,Assumptions!$C$11)))</f>
        <v>7.4680999999999997E-2</v>
      </c>
      <c r="G203" s="33">
        <f>IF(J203&lt;Assumptions!$C$13,"",MIN(MAX(D203,E203),F203))</f>
        <v>1.244E-2</v>
      </c>
      <c r="H203" s="12" t="str">
        <f t="shared" si="13"/>
        <v>raised by floor</v>
      </c>
      <c r="I203" s="34">
        <f t="shared" si="14"/>
        <v>1.7581388174807193E-2</v>
      </c>
      <c r="J203" s="12">
        <f t="shared" si="15"/>
        <v>10</v>
      </c>
      <c r="K203" s="30">
        <f>IF(OR('GNI per capita'!AJ202="",'GNI per capita'!AK202=""),"",'GNI per capita'!AK202/'GNI per capita'!AJ202-1)</f>
        <v>-4.8426150121065326E-2</v>
      </c>
      <c r="L203" s="30">
        <f>IF(OR('GNI per capita'!AK202="",'GNI per capita'!AL202=""),"",'GNI per capita'!AL202/'GNI per capita'!AK202-1)</f>
        <v>-5.8524173027989845E-2</v>
      </c>
      <c r="M203" s="30">
        <f>IF(OR('GNI per capita'!AL202="",'GNI per capita'!AM202=""),"",'GNI per capita'!AM202/'GNI per capita'!AL202-1)</f>
        <v>0</v>
      </c>
      <c r="N203" s="30">
        <f>IF(OR('GNI per capita'!AM202="",'GNI per capita'!AN202=""),"",'GNI per capita'!AN202/'GNI per capita'!AM202-1)</f>
        <v>-2.9729729729729759E-2</v>
      </c>
      <c r="O203" s="30">
        <f>IF(OR('GNI per capita'!AN202="",'GNI per capita'!AO202=""),"",'GNI per capita'!AO202/'GNI per capita'!AN202-1)</f>
        <v>-8.9136490250696365E-2</v>
      </c>
      <c r="P203" s="30">
        <f>IF(OR('GNI per capita'!AO202="",'GNI per capita'!AP202=""),"",'GNI per capita'!AP202/'GNI per capita'!AO202-1)</f>
        <v>0.11314984709480114</v>
      </c>
      <c r="Q203" s="30">
        <f>IF(OR('GNI per capita'!AP202="",'GNI per capita'!AQ202=""),"",'GNI per capita'!AQ202/'GNI per capita'!AP202-1)</f>
        <v>6.8681318681318659E-2</v>
      </c>
      <c r="R203" s="30">
        <f>IF(OR('GNI per capita'!AQ202="",'GNI per capita'!AR202=""),"",'GNI per capita'!AR202/'GNI per capita'!AQ202-1)</f>
        <v>-1.0282776349614386E-2</v>
      </c>
      <c r="S203" s="30">
        <f>IF(OR('GNI per capita'!AR202="",'GNI per capita'!AS202=""),"",'GNI per capita'!AS202/'GNI per capita'!AR202-1)</f>
        <v>7.7922077922076838E-3</v>
      </c>
      <c r="T203" s="30">
        <f>IF(OR('GNI per capita'!AS202="",'GNI per capita'!AT202=""),"",'GNI per capita'!AT202/'GNI per capita'!AS202-1)</f>
        <v>0.10824742268041243</v>
      </c>
      <c r="U203" s="28" t="s">
        <v>637</v>
      </c>
    </row>
    <row r="204" spans="1:21" x14ac:dyDescent="0.2">
      <c r="A204" s="2" t="s">
        <v>638</v>
      </c>
      <c r="B204" s="2" t="s">
        <v>639</v>
      </c>
      <c r="C204" s="11" t="s">
        <v>82</v>
      </c>
      <c r="D204" s="30">
        <f t="shared" si="12"/>
        <v>-2.193257438266516E-2</v>
      </c>
      <c r="E204" s="31">
        <f>Assumptions!$C$5</f>
        <v>1.244E-2</v>
      </c>
      <c r="F204" s="32">
        <f>IF($C204="L",Assumptions!$C$8,IF($C204="LM",Assumptions!$C$9,IF($C204="UM",Assumptions!$C$10,Assumptions!$C$11)))</f>
        <v>9.0712000000000001E-2</v>
      </c>
      <c r="G204" s="33">
        <f>IF(J204&lt;Assumptions!$C$13,"",MIN(MAX(D204,E204),F204))</f>
        <v>1.244E-2</v>
      </c>
      <c r="H204" s="12" t="str">
        <f t="shared" si="13"/>
        <v>raised by floor</v>
      </c>
      <c r="I204" s="34">
        <f t="shared" si="14"/>
        <v>3.4372574382665159E-2</v>
      </c>
      <c r="J204" s="12">
        <f t="shared" si="15"/>
        <v>10</v>
      </c>
      <c r="K204" s="30">
        <f>IF(OR('GNI per capita'!AJ203="",'GNI per capita'!AK203=""),"",'GNI per capita'!AK203/'GNI per capita'!AJ203-1)</f>
        <v>-6.507936507936507E-2</v>
      </c>
      <c r="L204" s="30">
        <f>IF(OR('GNI per capita'!AK203="",'GNI per capita'!AL203=""),"",'GNI per capita'!AL203/'GNI per capita'!AK203-1)</f>
        <v>-0.10865874363327677</v>
      </c>
      <c r="M204" s="30">
        <f>IF(OR('GNI per capita'!AL203="",'GNI per capita'!AM203=""),"",'GNI per capita'!AM203/'GNI per capita'!AL203-1)</f>
        <v>-0.10666666666666669</v>
      </c>
      <c r="N204" s="30">
        <f>IF(OR('GNI per capita'!AM203="",'GNI per capita'!AN203=""),"",'GNI per capita'!AN203/'GNI per capita'!AM203-1)</f>
        <v>-7.2494669509594933E-2</v>
      </c>
      <c r="O204" s="30">
        <f>IF(OR('GNI per capita'!AN203="",'GNI per capita'!AO203=""),"",'GNI per capita'!AO203/'GNI per capita'!AN203-1)</f>
        <v>-3.9080459770114984E-2</v>
      </c>
      <c r="P204" s="30">
        <f>IF(OR('GNI per capita'!AO203="",'GNI per capita'!AP203=""),"",'GNI per capita'!AP203/'GNI per capita'!AO203-1)</f>
        <v>-4.784688995215336E-3</v>
      </c>
      <c r="Q204" s="30">
        <f>IF(OR('GNI per capita'!AP203="",'GNI per capita'!AQ203=""),"",'GNI per capita'!AQ203/'GNI per capita'!AP203-1)</f>
        <v>7.9326923076923128E-2</v>
      </c>
      <c r="R204" s="30">
        <f>IF(OR('GNI per capita'!AQ203="",'GNI per capita'!AR203=""),"",'GNI per capita'!AR203/'GNI per capita'!AQ203-1)</f>
        <v>7.572383073496658E-2</v>
      </c>
      <c r="S204" s="30">
        <f>IF(OR('GNI per capita'!AR203="",'GNI per capita'!AS203=""),"",'GNI per capita'!AS203/'GNI per capita'!AR203-1)</f>
        <v>0.16770186335403725</v>
      </c>
      <c r="T204" s="30">
        <f>IF(OR('GNI per capita'!AS203="",'GNI per capita'!AT203=""),"",'GNI per capita'!AT203/'GNI per capita'!AS203-1)</f>
        <v>0.12411347517730498</v>
      </c>
      <c r="U204" s="28" t="s">
        <v>640</v>
      </c>
    </row>
    <row r="205" spans="1:21" x14ac:dyDescent="0.2">
      <c r="A205" s="2" t="s">
        <v>641</v>
      </c>
      <c r="B205" s="2" t="s">
        <v>642</v>
      </c>
      <c r="C205" s="11" t="s">
        <v>79</v>
      </c>
      <c r="D205" s="30">
        <f t="shared" si="12"/>
        <v>6.9413511507052661E-2</v>
      </c>
      <c r="E205" s="31">
        <f>Assumptions!$C$5</f>
        <v>1.244E-2</v>
      </c>
      <c r="F205" s="32">
        <f>IF($C205="L",Assumptions!$C$8,IF($C205="LM",Assumptions!$C$9,IF($C205="UM",Assumptions!$C$10,Assumptions!$C$11)))</f>
        <v>7.1689000000000003E-2</v>
      </c>
      <c r="G205" s="33">
        <f>IF(J205&lt;Assumptions!$C$13,"",MIN(MAX(D205,E205),F205))</f>
        <v>6.9413511507052661E-2</v>
      </c>
      <c r="H205" s="12" t="str">
        <f t="shared" si="13"/>
        <v>unadjusted</v>
      </c>
      <c r="I205" s="34">
        <f t="shared" si="14"/>
        <v>0</v>
      </c>
      <c r="J205" s="12">
        <f t="shared" si="15"/>
        <v>9</v>
      </c>
      <c r="K205" s="30">
        <f>IF(OR('GNI per capita'!AJ204="",'GNI per capita'!AK204=""),"",'GNI per capita'!AK204/'GNI per capita'!AJ204-1)</f>
        <v>6.9413511507052661E-2</v>
      </c>
      <c r="L205" s="30">
        <f>IF(OR('GNI per capita'!AK204="",'GNI per capita'!AL204=""),"",'GNI per capita'!AL204/'GNI per capita'!AK204-1)</f>
        <v>0.42762929538354744</v>
      </c>
      <c r="M205" s="30">
        <f>IF(OR('GNI per capita'!AL204="",'GNI per capita'!AM204=""),"",'GNI per capita'!AM204/'GNI per capita'!AL204-1)</f>
        <v>-0.10795040116703136</v>
      </c>
      <c r="N205" s="30">
        <f>IF(OR('GNI per capita'!AM204="",'GNI per capita'!AN204=""),"",'GNI per capita'!AN204/'GNI per capita'!AM204-1)</f>
        <v>-0.14118288361951481</v>
      </c>
      <c r="O205" s="30">
        <f>IF(OR('GNI per capita'!AN204="",'GNI per capita'!AO204=""),"",'GNI per capita'!AO204/'GNI per capita'!AN204-1)</f>
        <v>-0.33862265947318315</v>
      </c>
      <c r="P205" s="30">
        <f>IF(OR('GNI per capita'!AO204="",'GNI per capita'!AP204=""),"",'GNI per capita'!AP204/'GNI per capita'!AO204-1)</f>
        <v>0.31861804222648749</v>
      </c>
      <c r="Q205" s="30">
        <f>IF(OR('GNI per capita'!AP204="",'GNI per capita'!AQ204=""),"",'GNI per capita'!AQ204/'GNI per capita'!AP204-1)</f>
        <v>0.14956331877729268</v>
      </c>
      <c r="R205" s="30">
        <f>IF(OR('GNI per capita'!AQ204="",'GNI per capita'!AR204=""),"",'GNI per capita'!AR204/'GNI per capita'!AQ204-1)</f>
        <v>0.14150047483380823</v>
      </c>
      <c r="S205" s="30">
        <f>IF(OR('GNI per capita'!AR204="",'GNI per capita'!AS204=""),"",'GNI per capita'!AS204/'GNI per capita'!AR204-1)</f>
        <v>1.9412090959511907E-2</v>
      </c>
      <c r="T205" s="30" t="str">
        <f>IF(OR('GNI per capita'!AS204="",'GNI per capita'!AT204=""),"",'GNI per capita'!AT204/'GNI per capita'!AS204-1)</f>
        <v/>
      </c>
      <c r="U205" s="2" t="s">
        <v>162</v>
      </c>
    </row>
    <row r="206" spans="1:21" x14ac:dyDescent="0.2">
      <c r="A206" s="2" t="s">
        <v>643</v>
      </c>
      <c r="B206" s="2" t="s">
        <v>644</v>
      </c>
      <c r="C206" s="11" t="s">
        <v>82</v>
      </c>
      <c r="D206" s="30">
        <f t="shared" si="12"/>
        <v>3.42933906085231E-2</v>
      </c>
      <c r="E206" s="31">
        <f>Assumptions!$C$5</f>
        <v>1.244E-2</v>
      </c>
      <c r="F206" s="32">
        <f>IF($C206="L",Assumptions!$C$8,IF($C206="LM",Assumptions!$C$9,IF($C206="UM",Assumptions!$C$10,Assumptions!$C$11)))</f>
        <v>9.0712000000000001E-2</v>
      </c>
      <c r="G206" s="33">
        <f>IF(J206&lt;Assumptions!$C$13,"",MIN(MAX(D206,E206),F206))</f>
        <v>3.42933906085231E-2</v>
      </c>
      <c r="H206" s="12" t="str">
        <f t="shared" si="13"/>
        <v>unadjusted</v>
      </c>
      <c r="I206" s="34">
        <f t="shared" si="14"/>
        <v>0</v>
      </c>
      <c r="J206" s="12">
        <f t="shared" si="15"/>
        <v>10</v>
      </c>
      <c r="K206" s="30">
        <f>IF(OR('GNI per capita'!AJ205="",'GNI per capita'!AK205=""),"",'GNI per capita'!AK205/'GNI per capita'!AJ205-1)</f>
        <v>-4.6017699115044275E-2</v>
      </c>
      <c r="L206" s="30">
        <f>IF(OR('GNI per capita'!AK205="",'GNI per capita'!AL205=""),"",'GNI per capita'!AL205/'GNI per capita'!AK205-1)</f>
        <v>-1.2987012987012991E-2</v>
      </c>
      <c r="M206" s="30">
        <f>IF(OR('GNI per capita'!AL205="",'GNI per capita'!AM205=""),"",'GNI per capita'!AM205/'GNI per capita'!AL205-1)</f>
        <v>0.17105263157894735</v>
      </c>
      <c r="N206" s="30">
        <f>IF(OR('GNI per capita'!AM205="",'GNI per capita'!AN205=""),"",'GNI per capita'!AN205/'GNI per capita'!AM205-1)</f>
        <v>0.101123595505618</v>
      </c>
      <c r="O206" s="30">
        <f>IF(OR('GNI per capita'!AN205="",'GNI per capita'!AO205=""),"",'GNI per capita'!AO205/'GNI per capita'!AN205-1)</f>
        <v>8.7463556851312685E-3</v>
      </c>
      <c r="P206" s="30">
        <f>IF(OR('GNI per capita'!AO205="",'GNI per capita'!AP205=""),"",'GNI per capita'!AP205/'GNI per capita'!AO205-1)</f>
        <v>7.8034682080924789E-2</v>
      </c>
      <c r="Q206" s="30">
        <f>IF(OR('GNI per capita'!AP205="",'GNI per capita'!AQ205=""),"",'GNI per capita'!AQ205/'GNI per capita'!AP205-1)</f>
        <v>0</v>
      </c>
      <c r="R206" s="30">
        <f>IF(OR('GNI per capita'!AQ205="",'GNI per capita'!AR205=""),"",'GNI per capita'!AR205/'GNI per capita'!AQ205-1)</f>
        <v>8.0428954423592547E-3</v>
      </c>
      <c r="S206" s="30">
        <f>IF(OR('GNI per capita'!AR205="",'GNI per capita'!AS205=""),"",'GNI per capita'!AS205/'GNI per capita'!AR205-1)</f>
        <v>5.9840425531914931E-2</v>
      </c>
      <c r="T206" s="30">
        <f>IF(OR('GNI per capita'!AS205="",'GNI per capita'!AT205=""),"",'GNI per capita'!AT205/'GNI per capita'!AS205-1)</f>
        <v>0.22710163111668757</v>
      </c>
      <c r="U206" s="2" t="s">
        <v>162</v>
      </c>
    </row>
    <row r="207" spans="1:21" x14ac:dyDescent="0.2">
      <c r="A207" s="2" t="s">
        <v>645</v>
      </c>
      <c r="B207" s="2" t="s">
        <v>646</v>
      </c>
      <c r="C207" s="11" t="s">
        <v>82</v>
      </c>
      <c r="D207" s="30">
        <f t="shared" si="12"/>
        <v>2.2029446087993731E-2</v>
      </c>
      <c r="E207" s="31">
        <f>Assumptions!$C$5</f>
        <v>1.244E-2</v>
      </c>
      <c r="F207" s="32">
        <f>IF($C207="L",Assumptions!$C$8,IF($C207="LM",Assumptions!$C$9,IF($C207="UM",Assumptions!$C$10,Assumptions!$C$11)))</f>
        <v>9.0712000000000001E-2</v>
      </c>
      <c r="G207" s="33">
        <f>IF(J207&lt;Assumptions!$C$13,"",MIN(MAX(D207,E207),F207))</f>
        <v>2.2029446087993731E-2</v>
      </c>
      <c r="H207" s="12" t="str">
        <f t="shared" si="13"/>
        <v>unadjusted</v>
      </c>
      <c r="I207" s="34">
        <f t="shared" si="14"/>
        <v>0</v>
      </c>
      <c r="J207" s="12">
        <f t="shared" si="15"/>
        <v>10</v>
      </c>
      <c r="K207" s="30">
        <f>IF(OR('GNI per capita'!AJ206="",'GNI per capita'!AK206=""),"",'GNI per capita'!AK206/'GNI per capita'!AJ206-1)</f>
        <v>-6.0430463576158888E-2</v>
      </c>
      <c r="L207" s="30">
        <f>IF(OR('GNI per capita'!AK206="",'GNI per capita'!AL206=""),"",'GNI per capita'!AL206/'GNI per capita'!AK206-1)</f>
        <v>-1.8502202643171817E-2</v>
      </c>
      <c r="M207" s="30">
        <f>IF(OR('GNI per capita'!AL206="",'GNI per capita'!AM206=""),"",'GNI per capita'!AM206/'GNI per capita'!AL206-1)</f>
        <v>-3.4111310592459643E-2</v>
      </c>
      <c r="N207" s="30">
        <f>IF(OR('GNI per capita'!AM206="",'GNI per capita'!AN206=""),"",'GNI per capita'!AN206/'GNI per capita'!AM206-1)</f>
        <v>-7.3420074349442421E-2</v>
      </c>
      <c r="O207" s="30">
        <f>IF(OR('GNI per capita'!AN206="",'GNI per capita'!AO206=""),"",'GNI per capita'!AO206/'GNI per capita'!AN206-1)</f>
        <v>-6.4192577733199641E-2</v>
      </c>
      <c r="P207" s="30">
        <f>IF(OR('GNI per capita'!AO206="",'GNI per capita'!AP206=""),"",'GNI per capita'!AP206/'GNI per capita'!AO206-1)</f>
        <v>9.646302250803851E-2</v>
      </c>
      <c r="Q207" s="30">
        <f>IF(OR('GNI per capita'!AP206="",'GNI per capita'!AQ206=""),"",'GNI per capita'!AQ206/'GNI per capita'!AP206-1)</f>
        <v>6.256109481915928E-2</v>
      </c>
      <c r="R207" s="30">
        <f>IF(OR('GNI per capita'!AQ206="",'GNI per capita'!AR206=""),"",'GNI per capita'!AR206/'GNI per capita'!AQ206-1)</f>
        <v>0.10211591536338549</v>
      </c>
      <c r="S207" s="30">
        <f>IF(OR('GNI per capita'!AR206="",'GNI per capita'!AS206=""),"",'GNI per capita'!AS206/'GNI per capita'!AR206-1)</f>
        <v>0.12103505843071782</v>
      </c>
      <c r="T207" s="30">
        <f>IF(OR('GNI per capita'!AS206="",'GNI per capita'!AT206=""),"",'GNI per capita'!AT206/'GNI per capita'!AS206-1)</f>
        <v>0.21370067014147431</v>
      </c>
      <c r="U207" s="2" t="s">
        <v>162</v>
      </c>
    </row>
    <row r="208" spans="1:21" x14ac:dyDescent="0.2">
      <c r="A208" s="2" t="s">
        <v>647</v>
      </c>
      <c r="B208" s="2" t="s">
        <v>648</v>
      </c>
      <c r="C208" s="11" t="s">
        <v>75</v>
      </c>
      <c r="D208" s="30">
        <f t="shared" si="12"/>
        <v>4.2123933045116968E-2</v>
      </c>
      <c r="E208" s="31">
        <f>Assumptions!$C$5</f>
        <v>1.244E-2</v>
      </c>
      <c r="F208" s="32">
        <f>IF($C208="L",Assumptions!$C$8,IF($C208="LM",Assumptions!$C$9,IF($C208="UM",Assumptions!$C$10,Assumptions!$C$11)))</f>
        <v>5.5947999999999998E-2</v>
      </c>
      <c r="G208" s="33">
        <f>IF(J208&lt;Assumptions!$C$13,"",MIN(MAX(D208,E208),F208))</f>
        <v>4.2123933045116968E-2</v>
      </c>
      <c r="H208" s="12" t="str">
        <f t="shared" si="13"/>
        <v>unadjusted</v>
      </c>
      <c r="I208" s="34">
        <f t="shared" si="14"/>
        <v>0</v>
      </c>
      <c r="J208" s="12">
        <f t="shared" si="15"/>
        <v>10</v>
      </c>
      <c r="K208" s="30">
        <f>IF(OR('GNI per capita'!AJ207="",'GNI per capita'!AK207=""),"",'GNI per capita'!AK207/'GNI per capita'!AJ207-1)</f>
        <v>-4.705882352941182E-2</v>
      </c>
      <c r="L208" s="30">
        <f>IF(OR('GNI per capita'!AK207="",'GNI per capita'!AL207=""),"",'GNI per capita'!AL207/'GNI per capita'!AK207-1)</f>
        <v>-6.1728395061728447E-2</v>
      </c>
      <c r="M208" s="30">
        <f>IF(OR('GNI per capita'!AL207="",'GNI per capita'!AM207=""),"",'GNI per capita'!AM207/'GNI per capita'!AL207-1)</f>
        <v>1.3157894736842035E-2</v>
      </c>
      <c r="N208" s="30">
        <f>IF(OR('GNI per capita'!AM207="",'GNI per capita'!AN207=""),"",'GNI per capita'!AN207/'GNI per capita'!AM207-1)</f>
        <v>5.1948051948051965E-2</v>
      </c>
      <c r="O208" s="30">
        <f>IF(OR('GNI per capita'!AN207="",'GNI per capita'!AO207=""),"",'GNI per capita'!AO207/'GNI per capita'!AN207-1)</f>
        <v>1.2345679012345734E-2</v>
      </c>
      <c r="P208" s="30">
        <f>IF(OR('GNI per capita'!AO207="",'GNI per capita'!AP207=""),"",'GNI per capita'!AP207/'GNI per capita'!AO207-1)</f>
        <v>4.8780487804878092E-2</v>
      </c>
      <c r="Q208" s="30">
        <f>IF(OR('GNI per capita'!AP207="",'GNI per capita'!AQ207=""),"",'GNI per capita'!AQ207/'GNI per capita'!AP207-1)</f>
        <v>8.1395348837209225E-2</v>
      </c>
      <c r="R208" s="30">
        <f>IF(OR('GNI per capita'!AQ207="",'GNI per capita'!AR207=""),"",'GNI per capita'!AR207/'GNI per capita'!AQ207-1)</f>
        <v>4.3010752688172005E-2</v>
      </c>
      <c r="S208" s="30">
        <f>IF(OR('GNI per capita'!AR207="",'GNI per capita'!AS207=""),"",'GNI per capita'!AS207/'GNI per capita'!AR207-1)</f>
        <v>4.1237113402061931E-2</v>
      </c>
      <c r="T208" s="30">
        <f>IF(OR('GNI per capita'!AS207="",'GNI per capita'!AT207=""),"",'GNI per capita'!AT207/'GNI per capita'!AS207-1)</f>
        <v>0.10891089108910901</v>
      </c>
      <c r="U208" s="2" t="s">
        <v>162</v>
      </c>
    </row>
    <row r="209" spans="1:21" x14ac:dyDescent="0.2">
      <c r="A209" s="2" t="s">
        <v>649</v>
      </c>
      <c r="B209" s="2" t="s">
        <v>650</v>
      </c>
      <c r="C209" s="11" t="s">
        <v>82</v>
      </c>
      <c r="D209" s="30">
        <f t="shared" si="12"/>
        <v>6.652399412937593E-2</v>
      </c>
      <c r="E209" s="31">
        <f>Assumptions!$C$5</f>
        <v>1.244E-2</v>
      </c>
      <c r="F209" s="32">
        <f>IF($C209="L",Assumptions!$C$8,IF($C209="LM",Assumptions!$C$9,IF($C209="UM",Assumptions!$C$10,Assumptions!$C$11)))</f>
        <v>9.0712000000000001E-2</v>
      </c>
      <c r="G209" s="33">
        <f>IF(J209&lt;Assumptions!$C$13,"",MIN(MAX(D209,E209),F209))</f>
        <v>6.652399412937593E-2</v>
      </c>
      <c r="H209" s="12" t="str">
        <f t="shared" si="13"/>
        <v>unadjusted</v>
      </c>
      <c r="I209" s="34">
        <f t="shared" si="14"/>
        <v>0</v>
      </c>
      <c r="J209" s="12">
        <f t="shared" si="15"/>
        <v>10</v>
      </c>
      <c r="K209" s="30">
        <f>IF(OR('GNI per capita'!AJ208="",'GNI per capita'!AK208=""),"",'GNI per capita'!AK208/'GNI per capita'!AJ208-1)</f>
        <v>-0.15579710144927539</v>
      </c>
      <c r="L209" s="30">
        <f>IF(OR('GNI per capita'!AK208="",'GNI per capita'!AL208=""),"",'GNI per capita'!AL208/'GNI per capita'!AK208-1)</f>
        <v>0</v>
      </c>
      <c r="M209" s="30">
        <f>IF(OR('GNI per capita'!AL208="",'GNI per capita'!AM208=""),"",'GNI per capita'!AM208/'GNI per capita'!AL208-1)</f>
        <v>0.16738197424892709</v>
      </c>
      <c r="N209" s="30">
        <f>IF(OR('GNI per capita'!AM208="",'GNI per capita'!AN208=""),"",'GNI per capita'!AN208/'GNI per capita'!AM208-1)</f>
        <v>0.20220588235294112</v>
      </c>
      <c r="O209" s="30">
        <f>IF(OR('GNI per capita'!AN208="",'GNI per capita'!AO208=""),"",'GNI per capita'!AO208/'GNI per capita'!AN208-1)</f>
        <v>7.9510703363914415E-2</v>
      </c>
      <c r="P209" s="30">
        <f>IF(OR('GNI per capita'!AO208="",'GNI per capita'!AP208=""),"",'GNI per capita'!AP208/'GNI per capita'!AO208-1)</f>
        <v>0.15014164305949018</v>
      </c>
      <c r="Q209" s="30">
        <f>IF(OR('GNI per capita'!AP208="",'GNI per capita'!AQ208=""),"",'GNI per capita'!AQ208/'GNI per capita'!AP208-1)</f>
        <v>-3.2019704433497553E-2</v>
      </c>
      <c r="R209" s="30">
        <f>IF(OR('GNI per capita'!AQ208="",'GNI per capita'!AR208=""),"",'GNI per capita'!AR208/'GNI per capita'!AQ208-1)</f>
        <v>0.26717557251908386</v>
      </c>
      <c r="S209" s="30">
        <f>IF(OR('GNI per capita'!AR208="",'GNI per capita'!AS208=""),"",'GNI per capita'!AS208/'GNI per capita'!AR208-1)</f>
        <v>5.0200803212851364E-2</v>
      </c>
      <c r="T209" s="30">
        <f>IF(OR('GNI per capita'!AS208="",'GNI per capita'!AT208=""),"",'GNI per capita'!AT208/'GNI per capita'!AS208-1)</f>
        <v>5.3537284894837445E-2</v>
      </c>
      <c r="U209" s="2" t="s">
        <v>162</v>
      </c>
    </row>
    <row r="210" spans="1:21" x14ac:dyDescent="0.2">
      <c r="A210" s="2" t="s">
        <v>651</v>
      </c>
      <c r="B210" s="2" t="s">
        <v>652</v>
      </c>
      <c r="C210" s="11" t="s">
        <v>79</v>
      </c>
      <c r="D210" s="30">
        <f t="shared" si="12"/>
        <v>4.6477850399418985E-2</v>
      </c>
      <c r="E210" s="31">
        <f>Assumptions!$C$5</f>
        <v>1.244E-2</v>
      </c>
      <c r="F210" s="32">
        <f>IF($C210="L",Assumptions!$C$8,IF($C210="LM",Assumptions!$C$9,IF($C210="UM",Assumptions!$C$10,Assumptions!$C$11)))</f>
        <v>7.1689000000000003E-2</v>
      </c>
      <c r="G210" s="33">
        <f>IF(J210&lt;Assumptions!$C$13,"",MIN(MAX(D210,E210),F210))</f>
        <v>4.6477850399418985E-2</v>
      </c>
      <c r="H210" s="12" t="str">
        <f t="shared" si="13"/>
        <v>unadjusted</v>
      </c>
      <c r="I210" s="34">
        <f t="shared" si="14"/>
        <v>0</v>
      </c>
      <c r="J210" s="12">
        <f t="shared" si="15"/>
        <v>9</v>
      </c>
      <c r="K210" s="30">
        <f>IF(OR('GNI per capita'!AJ209="",'GNI per capita'!AK209=""),"",'GNI per capita'!AK209/'GNI per capita'!AJ209-1)</f>
        <v>-7.6215243048609715E-2</v>
      </c>
      <c r="L210" s="30">
        <f>IF(OR('GNI per capita'!AK209="",'GNI per capita'!AL209=""),"",'GNI per capita'!AL209/'GNI per capita'!AK209-1)</f>
        <v>-8.5534863577306219E-2</v>
      </c>
      <c r="M210" s="30">
        <f>IF(OR('GNI per capita'!AL209="",'GNI per capita'!AM209=""),"",'GNI per capita'!AM209/'GNI per capita'!AL209-1)</f>
        <v>5.5410845370589712E-2</v>
      </c>
      <c r="N210" s="30">
        <f>IF(OR('GNI per capita'!AM209="",'GNI per capita'!AN209=""),"",'GNI per capita'!AN209/'GNI per capita'!AM209-1)</f>
        <v>4.7565627103432817E-2</v>
      </c>
      <c r="O210" s="30">
        <f>IF(OR('GNI per capita'!AN209="",'GNI per capita'!AO209=""),"",'GNI per capita'!AO209/'GNI per capita'!AN209-1)</f>
        <v>-0.11522810023559649</v>
      </c>
      <c r="P210" s="30">
        <f>IF(OR('GNI per capita'!AO209="",'GNI per capita'!AP209=""),"",'GNI per capita'!AP209/'GNI per capita'!AO209-1)</f>
        <v>4.6477850399418985E-2</v>
      </c>
      <c r="Q210" s="30">
        <f>IF(OR('GNI per capita'!AP209="",'GNI per capita'!AQ209=""),"",'GNI per capita'!AQ209/'GNI per capita'!AP209-1)</f>
        <v>8.6976636594957135E-2</v>
      </c>
      <c r="R210" s="30">
        <f>IF(OR('GNI per capita'!AQ209="",'GNI per capita'!AR209=""),"",'GNI per capita'!AR209/'GNI per capita'!AQ209-1)</f>
        <v>8.746541817407949E-2</v>
      </c>
      <c r="S210" s="30">
        <f>IF(OR('GNI per capita'!AR209="",'GNI per capita'!AS209=""),"",'GNI per capita'!AS209/'GNI per capita'!AR209-1)</f>
        <v>8.8062622309197369E-3</v>
      </c>
      <c r="T210" s="30" t="str">
        <f>IF(OR('GNI per capita'!AS209="",'GNI per capita'!AT209=""),"",'GNI per capita'!AT209/'GNI per capita'!AS209-1)</f>
        <v/>
      </c>
      <c r="U210" s="2" t="s">
        <v>162</v>
      </c>
    </row>
    <row r="211" spans="1:21" x14ac:dyDescent="0.2">
      <c r="A211" s="2" t="s">
        <v>653</v>
      </c>
      <c r="B211" s="2" t="s">
        <v>654</v>
      </c>
      <c r="C211" s="11" t="s">
        <v>79</v>
      </c>
      <c r="D211" s="30">
        <f t="shared" si="12"/>
        <v>1.0073953332762842E-2</v>
      </c>
      <c r="E211" s="31">
        <f>Assumptions!$C$5</f>
        <v>1.244E-2</v>
      </c>
      <c r="F211" s="32">
        <f>IF($C211="L",Assumptions!$C$8,IF($C211="LM",Assumptions!$C$9,IF($C211="UM",Assumptions!$C$10,Assumptions!$C$11)))</f>
        <v>7.1689000000000003E-2</v>
      </c>
      <c r="G211" s="33">
        <f>IF(J211&lt;Assumptions!$C$13,"",MIN(MAX(D211,E211),F211))</f>
        <v>1.244E-2</v>
      </c>
      <c r="H211" s="12" t="str">
        <f t="shared" si="13"/>
        <v>raised by floor</v>
      </c>
      <c r="I211" s="34">
        <f t="shared" si="14"/>
        <v>2.366046667237158E-3</v>
      </c>
      <c r="J211" s="12">
        <f t="shared" si="15"/>
        <v>10</v>
      </c>
      <c r="K211" s="30">
        <f>IF(OR('GNI per capita'!AJ210="",'GNI per capita'!AK210=""),"",'GNI per capita'!AK210/'GNI per capita'!AJ210-1)</f>
        <v>-2.9576518037194743E-2</v>
      </c>
      <c r="L211" s="30">
        <f>IF(OR('GNI per capita'!AK210="",'GNI per capita'!AL210=""),"",'GNI per capita'!AL210/'GNI per capita'!AK210-1)</f>
        <v>-2.7014546294158448E-2</v>
      </c>
      <c r="M211" s="30">
        <f>IF(OR('GNI per capita'!AL210="",'GNI per capita'!AM210=""),"",'GNI per capita'!AM210/'GNI per capita'!AL210-1)</f>
        <v>9.492168960607561E-3</v>
      </c>
      <c r="N211" s="30">
        <f>IF(OR('GNI per capita'!AM210="",'GNI per capita'!AN210=""),"",'GNI per capita'!AN210/'GNI per capita'!AM210-1)</f>
        <v>2.5858015984955296E-2</v>
      </c>
      <c r="O211" s="30">
        <f>IF(OR('GNI per capita'!AN210="",'GNI per capita'!AO210=""),"",'GNI per capita'!AO210/'GNI per capita'!AN210-1)</f>
        <v>-9.8304307974335425E-2</v>
      </c>
      <c r="P211" s="30">
        <f>IF(OR('GNI per capita'!AO210="",'GNI per capita'!AP210=""),"",'GNI per capita'!AP210/'GNI per capita'!AO210-1)</f>
        <v>0.16594663278271926</v>
      </c>
      <c r="Q211" s="30">
        <f>IF(OR('GNI per capita'!AP210="",'GNI per capita'!AQ210=""),"",'GNI per capita'!AQ210/'GNI per capita'!AP210-1)</f>
        <v>8.3042720139494319E-2</v>
      </c>
      <c r="R211" s="30">
        <f>IF(OR('GNI per capita'!AQ210="",'GNI per capita'!AR210=""),"",'GNI per capita'!AR210/'GNI per capita'!AQ210-1)</f>
        <v>-1.7911048500704352E-2</v>
      </c>
      <c r="S211" s="30">
        <f>IF(OR('GNI per capita'!AR210="",'GNI per capita'!AS210=""),"",'GNI per capita'!AS210/'GNI per capita'!AR210-1)</f>
        <v>1.0655737704918122E-2</v>
      </c>
      <c r="T211" s="30">
        <f>IF(OR('GNI per capita'!AS210="",'GNI per capita'!AT210=""),"",'GNI per capita'!AT210/'GNI per capita'!AS210-1)</f>
        <v>0.10604217356042178</v>
      </c>
      <c r="U211" s="28" t="s">
        <v>412</v>
      </c>
    </row>
    <row r="212" spans="1:21" x14ac:dyDescent="0.2">
      <c r="A212" s="2" t="s">
        <v>655</v>
      </c>
      <c r="B212" s="2" t="s">
        <v>656</v>
      </c>
      <c r="C212" s="11" t="s">
        <v>79</v>
      </c>
      <c r="D212" s="30">
        <f t="shared" si="12"/>
        <v>4.0719691558493087E-2</v>
      </c>
      <c r="E212" s="31">
        <f>Assumptions!$C$5</f>
        <v>1.244E-2</v>
      </c>
      <c r="F212" s="32">
        <f>IF($C212="L",Assumptions!$C$8,IF($C212="LM",Assumptions!$C$9,IF($C212="UM",Assumptions!$C$10,Assumptions!$C$11)))</f>
        <v>7.1689000000000003E-2</v>
      </c>
      <c r="G212" s="33">
        <f>IF(J212&lt;Assumptions!$C$13,"",MIN(MAX(D212,E212),F212))</f>
        <v>4.0719691558493087E-2</v>
      </c>
      <c r="H212" s="12" t="str">
        <f t="shared" si="13"/>
        <v>unadjusted</v>
      </c>
      <c r="I212" s="34">
        <f t="shared" si="14"/>
        <v>0</v>
      </c>
      <c r="J212" s="12">
        <f t="shared" si="15"/>
        <v>10</v>
      </c>
      <c r="K212" s="30">
        <f>IF(OR('GNI per capita'!AJ211="",'GNI per capita'!AK211=""),"",'GNI per capita'!AK211/'GNI per capita'!AJ211-1)</f>
        <v>9.0553977272727071E-3</v>
      </c>
      <c r="L212" s="30">
        <f>IF(OR('GNI per capita'!AK211="",'GNI per capita'!AL211=""),"",'GNI per capita'!AL211/'GNI per capita'!AK211-1)</f>
        <v>3.5720570121414719E-2</v>
      </c>
      <c r="M212" s="30">
        <f>IF(OR('GNI per capita'!AL211="",'GNI per capita'!AM211=""),"",'GNI per capita'!AM211/'GNI per capita'!AL211-1)</f>
        <v>7.1015970098538883E-2</v>
      </c>
      <c r="N212" s="30">
        <f>IF(OR('GNI per capita'!AM211="",'GNI per capita'!AN211=""),"",'GNI per capita'!AN211/'GNI per capita'!AM211-1)</f>
        <v>4.4416243654822329E-2</v>
      </c>
      <c r="O212" s="30">
        <f>IF(OR('GNI per capita'!AN211="",'GNI per capita'!AO211=""),"",'GNI per capita'!AO211/'GNI per capita'!AN211-1)</f>
        <v>-1.8377885783718129E-2</v>
      </c>
      <c r="P212" s="30">
        <f>IF(OR('GNI per capita'!AO211="",'GNI per capita'!AP211=""),"",'GNI per capita'!AP211/'GNI per capita'!AO211-1)</f>
        <v>0.10645211202228078</v>
      </c>
      <c r="Q212" s="30">
        <f>IF(OR('GNI per capita'!AP211="",'GNI per capita'!AQ211=""),"",'GNI per capita'!AQ211/'GNI per capita'!AP211-1)</f>
        <v>7.9988812753461147E-2</v>
      </c>
      <c r="R212" s="30">
        <f>IF(OR('GNI per capita'!AQ211="",'GNI per capita'!AR211=""),"",'GNI per capita'!AR211/'GNI per capita'!AQ211-1)</f>
        <v>3.5219474297552678E-2</v>
      </c>
      <c r="S212" s="30">
        <f>IF(OR('GNI per capita'!AR211="",'GNI per capita'!AS211=""),"",'GNI per capita'!AS211/'GNI per capita'!AR211-1)</f>
        <v>3.7023139462163845E-2</v>
      </c>
      <c r="T212" s="30">
        <f>IF(OR('GNI per capita'!AS211="",'GNI per capita'!AT211=""),"",'GNI per capita'!AT211/'GNI per capita'!AS211-1)</f>
        <v>7.1161500422144419E-2</v>
      </c>
      <c r="U212" s="2" t="s">
        <v>162</v>
      </c>
    </row>
    <row r="213" spans="1:21" x14ac:dyDescent="0.2">
      <c r="A213" s="2" t="s">
        <v>657</v>
      </c>
      <c r="B213" s="2" t="s">
        <v>658</v>
      </c>
      <c r="C213" s="11" t="s">
        <v>79</v>
      </c>
      <c r="D213" s="30">
        <f t="shared" si="12"/>
        <v>4.8797745519422508E-2</v>
      </c>
      <c r="E213" s="31">
        <f>Assumptions!$C$5</f>
        <v>1.244E-2</v>
      </c>
      <c r="F213" s="32">
        <f>IF($C213="L",Assumptions!$C$8,IF($C213="LM",Assumptions!$C$9,IF($C213="UM",Assumptions!$C$10,Assumptions!$C$11)))</f>
        <v>7.1689000000000003E-2</v>
      </c>
      <c r="G213" s="33">
        <f>IF(J213&lt;Assumptions!$C$13,"",MIN(MAX(D213,E213),F213))</f>
        <v>4.8797745519422508E-2</v>
      </c>
      <c r="H213" s="12" t="str">
        <f t="shared" si="13"/>
        <v>unadjusted</v>
      </c>
      <c r="I213" s="34">
        <f t="shared" si="14"/>
        <v>0</v>
      </c>
      <c r="J213" s="12">
        <f t="shared" si="15"/>
        <v>10</v>
      </c>
      <c r="K213" s="30">
        <f>IF(OR('GNI per capita'!AJ212="",'GNI per capita'!AK212=""),"",'GNI per capita'!AK212/'GNI per capita'!AJ212-1)</f>
        <v>-3.3977738722905659E-2</v>
      </c>
      <c r="L213" s="30">
        <f>IF(OR('GNI per capita'!AK212="",'GNI per capita'!AL212=""),"",'GNI per capita'!AL212/'GNI per capita'!AK212-1)</f>
        <v>1.3947847180109108E-2</v>
      </c>
      <c r="M213" s="30">
        <f>IF(OR('GNI per capita'!AL212="",'GNI per capita'!AM212=""),"",'GNI per capita'!AM212/'GNI per capita'!AL212-1)</f>
        <v>5.8612440191387449E-2</v>
      </c>
      <c r="N213" s="30">
        <f>IF(OR('GNI per capita'!AM212="",'GNI per capita'!AN212=""),"",'GNI per capita'!AN212/'GNI per capita'!AM212-1)</f>
        <v>3.8983050847457568E-2</v>
      </c>
      <c r="O213" s="30">
        <f>IF(OR('GNI per capita'!AN212="",'GNI per capita'!AO212=""),"",'GNI per capita'!AO212/'GNI per capita'!AN212-1)</f>
        <v>-0.12289287656334968</v>
      </c>
      <c r="P213" s="30">
        <f>IF(OR('GNI per capita'!AO212="",'GNI per capita'!AP212=""),"",'GNI per capita'!AP212/'GNI per capita'!AO212-1)</f>
        <v>5.5796652200867936E-3</v>
      </c>
      <c r="Q213" s="30">
        <f>IF(OR('GNI per capita'!AP212="",'GNI per capita'!AQ212=""),"",'GNI per capita'!AQ212/'GNI per capita'!AP212-1)</f>
        <v>0.11282367447595565</v>
      </c>
      <c r="R213" s="30">
        <f>IF(OR('GNI per capita'!AQ212="",'GNI per capita'!AR212=""),"",'GNI per capita'!AR212/'GNI per capita'!AQ212-1)</f>
        <v>0.11191135734072022</v>
      </c>
      <c r="S213" s="30">
        <f>IF(OR('GNI per capita'!AR212="",'GNI per capita'!AS212=""),"",'GNI per capita'!AS212/'GNI per capita'!AR212-1)</f>
        <v>9.6163428001992957E-2</v>
      </c>
      <c r="T213" s="30">
        <f>IF(OR('GNI per capita'!AS212="",'GNI per capita'!AT212=""),"",'GNI per capita'!AT212/'GNI per capita'!AS212-1)</f>
        <v>9.1818181818181799E-2</v>
      </c>
      <c r="U213" s="2" t="s">
        <v>162</v>
      </c>
    </row>
    <row r="214" spans="1:21" x14ac:dyDescent="0.2">
      <c r="A214" s="2" t="s">
        <v>659</v>
      </c>
      <c r="B214" s="2" t="s">
        <v>660</v>
      </c>
      <c r="C214" s="11" t="s">
        <v>210</v>
      </c>
      <c r="D214" s="30">
        <f t="shared" si="12"/>
        <v>5.9082043008163443E-2</v>
      </c>
      <c r="E214" s="31">
        <f>Assumptions!$C$5</f>
        <v>1.244E-2</v>
      </c>
      <c r="F214" s="32">
        <f>IF($C214="L",Assumptions!$C$8,IF($C214="LM",Assumptions!$C$9,IF($C214="UM",Assumptions!$C$10,Assumptions!$C$11)))</f>
        <v>7.4680999999999997E-2</v>
      </c>
      <c r="G214" s="33">
        <f>IF(J214&lt;Assumptions!$C$13,"",MIN(MAX(D214,E214),F214))</f>
        <v>5.9082043008163443E-2</v>
      </c>
      <c r="H214" s="12" t="str">
        <f t="shared" si="13"/>
        <v>unadjusted</v>
      </c>
      <c r="I214" s="34">
        <f t="shared" si="14"/>
        <v>0</v>
      </c>
      <c r="J214" s="12">
        <f t="shared" si="15"/>
        <v>10</v>
      </c>
      <c r="K214" s="30">
        <f>IF(OR('GNI per capita'!AJ213="",'GNI per capita'!AK213=""),"",'GNI per capita'!AK213/'GNI per capita'!AJ213-1)</f>
        <v>1.8927444794952786E-2</v>
      </c>
      <c r="L214" s="30">
        <f>IF(OR('GNI per capita'!AK213="",'GNI per capita'!AL213=""),"",'GNI per capita'!AL213/'GNI per capita'!AK213-1)</f>
        <v>-0.10526315789473684</v>
      </c>
      <c r="M214" s="30">
        <f>IF(OR('GNI per capita'!AL213="",'GNI per capita'!AM213=""),"",'GNI per capita'!AM213/'GNI per capita'!AL213-1)</f>
        <v>-0.13840830449826991</v>
      </c>
      <c r="N214" s="30">
        <f>IF(OR('GNI per capita'!AM213="",'GNI per capita'!AN213=""),"",'GNI per capita'!AN213/'GNI per capita'!AM213-1)</f>
        <v>-0.10040160642570284</v>
      </c>
      <c r="O214" s="30">
        <f>IF(OR('GNI per capita'!AN213="",'GNI per capita'!AO213=""),"",'GNI per capita'!AO213/'GNI per capita'!AN213-1)</f>
        <v>-6.6964285714285698E-2</v>
      </c>
      <c r="P214" s="30">
        <f>IF(OR('GNI per capita'!AO213="",'GNI per capita'!AP213=""),"",'GNI per capita'!AP213/'GNI per capita'!AO213-1)</f>
        <v>0.12918660287081329</v>
      </c>
      <c r="Q214" s="30">
        <f>IF(OR('GNI per capita'!AP213="",'GNI per capita'!AQ213=""),"",'GNI per capita'!AQ213/'GNI per capita'!AP213-1)</f>
        <v>0.11016949152542366</v>
      </c>
      <c r="R214" s="30">
        <f>IF(OR('GNI per capita'!AQ213="",'GNI per capita'!AR213=""),"",'GNI per capita'!AR213/'GNI per capita'!AQ213-1)</f>
        <v>9.92366412213741E-2</v>
      </c>
      <c r="S214" s="30">
        <f>IF(OR('GNI per capita'!AR213="",'GNI per capita'!AS213=""),"",'GNI per capita'!AS213/'GNI per capita'!AR213-1)</f>
        <v>0.10069444444444442</v>
      </c>
      <c r="T214" s="30">
        <f>IF(OR('GNI per capita'!AS213="",'GNI per capita'!AT213=""),"",'GNI per capita'!AT213/'GNI per capita'!AS213-1)</f>
        <v>0.15772870662460559</v>
      </c>
      <c r="U214" s="2" t="s">
        <v>162</v>
      </c>
    </row>
    <row r="215" spans="1:21" x14ac:dyDescent="0.2">
      <c r="A215" s="2" t="s">
        <v>661</v>
      </c>
      <c r="B215" s="2" t="s">
        <v>662</v>
      </c>
      <c r="C215" s="11" t="s">
        <v>210</v>
      </c>
      <c r="D215" s="30">
        <f t="shared" si="12"/>
        <v>5.0453040007846117E-2</v>
      </c>
      <c r="E215" s="31">
        <f>Assumptions!$C$5</f>
        <v>1.244E-2</v>
      </c>
      <c r="F215" s="32">
        <f>IF($C215="L",Assumptions!$C$8,IF($C215="LM",Assumptions!$C$9,IF($C215="UM",Assumptions!$C$10,Assumptions!$C$11)))</f>
        <v>7.4680999999999997E-2</v>
      </c>
      <c r="G215" s="33">
        <f>IF(J215&lt;Assumptions!$C$13,"",MIN(MAX(D215,E215),F215))</f>
        <v>5.0453040007846117E-2</v>
      </c>
      <c r="H215" s="12" t="str">
        <f t="shared" si="13"/>
        <v>unadjusted</v>
      </c>
      <c r="I215" s="34">
        <f t="shared" si="14"/>
        <v>0</v>
      </c>
      <c r="J215" s="12">
        <f t="shared" si="15"/>
        <v>10</v>
      </c>
      <c r="K215" s="30">
        <f>IF(OR('GNI per capita'!AJ214="",'GNI per capita'!AK214=""),"",'GNI per capita'!AK214/'GNI per capita'!AJ214-1)</f>
        <v>-2.9411764705882248E-3</v>
      </c>
      <c r="L215" s="30">
        <f>IF(OR('GNI per capita'!AK214="",'GNI per capita'!AL214=""),"",'GNI per capita'!AL214/'GNI per capita'!AK214-1)</f>
        <v>4.71976401179941E-2</v>
      </c>
      <c r="M215" s="30">
        <f>IF(OR('GNI per capita'!AL214="",'GNI per capita'!AM214=""),"",'GNI per capita'!AM214/'GNI per capita'!AL214-1)</f>
        <v>0.10140845070422544</v>
      </c>
      <c r="N215" s="30">
        <f>IF(OR('GNI per capita'!AM214="",'GNI per capita'!AN214=""),"",'GNI per capita'!AN214/'GNI per capita'!AM214-1)</f>
        <v>5.3708439897698135E-2</v>
      </c>
      <c r="O215" s="30">
        <f>IF(OR('GNI per capita'!AN214="",'GNI per capita'!AO214=""),"",'GNI per capita'!AO214/'GNI per capita'!AN214-1)</f>
        <v>-9.2233009708737823E-2</v>
      </c>
      <c r="P215" s="30">
        <f>IF(OR('GNI per capita'!AO214="",'GNI per capita'!AP214=""),"",'GNI per capita'!AP214/'GNI per capita'!AO214-1)</f>
        <v>6.6844919786096302E-2</v>
      </c>
      <c r="Q215" s="30">
        <f>IF(OR('GNI per capita'!AP214="",'GNI per capita'!AQ214=""),"",'GNI per capita'!AQ214/'GNI per capita'!AP214-1)</f>
        <v>8.7719298245614086E-2</v>
      </c>
      <c r="R215" s="30">
        <f>IF(OR('GNI per capita'!AQ214="",'GNI per capita'!AR214=""),"",'GNI per capita'!AR214/'GNI per capita'!AQ214-1)</f>
        <v>-2.9953917050691281E-2</v>
      </c>
      <c r="S215" s="30">
        <f>IF(OR('GNI per capita'!AR214="",'GNI per capita'!AS214=""),"",'GNI per capita'!AS214/'GNI per capita'!AR214-1)</f>
        <v>-1.9002375296912066E-2</v>
      </c>
      <c r="T215" s="30">
        <f>IF(OR('GNI per capita'!AS214="",'GNI per capita'!AT214=""),"",'GNI per capita'!AT214/'GNI per capita'!AS214-1)</f>
        <v>6.7796610169491567E-2</v>
      </c>
      <c r="U215" s="2" t="s">
        <v>162</v>
      </c>
    </row>
    <row r="216" spans="1:21" x14ac:dyDescent="0.2">
      <c r="A216" s="2" t="s">
        <v>663</v>
      </c>
      <c r="B216" s="2" t="s">
        <v>664</v>
      </c>
      <c r="C216" s="11" t="s">
        <v>210</v>
      </c>
      <c r="D216" s="30">
        <f t="shared" si="12"/>
        <v>-2.281956214689268E-2</v>
      </c>
      <c r="E216" s="31">
        <f>Assumptions!$C$5</f>
        <v>1.244E-2</v>
      </c>
      <c r="F216" s="32">
        <f>IF($C216="L",Assumptions!$C$8,IF($C216="LM",Assumptions!$C$9,IF($C216="UM",Assumptions!$C$10,Assumptions!$C$11)))</f>
        <v>7.4680999999999997E-2</v>
      </c>
      <c r="G216" s="33">
        <f>IF(J216&lt;Assumptions!$C$13,"",MIN(MAX(D216,E216),F216))</f>
        <v>1.244E-2</v>
      </c>
      <c r="H216" s="12" t="str">
        <f t="shared" si="13"/>
        <v>raised by floor</v>
      </c>
      <c r="I216" s="34">
        <f t="shared" si="14"/>
        <v>3.525956214689268E-2</v>
      </c>
      <c r="J216" s="12">
        <f t="shared" si="15"/>
        <v>10</v>
      </c>
      <c r="K216" s="30">
        <f>IF(OR('GNI per capita'!AJ215="",'GNI per capita'!AK215=""),"",'GNI per capita'!AK215/'GNI per capita'!AJ215-1)</f>
        <v>-0.30303030303030298</v>
      </c>
      <c r="L216" s="30">
        <f>IF(OR('GNI per capita'!AK215="",'GNI per capita'!AL215=""),"",'GNI per capita'!AL215/'GNI per capita'!AK215-1)</f>
        <v>-0.19836956521739135</v>
      </c>
      <c r="M216" s="30">
        <f>IF(OR('GNI per capita'!AL215="",'GNI per capita'!AM215=""),"",'GNI per capita'!AM215/'GNI per capita'!AL215-1)</f>
        <v>-5.084745762711862E-2</v>
      </c>
      <c r="N216" s="30">
        <f>IF(OR('GNI per capita'!AM215="",'GNI per capita'!AN215=""),"",'GNI per capita'!AN215/'GNI per capita'!AM215-1)</f>
        <v>-0.15357142857142858</v>
      </c>
      <c r="O216" s="30">
        <f>IF(OR('GNI per capita'!AN215="",'GNI per capita'!AO215=""),"",'GNI per capita'!AO215/'GNI per capita'!AN215-1)</f>
        <v>-0.29535864978902948</v>
      </c>
      <c r="P216" s="30">
        <f>IF(OR('GNI per capita'!AO215="",'GNI per capita'!AP215=""),"",'GNI per capita'!AP215/'GNI per capita'!AO215-1)</f>
        <v>7.1856287425149601E-2</v>
      </c>
      <c r="Q216" s="30">
        <f>IF(OR('GNI per capita'!AP215="",'GNI per capita'!AQ215=""),"",'GNI per capita'!AQ215/'GNI per capita'!AP215-1)</f>
        <v>0.26256983240223453</v>
      </c>
      <c r="R216" s="30">
        <f>IF(OR('GNI per capita'!AQ215="",'GNI per capita'!AR215=""),"",'GNI per capita'!AR215/'GNI per capita'!AQ215-1)</f>
        <v>0.34513274336283195</v>
      </c>
      <c r="S216" s="30">
        <f>IF(OR('GNI per capita'!AR215="",'GNI per capita'!AS215=""),"",'GNI per capita'!AS215/'GNI per capita'!AR215-1)</f>
        <v>0.26315789473684204</v>
      </c>
      <c r="T216" s="30">
        <f>IF(OR('GNI per capita'!AS215="",'GNI per capita'!AT215=""),"",'GNI per capita'!AT215/'GNI per capita'!AS215-1)</f>
        <v>5.2083333333332593E-3</v>
      </c>
      <c r="U216" s="28" t="s">
        <v>665</v>
      </c>
    </row>
    <row r="217" spans="1:21" x14ac:dyDescent="0.2">
      <c r="A217" s="2" t="s">
        <v>666</v>
      </c>
      <c r="B217" s="2" t="s">
        <v>667</v>
      </c>
      <c r="C217" s="11" t="s">
        <v>82</v>
      </c>
      <c r="D217" s="30">
        <f t="shared" si="12"/>
        <v>6.5708031400966149E-2</v>
      </c>
      <c r="E217" s="31">
        <f>Assumptions!$C$5</f>
        <v>1.244E-2</v>
      </c>
      <c r="F217" s="32">
        <f>IF($C217="L",Assumptions!$C$8,IF($C217="LM",Assumptions!$C$9,IF($C217="UM",Assumptions!$C$10,Assumptions!$C$11)))</f>
        <v>9.0712000000000001E-2</v>
      </c>
      <c r="G217" s="33">
        <f>IF(J217&lt;Assumptions!$C$13,"",MIN(MAX(D217,E217),F217))</f>
        <v>6.5708031400966149E-2</v>
      </c>
      <c r="H217" s="12" t="str">
        <f t="shared" si="13"/>
        <v>unadjusted</v>
      </c>
      <c r="I217" s="34">
        <f t="shared" si="14"/>
        <v>0</v>
      </c>
      <c r="J217" s="12">
        <f t="shared" si="15"/>
        <v>10</v>
      </c>
      <c r="K217" s="30">
        <f>IF(OR('GNI per capita'!AJ216="",'GNI per capita'!AK216=""),"",'GNI per capita'!AK216/'GNI per capita'!AJ216-1)</f>
        <v>4.0650406504065151E-2</v>
      </c>
      <c r="L217" s="30">
        <f>IF(OR('GNI per capita'!AK216="",'GNI per capita'!AL216=""),"",'GNI per capita'!AL216/'GNI per capita'!AK216-1)</f>
        <v>4.6875E-2</v>
      </c>
      <c r="M217" s="30">
        <f>IF(OR('GNI per capita'!AL216="",'GNI per capita'!AM216=""),"",'GNI per capita'!AM216/'GNI per capita'!AL216-1)</f>
        <v>0.12686567164179108</v>
      </c>
      <c r="N217" s="30">
        <f>IF(OR('GNI per capita'!AM216="",'GNI per capita'!AN216=""),"",'GNI per capita'!AN216/'GNI per capita'!AM216-1)</f>
        <v>8.9403973509933676E-2</v>
      </c>
      <c r="O217" s="30">
        <f>IF(OR('GNI per capita'!AN216="",'GNI per capita'!AO216=""),"",'GNI per capita'!AO216/'GNI per capita'!AN216-1)</f>
        <v>3.3434650455927084E-2</v>
      </c>
      <c r="P217" s="30">
        <f>IF(OR('GNI per capita'!AO216="",'GNI per capita'!AP216=""),"",'GNI per capita'!AP216/'GNI per capita'!AO216-1)</f>
        <v>4.117647058823537E-2</v>
      </c>
      <c r="Q217" s="30">
        <f>IF(OR('GNI per capita'!AP216="",'GNI per capita'!AQ216=""),"",'GNI per capita'!AQ216/'GNI per capita'!AP216-1)</f>
        <v>0.12429378531073443</v>
      </c>
      <c r="R217" s="30">
        <f>IF(OR('GNI per capita'!AQ216="",'GNI per capita'!AR216=""),"",'GNI per capita'!AR216/'GNI per capita'!AQ216-1)</f>
        <v>4.020100502512558E-2</v>
      </c>
      <c r="S217" s="30">
        <f>IF(OR('GNI per capita'!AR216="",'GNI per capita'!AS216=""),"",'GNI per capita'!AS216/'GNI per capita'!AR216-1)</f>
        <v>8.4541062801932298E-2</v>
      </c>
      <c r="T217" s="30">
        <f>IF(OR('GNI per capita'!AS216="",'GNI per capita'!AT216=""),"",'GNI per capita'!AT216/'GNI per capita'!AS216-1)</f>
        <v>0.10690423162583529</v>
      </c>
      <c r="U217" s="2" t="s">
        <v>162</v>
      </c>
    </row>
    <row r="218" spans="1:21" x14ac:dyDescent="0.2">
      <c r="A218" s="2" t="s">
        <v>668</v>
      </c>
      <c r="B218" s="2" t="s">
        <v>669</v>
      </c>
      <c r="C218" s="11" t="s">
        <v>79</v>
      </c>
      <c r="D218" s="30" t="str">
        <f t="shared" si="12"/>
        <v/>
      </c>
      <c r="E218" s="31">
        <f>Assumptions!$C$5</f>
        <v>1.244E-2</v>
      </c>
      <c r="F218" s="32">
        <f>IF($C218="L",Assumptions!$C$8,IF($C218="LM",Assumptions!$C$9,IF($C218="UM",Assumptions!$C$10,Assumptions!$C$11)))</f>
        <v>7.1689000000000003E-2</v>
      </c>
      <c r="G218" s="33" t="str">
        <f>IF(J218&lt;Assumptions!$C$13,"",MIN(MAX(D218,E218),F218))</f>
        <v/>
      </c>
      <c r="H218" s="12" t="str">
        <f t="shared" si="13"/>
        <v>frozen</v>
      </c>
      <c r="I218" s="34" t="str">
        <f t="shared" si="14"/>
        <v/>
      </c>
      <c r="J218" s="12">
        <f t="shared" si="15"/>
        <v>0</v>
      </c>
      <c r="K218" s="30" t="str">
        <f>IF(OR('GNI per capita'!AJ217="",'GNI per capita'!AK217=""),"",'GNI per capita'!AK217/'GNI per capita'!AJ217-1)</f>
        <v/>
      </c>
      <c r="L218" s="30" t="str">
        <f>IF(OR('GNI per capita'!AK217="",'GNI per capita'!AL217=""),"",'GNI per capita'!AL217/'GNI per capita'!AK217-1)</f>
        <v/>
      </c>
      <c r="M218" s="30" t="str">
        <f>IF(OR('GNI per capita'!AL217="",'GNI per capita'!AM217=""),"",'GNI per capita'!AM217/'GNI per capita'!AL217-1)</f>
        <v/>
      </c>
      <c r="N218" s="30" t="str">
        <f>IF(OR('GNI per capita'!AM217="",'GNI per capita'!AN217=""),"",'GNI per capita'!AN217/'GNI per capita'!AM217-1)</f>
        <v/>
      </c>
      <c r="O218" s="30" t="str">
        <f>IF(OR('GNI per capita'!AN217="",'GNI per capita'!AO217=""),"",'GNI per capita'!AO217/'GNI per capita'!AN217-1)</f>
        <v/>
      </c>
      <c r="P218" s="30" t="str">
        <f>IF(OR('GNI per capita'!AO217="",'GNI per capita'!AP217=""),"",'GNI per capita'!AP217/'GNI per capita'!AO217-1)</f>
        <v/>
      </c>
      <c r="Q218" s="30" t="str">
        <f>IF(OR('GNI per capita'!AP217="",'GNI per capita'!AQ217=""),"",'GNI per capita'!AQ217/'GNI per capita'!AP217-1)</f>
        <v/>
      </c>
      <c r="R218" s="30" t="str">
        <f>IF(OR('GNI per capita'!AQ217="",'GNI per capita'!AR217=""),"",'GNI per capita'!AR217/'GNI per capita'!AQ217-1)</f>
        <v/>
      </c>
      <c r="S218" s="30" t="str">
        <f>IF(OR('GNI per capita'!AR217="",'GNI per capita'!AS217=""),"",'GNI per capita'!AS217/'GNI per capita'!AR217-1)</f>
        <v/>
      </c>
      <c r="T218" s="30" t="str">
        <f>IF(OR('GNI per capita'!AS217="",'GNI per capita'!AT217=""),"",'GNI per capita'!AT217/'GNI per capita'!AS217-1)</f>
        <v/>
      </c>
      <c r="U218" s="28" t="s">
        <v>204</v>
      </c>
    </row>
    <row r="219" spans="1:21" x14ac:dyDescent="0.2">
      <c r="A219" s="2" t="s">
        <v>670</v>
      </c>
      <c r="B219" s="2" t="s">
        <v>671</v>
      </c>
      <c r="C219" s="11" t="s">
        <v>210</v>
      </c>
      <c r="D219" s="30">
        <f t="shared" si="12"/>
        <v>3.5181303709914014E-2</v>
      </c>
      <c r="E219" s="31">
        <f>Assumptions!$C$5</f>
        <v>1.244E-2</v>
      </c>
      <c r="F219" s="32">
        <f>IF($C219="L",Assumptions!$C$8,IF($C219="LM",Assumptions!$C$9,IF($C219="UM",Assumptions!$C$10,Assumptions!$C$11)))</f>
        <v>7.4680999999999997E-2</v>
      </c>
      <c r="G219" s="33">
        <f>IF(J219&lt;Assumptions!$C$13,"",MIN(MAX(D219,E219),F219))</f>
        <v>3.5181303709914014E-2</v>
      </c>
      <c r="H219" s="12" t="str">
        <f t="shared" si="13"/>
        <v>unadjusted</v>
      </c>
      <c r="I219" s="34">
        <f t="shared" si="14"/>
        <v>0</v>
      </c>
      <c r="J219" s="12">
        <f t="shared" si="15"/>
        <v>10</v>
      </c>
      <c r="K219" s="30">
        <f>IF(OR('GNI per capita'!AJ218="",'GNI per capita'!AK218=""),"",'GNI per capita'!AK218/'GNI per capita'!AJ218-1)</f>
        <v>6.2670299727520362E-2</v>
      </c>
      <c r="L219" s="30">
        <f>IF(OR('GNI per capita'!AK218="",'GNI per capita'!AL218=""),"",'GNI per capita'!AL218/'GNI per capita'!AK218-1)</f>
        <v>7.692307692307665E-3</v>
      </c>
      <c r="M219" s="30">
        <f>IF(OR('GNI per capita'!AL218="",'GNI per capita'!AM218=""),"",'GNI per capita'!AM218/'GNI per capita'!AL218-1)</f>
        <v>6.61577608142494E-2</v>
      </c>
      <c r="N219" s="30">
        <f>IF(OR('GNI per capita'!AM218="",'GNI per capita'!AN218=""),"",'GNI per capita'!AN218/'GNI per capita'!AM218-1)</f>
        <v>2.3866348448686736E-3</v>
      </c>
      <c r="O219" s="30">
        <f>IF(OR('GNI per capita'!AN218="",'GNI per capita'!AO218=""),"",'GNI per capita'!AO218/'GNI per capita'!AN218-1)</f>
        <v>-0.11904761904761907</v>
      </c>
      <c r="P219" s="30">
        <f>IF(OR('GNI per capita'!AO218="",'GNI per capita'!AP218=""),"",'GNI per capita'!AP218/'GNI per capita'!AO218-1)</f>
        <v>0.15405405405405403</v>
      </c>
      <c r="Q219" s="30">
        <f>IF(OR('GNI per capita'!AP218="",'GNI per capita'!AQ218=""),"",'GNI per capita'!AQ218/'GNI per capita'!AP218-1)</f>
        <v>0.10538641686182659</v>
      </c>
      <c r="R219" s="30">
        <f>IF(OR('GNI per capita'!AQ218="",'GNI per capita'!AR218=""),"",'GNI per capita'!AR218/'GNI per capita'!AQ218-1)</f>
        <v>-5.7203389830508433E-2</v>
      </c>
      <c r="S219" s="30">
        <f>IF(OR('GNI per capita'!AR218="",'GNI per capita'!AS218=""),"",'GNI per capita'!AS218/'GNI per capita'!AR218-1)</f>
        <v>-0.33033707865168538</v>
      </c>
      <c r="T219" s="30">
        <f>IF(OR('GNI per capita'!AS218="",'GNI per capita'!AT218=""),"",'GNI per capita'!AT218/'GNI per capita'!AS218-1)</f>
        <v>9.060402684563762E-2</v>
      </c>
      <c r="U219" s="2" t="s">
        <v>162</v>
      </c>
    </row>
    <row r="220" spans="1:21" x14ac:dyDescent="0.2">
      <c r="A220" s="2" t="s">
        <v>672</v>
      </c>
      <c r="B220" s="2" t="s">
        <v>673</v>
      </c>
      <c r="C220" s="11" t="s">
        <v>75</v>
      </c>
      <c r="D220" s="30">
        <f t="shared" si="12"/>
        <v>-9.2783505154639179E-2</v>
      </c>
      <c r="E220" s="31">
        <f>Assumptions!$C$5</f>
        <v>1.244E-2</v>
      </c>
      <c r="F220" s="32">
        <f>IF($C220="L",Assumptions!$C$8,IF($C220="LM",Assumptions!$C$9,IF($C220="UM",Assumptions!$C$10,Assumptions!$C$11)))</f>
        <v>5.5947999999999998E-2</v>
      </c>
      <c r="G220" s="33" t="str">
        <f>IF(J220&lt;Assumptions!$C$13,"",MIN(MAX(D220,E220),F220))</f>
        <v/>
      </c>
      <c r="H220" s="12" t="str">
        <f t="shared" si="13"/>
        <v>frozen</v>
      </c>
      <c r="I220" s="34" t="str">
        <f t="shared" si="14"/>
        <v/>
      </c>
      <c r="J220" s="12">
        <f t="shared" si="15"/>
        <v>3</v>
      </c>
      <c r="K220" s="30">
        <f>IF(OR('GNI per capita'!AJ219="",'GNI per capita'!AK219=""),"",'GNI per capita'!AK219/'GNI per capita'!AJ219-1)</f>
        <v>-5.8252427184465994E-2</v>
      </c>
      <c r="L220" s="30">
        <f>IF(OR('GNI per capita'!AK219="",'GNI per capita'!AL219=""),"",'GNI per capita'!AL219/'GNI per capita'!AK219-1)</f>
        <v>-9.2783505154639179E-2</v>
      </c>
      <c r="M220" s="30">
        <f>IF(OR('GNI per capita'!AL219="",'GNI per capita'!AM219=""),"",'GNI per capita'!AM219/'GNI per capita'!AL219-1)</f>
        <v>-0.15909090909090906</v>
      </c>
      <c r="N220" s="30" t="str">
        <f>IF(OR('GNI per capita'!AM219="",'GNI per capita'!AN219=""),"",'GNI per capita'!AN219/'GNI per capita'!AM219-1)</f>
        <v/>
      </c>
      <c r="O220" s="30" t="str">
        <f>IF(OR('GNI per capita'!AN219="",'GNI per capita'!AO219=""),"",'GNI per capita'!AO219/'GNI per capita'!AN219-1)</f>
        <v/>
      </c>
      <c r="P220" s="30" t="str">
        <f>IF(OR('GNI per capita'!AO219="",'GNI per capita'!AP219=""),"",'GNI per capita'!AP219/'GNI per capita'!AO219-1)</f>
        <v/>
      </c>
      <c r="Q220" s="30" t="str">
        <f>IF(OR('GNI per capita'!AP219="",'GNI per capita'!AQ219=""),"",'GNI per capita'!AQ219/'GNI per capita'!AP219-1)</f>
        <v/>
      </c>
      <c r="R220" s="30" t="str">
        <f>IF(OR('GNI per capita'!AQ219="",'GNI per capita'!AR219=""),"",'GNI per capita'!AR219/'GNI per capita'!AQ219-1)</f>
        <v/>
      </c>
      <c r="S220" s="30" t="str">
        <f>IF(OR('GNI per capita'!AR219="",'GNI per capita'!AS219=""),"",'GNI per capita'!AS219/'GNI per capita'!AR219-1)</f>
        <v/>
      </c>
      <c r="T220" s="30" t="str">
        <f>IF(OR('GNI per capita'!AS219="",'GNI per capita'!AT219=""),"",'GNI per capita'!AT219/'GNI per capita'!AS219-1)</f>
        <v/>
      </c>
      <c r="U220" s="28" t="s">
        <v>674</v>
      </c>
    </row>
    <row r="221" spans="1:21" x14ac:dyDescent="0.2">
      <c r="A221" s="2" t="s">
        <v>675</v>
      </c>
      <c r="B221" s="2" t="s">
        <v>676</v>
      </c>
      <c r="C221" s="11" t="s">
        <v>210</v>
      </c>
      <c r="D221" s="30">
        <f t="shared" si="12"/>
        <v>-2.6324395029430958E-2</v>
      </c>
      <c r="E221" s="31">
        <f>Assumptions!$C$5</f>
        <v>1.244E-2</v>
      </c>
      <c r="F221" s="32">
        <f>IF($C221="L",Assumptions!$C$8,IF($C221="LM",Assumptions!$C$9,IF($C221="UM",Assumptions!$C$10,Assumptions!$C$11)))</f>
        <v>7.4680999999999997E-2</v>
      </c>
      <c r="G221" s="33">
        <f>IF(J221&lt;Assumptions!$C$13,"",MIN(MAX(D221,E221),F221))</f>
        <v>1.244E-2</v>
      </c>
      <c r="H221" s="12" t="str">
        <f t="shared" si="13"/>
        <v>raised by floor</v>
      </c>
      <c r="I221" s="34">
        <f t="shared" si="14"/>
        <v>3.8764395029430958E-2</v>
      </c>
      <c r="J221" s="12">
        <f t="shared" si="15"/>
        <v>10</v>
      </c>
      <c r="K221" s="30">
        <f>IF(OR('GNI per capita'!AJ220="",'GNI per capita'!AK220=""),"",'GNI per capita'!AK220/'GNI per capita'!AJ220-1)</f>
        <v>-0.13725490196078427</v>
      </c>
      <c r="L221" s="30">
        <f>IF(OR('GNI per capita'!AK220="",'GNI per capita'!AL220=""),"",'GNI per capita'!AL220/'GNI per capita'!AK220-1)</f>
        <v>-4.5454545454545414E-2</v>
      </c>
      <c r="M221" s="30">
        <f>IF(OR('GNI per capita'!AL220="",'GNI per capita'!AM220=""),"",'GNI per capita'!AM220/'GNI per capita'!AL220-1)</f>
        <v>0.10317460317460325</v>
      </c>
      <c r="N221" s="30">
        <f>IF(OR('GNI per capita'!AM220="",'GNI per capita'!AN220=""),"",'GNI per capita'!AN220/'GNI per capita'!AM220-1)</f>
        <v>-7.194244604316502E-3</v>
      </c>
      <c r="O221" s="30">
        <f>IF(OR('GNI per capita'!AN220="",'GNI per capita'!AO220=""),"",'GNI per capita'!AO220/'GNI per capita'!AN220-1)</f>
        <v>-0.19565217391304346</v>
      </c>
      <c r="P221" s="30">
        <f>IF(OR('GNI per capita'!AO220="",'GNI per capita'!AP220=""),"",'GNI per capita'!AP220/'GNI per capita'!AO220-1)</f>
        <v>-5.4054054054054057E-2</v>
      </c>
      <c r="Q221" s="30">
        <f>IF(OR('GNI per capita'!AP220="",'GNI per capita'!AQ220=""),"",'GNI per capita'!AQ220/'GNI per capita'!AP220-1)</f>
        <v>0.11428571428571432</v>
      </c>
      <c r="R221" s="30">
        <f>IF(OR('GNI per capita'!AQ220="",'GNI per capita'!AR220=""),"",'GNI per capita'!AR220/'GNI per capita'!AQ220-1)</f>
        <v>8.5470085470085388E-2</v>
      </c>
      <c r="S221" s="30">
        <f>IF(OR('GNI per capita'!AR220="",'GNI per capita'!AS220=""),"",'GNI per capita'!AS220/'GNI per capita'!AR220-1)</f>
        <v>-6.2992125984251968E-2</v>
      </c>
      <c r="T221" s="30">
        <f>IF(OR('GNI per capita'!AS220="",'GNI per capita'!AT220=""),"",'GNI per capita'!AT220/'GNI per capita'!AS220-1)</f>
        <v>8.4033613445377853E-3</v>
      </c>
      <c r="U221" s="28" t="s">
        <v>196</v>
      </c>
    </row>
    <row r="222" spans="1:21" x14ac:dyDescent="0.2">
      <c r="A222" s="2" t="s">
        <v>677</v>
      </c>
      <c r="B222" s="2" t="s">
        <v>678</v>
      </c>
      <c r="C222" s="11" t="s">
        <v>210</v>
      </c>
      <c r="D222" s="30">
        <f t="shared" si="12"/>
        <v>0.10781473533619457</v>
      </c>
      <c r="E222" s="31">
        <f>Assumptions!$C$5</f>
        <v>1.244E-2</v>
      </c>
      <c r="F222" s="32">
        <f>IF($C222="L",Assumptions!$C$8,IF($C222="LM",Assumptions!$C$9,IF($C222="UM",Assumptions!$C$10,Assumptions!$C$11)))</f>
        <v>7.4680999999999997E-2</v>
      </c>
      <c r="G222" s="33">
        <f>IF(J222&lt;Assumptions!$C$13,"",MIN(MAX(D222,E222),F222))</f>
        <v>7.4680999999999997E-2</v>
      </c>
      <c r="H222" s="12" t="str">
        <f t="shared" si="13"/>
        <v>cut by cap</v>
      </c>
      <c r="I222" s="34">
        <f t="shared" si="14"/>
        <v>-3.313373533619457E-2</v>
      </c>
      <c r="J222" s="12">
        <f t="shared" si="15"/>
        <v>10</v>
      </c>
      <c r="K222" s="30">
        <f>IF(OR('GNI per capita'!AJ221="",'GNI per capita'!AK221=""),"",'GNI per capita'!AK221/'GNI per capita'!AJ221-1)</f>
        <v>-6.7669172932330879E-2</v>
      </c>
      <c r="L222" s="30">
        <f>IF(OR('GNI per capita'!AK221="",'GNI per capita'!AL221=""),"",'GNI per capita'!AL221/'GNI per capita'!AK221-1)</f>
        <v>0.35483870967741926</v>
      </c>
      <c r="M222" s="30">
        <f>IF(OR('GNI per capita'!AL221="",'GNI per capita'!AM221=""),"",'GNI per capita'!AM221/'GNI per capita'!AL221-1)</f>
        <v>0.27380952380952372</v>
      </c>
      <c r="N222" s="30">
        <f>IF(OR('GNI per capita'!AM221="",'GNI per capita'!AN221=""),"",'GNI per capita'!AN221/'GNI per capita'!AM221-1)</f>
        <v>0.13551401869158886</v>
      </c>
      <c r="O222" s="30">
        <f>IF(OR('GNI per capita'!AN221="",'GNI per capita'!AO221=""),"",'GNI per capita'!AO221/'GNI per capita'!AN221-1)</f>
        <v>-0.18518518518518523</v>
      </c>
      <c r="P222" s="30">
        <f>IF(OR('GNI per capita'!AO221="",'GNI per capita'!AP221=""),"",'GNI per capita'!AP221/'GNI per capita'!AO221-1)</f>
        <v>0.17676767676767668</v>
      </c>
      <c r="Q222" s="30">
        <f>IF(OR('GNI per capita'!AP221="",'GNI per capita'!AQ221=""),"",'GNI per capita'!AQ221/'GNI per capita'!AP221-1)</f>
        <v>0.10729613733905574</v>
      </c>
      <c r="R222" s="30">
        <f>IF(OR('GNI per capita'!AQ221="",'GNI per capita'!AR221=""),"",'GNI per capita'!AR221/'GNI per capita'!AQ221-1)</f>
        <v>-1.1627906976744207E-2</v>
      </c>
      <c r="S222" s="30">
        <f>IF(OR('GNI per capita'!AR221="",'GNI per capita'!AS221=""),"",'GNI per capita'!AS221/'GNI per capita'!AR221-1)</f>
        <v>-5.8823529411764719E-2</v>
      </c>
      <c r="T222" s="30">
        <f>IF(OR('GNI per capita'!AS221="",'GNI per capita'!AT221=""),"",'GNI per capita'!AT221/'GNI per capita'!AS221-1)</f>
        <v>0.10833333333333339</v>
      </c>
      <c r="U222" s="28" t="s">
        <v>679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224"/>
  <sheetViews>
    <sheetView zoomScaleNormal="100" workbookViewId="0">
      <pane xSplit="5" ySplit="5" topLeftCell="AK181" activePane="bottomRight" state="frozen"/>
      <selection pane="topRight" activeCell="F1" sqref="F1"/>
      <selection pane="bottomLeft" activeCell="A6" sqref="A6"/>
      <selection pane="bottomRight" activeCell="AO224" sqref="AO224"/>
    </sheetView>
  </sheetViews>
  <sheetFormatPr baseColWidth="10" defaultColWidth="8.6640625" defaultRowHeight="15" x14ac:dyDescent="0.2"/>
  <cols>
    <col min="1" max="1" width="30" customWidth="1"/>
    <col min="2" max="2" width="7" customWidth="1"/>
    <col min="3" max="3" width="10" customWidth="1"/>
    <col min="4" max="4" width="20" customWidth="1"/>
    <col min="5" max="5" width="13" customWidth="1"/>
    <col min="6" max="66" width="10" customWidth="1"/>
  </cols>
  <sheetData>
    <row r="1" spans="1:66" x14ac:dyDescent="0.2">
      <c r="A1" s="4" t="s">
        <v>692</v>
      </c>
    </row>
    <row r="2" spans="1:66" x14ac:dyDescent="0.2">
      <c r="A2" s="2" t="s">
        <v>693</v>
      </c>
    </row>
    <row r="3" spans="1:66" x14ac:dyDescent="0.2">
      <c r="A3" s="10" t="s">
        <v>694</v>
      </c>
    </row>
    <row r="5" spans="1:66" x14ac:dyDescent="0.2">
      <c r="A5" s="5" t="s">
        <v>188</v>
      </c>
      <c r="B5" s="5" t="s">
        <v>189</v>
      </c>
      <c r="C5" s="5" t="s">
        <v>190</v>
      </c>
      <c r="D5" s="5" t="s">
        <v>695</v>
      </c>
      <c r="E5" s="5" t="s">
        <v>696</v>
      </c>
      <c r="F5" s="5" t="s">
        <v>135</v>
      </c>
      <c r="G5" s="5" t="s">
        <v>136</v>
      </c>
      <c r="H5" s="5" t="s">
        <v>137</v>
      </c>
      <c r="I5" s="5" t="s">
        <v>138</v>
      </c>
      <c r="J5" s="5" t="s">
        <v>139</v>
      </c>
      <c r="K5" s="5" t="s">
        <v>140</v>
      </c>
      <c r="L5" s="5" t="s">
        <v>141</v>
      </c>
      <c r="M5" s="5" t="s">
        <v>142</v>
      </c>
      <c r="N5" s="5" t="s">
        <v>143</v>
      </c>
      <c r="O5" s="5" t="s">
        <v>144</v>
      </c>
      <c r="P5" s="5" t="s">
        <v>145</v>
      </c>
      <c r="Q5" s="5" t="s">
        <v>146</v>
      </c>
      <c r="R5" s="5" t="s">
        <v>147</v>
      </c>
      <c r="S5" s="5" t="s">
        <v>148</v>
      </c>
      <c r="T5" s="5" t="s">
        <v>149</v>
      </c>
      <c r="U5" s="5" t="s">
        <v>150</v>
      </c>
      <c r="V5" s="5" t="s">
        <v>151</v>
      </c>
      <c r="W5" s="5" t="s">
        <v>152</v>
      </c>
      <c r="X5" s="5" t="s">
        <v>153</v>
      </c>
      <c r="Y5" s="5" t="s">
        <v>154</v>
      </c>
      <c r="Z5" s="5" t="s">
        <v>155</v>
      </c>
      <c r="AA5" s="5" t="s">
        <v>156</v>
      </c>
      <c r="AB5" s="5" t="s">
        <v>157</v>
      </c>
      <c r="AC5" s="5" t="s">
        <v>158</v>
      </c>
      <c r="AD5" s="5" t="s">
        <v>159</v>
      </c>
      <c r="AE5" s="5" t="s">
        <v>160</v>
      </c>
      <c r="AF5" s="5" t="s">
        <v>115</v>
      </c>
      <c r="AG5" s="5" t="s">
        <v>116</v>
      </c>
      <c r="AH5" s="5" t="s">
        <v>117</v>
      </c>
      <c r="AI5" s="5" t="s">
        <v>118</v>
      </c>
      <c r="AJ5" s="5" t="s">
        <v>119</v>
      </c>
      <c r="AK5" s="5" t="s">
        <v>120</v>
      </c>
      <c r="AL5" s="5" t="s">
        <v>121</v>
      </c>
      <c r="AM5" s="5" t="s">
        <v>122</v>
      </c>
      <c r="AN5" s="5" t="s">
        <v>123</v>
      </c>
      <c r="AO5" s="5" t="s">
        <v>124</v>
      </c>
      <c r="AP5" s="25" t="s">
        <v>161</v>
      </c>
      <c r="AQ5" s="25" t="s">
        <v>163</v>
      </c>
      <c r="AR5" s="25" t="s">
        <v>164</v>
      </c>
      <c r="AS5" s="25" t="s">
        <v>165</v>
      </c>
      <c r="AT5" s="25" t="s">
        <v>166</v>
      </c>
      <c r="AU5" s="25" t="s">
        <v>167</v>
      </c>
      <c r="AV5" s="25" t="s">
        <v>168</v>
      </c>
      <c r="AW5" s="25" t="s">
        <v>169</v>
      </c>
      <c r="AX5" s="25" t="s">
        <v>170</v>
      </c>
      <c r="AY5" s="25" t="s">
        <v>171</v>
      </c>
      <c r="AZ5" s="25" t="s">
        <v>172</v>
      </c>
      <c r="BA5" s="25" t="s">
        <v>173</v>
      </c>
      <c r="BB5" s="25" t="s">
        <v>174</v>
      </c>
      <c r="BC5" s="25" t="s">
        <v>175</v>
      </c>
      <c r="BD5" s="25" t="s">
        <v>176</v>
      </c>
      <c r="BE5" s="25" t="s">
        <v>177</v>
      </c>
      <c r="BF5" s="25" t="s">
        <v>178</v>
      </c>
      <c r="BG5" s="25" t="s">
        <v>179</v>
      </c>
      <c r="BH5" s="25" t="s">
        <v>180</v>
      </c>
      <c r="BI5" s="25" t="s">
        <v>181</v>
      </c>
      <c r="BJ5" s="25" t="s">
        <v>182</v>
      </c>
      <c r="BK5" s="25" t="s">
        <v>183</v>
      </c>
      <c r="BL5" s="25" t="s">
        <v>184</v>
      </c>
      <c r="BM5" s="25" t="s">
        <v>185</v>
      </c>
      <c r="BN5" s="25" t="s">
        <v>186</v>
      </c>
    </row>
    <row r="6" spans="1:66" x14ac:dyDescent="0.2">
      <c r="A6" s="2" t="s">
        <v>194</v>
      </c>
      <c r="B6" s="2" t="s">
        <v>195</v>
      </c>
      <c r="C6" s="11" t="s">
        <v>75</v>
      </c>
      <c r="D6" s="12" t="s">
        <v>697</v>
      </c>
      <c r="E6" s="35">
        <v>0.99999998859595995</v>
      </c>
      <c r="F6" s="36">
        <v>12.045999999999999</v>
      </c>
      <c r="G6" s="36">
        <v>12.239000000000001</v>
      </c>
      <c r="H6" s="36">
        <v>13.279</v>
      </c>
      <c r="I6" s="36">
        <v>14.943</v>
      </c>
      <c r="J6" s="36">
        <v>16.251000000000001</v>
      </c>
      <c r="K6" s="36">
        <v>17.065999999999999</v>
      </c>
      <c r="L6" s="36">
        <v>17.763000000000002</v>
      </c>
      <c r="M6" s="36">
        <v>18.452000000000002</v>
      </c>
      <c r="N6" s="36">
        <v>19.16</v>
      </c>
      <c r="O6" s="36">
        <v>19.888000000000002</v>
      </c>
      <c r="P6" s="36">
        <v>20.13</v>
      </c>
      <c r="Q6" s="36">
        <v>20.283999999999999</v>
      </c>
      <c r="R6" s="36">
        <v>21.378</v>
      </c>
      <c r="S6" s="36">
        <v>22.733000000000001</v>
      </c>
      <c r="T6" s="36">
        <v>23.561</v>
      </c>
      <c r="U6" s="36">
        <v>24.405000000000001</v>
      </c>
      <c r="V6" s="36">
        <v>25.423999999999999</v>
      </c>
      <c r="W6" s="36">
        <v>25.91</v>
      </c>
      <c r="X6" s="36">
        <v>26.483000000000001</v>
      </c>
      <c r="Y6" s="36">
        <v>27.466000000000001</v>
      </c>
      <c r="Z6" s="36">
        <v>28.283999999999999</v>
      </c>
      <c r="AA6" s="36">
        <v>29.347999999999999</v>
      </c>
      <c r="AB6" s="36">
        <v>30.56</v>
      </c>
      <c r="AC6" s="36">
        <v>31.623000000000001</v>
      </c>
      <c r="AD6" s="36">
        <v>32.792999999999999</v>
      </c>
      <c r="AE6" s="36">
        <v>33.832000000000001</v>
      </c>
      <c r="AF6" s="36">
        <v>34.701000000000001</v>
      </c>
      <c r="AG6" s="36">
        <v>35.689</v>
      </c>
      <c r="AH6" s="36">
        <v>36.743000000000002</v>
      </c>
      <c r="AI6" s="36">
        <v>37.856000000000002</v>
      </c>
      <c r="AJ6" s="36">
        <v>39.069000000000003</v>
      </c>
      <c r="AK6" s="36">
        <v>40</v>
      </c>
      <c r="AL6" s="36">
        <v>40.579000000000001</v>
      </c>
      <c r="AM6" s="36">
        <v>41.454999999999998</v>
      </c>
      <c r="AN6" s="36">
        <v>42.646999999999998</v>
      </c>
      <c r="AO6" s="36">
        <v>43.844000000000001</v>
      </c>
      <c r="AP6" s="37">
        <v>45.046999999999997</v>
      </c>
      <c r="AQ6" s="37">
        <v>46.259</v>
      </c>
      <c r="AR6" s="37">
        <v>47.470999999999997</v>
      </c>
      <c r="AS6" s="37">
        <v>48.725999999999999</v>
      </c>
      <c r="AT6" s="37">
        <v>50.039000000000001</v>
      </c>
      <c r="AU6" s="37">
        <v>51.375999999999998</v>
      </c>
      <c r="AV6" s="37">
        <v>52.707999999999998</v>
      </c>
      <c r="AW6" s="37">
        <v>54.043999999999997</v>
      </c>
      <c r="AX6" s="37">
        <v>55.359000000000002</v>
      </c>
      <c r="AY6" s="37">
        <v>56.646999999999998</v>
      </c>
      <c r="AZ6" s="37">
        <v>57.954000000000001</v>
      </c>
      <c r="BA6" s="37">
        <v>59.279000000000003</v>
      </c>
      <c r="BB6" s="37">
        <v>60.597999999999999</v>
      </c>
      <c r="BC6" s="37">
        <v>61.944000000000003</v>
      </c>
      <c r="BD6" s="37">
        <v>63.347999999999999</v>
      </c>
      <c r="BE6" s="37">
        <v>64.739000000000004</v>
      </c>
      <c r="BF6" s="37">
        <v>66.06</v>
      </c>
      <c r="BG6" s="37">
        <v>67.375</v>
      </c>
      <c r="BH6" s="37">
        <v>68.703999999999994</v>
      </c>
      <c r="BI6" s="37">
        <v>70.021000000000001</v>
      </c>
      <c r="BJ6" s="37">
        <v>71.385000000000005</v>
      </c>
      <c r="BK6" s="37">
        <v>72.756</v>
      </c>
      <c r="BL6" s="37">
        <v>74.11</v>
      </c>
      <c r="BM6" s="37">
        <v>75.516000000000005</v>
      </c>
      <c r="BN6" s="37">
        <v>76.885000000000005</v>
      </c>
    </row>
    <row r="7" spans="1:66" x14ac:dyDescent="0.2">
      <c r="A7" s="2" t="s">
        <v>197</v>
      </c>
      <c r="B7" s="2" t="s">
        <v>198</v>
      </c>
      <c r="C7" s="11" t="s">
        <v>82</v>
      </c>
      <c r="D7" s="12" t="s">
        <v>697</v>
      </c>
      <c r="E7" s="38">
        <v>0.84776245418783802</v>
      </c>
      <c r="F7" s="36">
        <v>3.2869999999999999</v>
      </c>
      <c r="G7" s="36">
        <v>3.2669999999999999</v>
      </c>
      <c r="H7" s="36">
        <v>3.2469999999999999</v>
      </c>
      <c r="I7" s="36">
        <v>3.2269999999999999</v>
      </c>
      <c r="J7" s="36">
        <v>3.2080000000000002</v>
      </c>
      <c r="K7" s="36">
        <v>3.1880000000000002</v>
      </c>
      <c r="L7" s="36">
        <v>3.1680000000000001</v>
      </c>
      <c r="M7" s="36">
        <v>3.1480000000000001</v>
      </c>
      <c r="N7" s="36">
        <v>3.129</v>
      </c>
      <c r="O7" s="36">
        <v>3.109</v>
      </c>
      <c r="P7" s="36">
        <v>3.089</v>
      </c>
      <c r="Q7" s="36">
        <v>3.06</v>
      </c>
      <c r="R7" s="36">
        <v>3.0510000000000002</v>
      </c>
      <c r="S7" s="36">
        <v>3.04</v>
      </c>
      <c r="T7" s="36">
        <v>3.0270000000000001</v>
      </c>
      <c r="U7" s="36">
        <v>3.0110000000000001</v>
      </c>
      <c r="V7" s="36">
        <v>2.9929999999999999</v>
      </c>
      <c r="W7" s="36">
        <v>2.97</v>
      </c>
      <c r="X7" s="36">
        <v>2.9470000000000001</v>
      </c>
      <c r="Y7" s="36">
        <v>2.9279999999999999</v>
      </c>
      <c r="Z7" s="36">
        <v>2.9129999999999998</v>
      </c>
      <c r="AA7" s="36">
        <v>2.9049999999999998</v>
      </c>
      <c r="AB7" s="36">
        <v>2.8610000000000002</v>
      </c>
      <c r="AC7" s="36">
        <v>2.8170000000000002</v>
      </c>
      <c r="AD7" s="36">
        <v>2.774</v>
      </c>
      <c r="AE7" s="36">
        <v>2.7309999999999999</v>
      </c>
      <c r="AF7" s="36">
        <v>2.6890000000000001</v>
      </c>
      <c r="AG7" s="36">
        <v>2.6480000000000001</v>
      </c>
      <c r="AH7" s="36">
        <v>2.6080000000000001</v>
      </c>
      <c r="AI7" s="36">
        <v>2.5680000000000001</v>
      </c>
      <c r="AJ7" s="36">
        <v>2.528</v>
      </c>
      <c r="AK7" s="36">
        <v>2.4900000000000002</v>
      </c>
      <c r="AL7" s="36">
        <v>2.452</v>
      </c>
      <c r="AM7" s="36">
        <v>2.4119999999999999</v>
      </c>
      <c r="AN7" s="36">
        <v>2.3769999999999998</v>
      </c>
      <c r="AO7" s="36">
        <v>2.35</v>
      </c>
      <c r="AP7" s="37">
        <v>2.3319999999999999</v>
      </c>
      <c r="AQ7" s="37">
        <v>2.3149999999999999</v>
      </c>
      <c r="AR7" s="37">
        <v>2.2989999999999999</v>
      </c>
      <c r="AS7" s="37">
        <v>2.282</v>
      </c>
      <c r="AT7" s="37">
        <v>2.2650000000000001</v>
      </c>
      <c r="AU7" s="37">
        <v>2.2480000000000002</v>
      </c>
      <c r="AV7" s="37">
        <v>2.2309999999999999</v>
      </c>
      <c r="AW7" s="37">
        <v>2.214</v>
      </c>
      <c r="AX7" s="37">
        <v>2.1970000000000001</v>
      </c>
      <c r="AY7" s="37">
        <v>2.1789999999999998</v>
      </c>
      <c r="AZ7" s="37">
        <v>2.1619999999999999</v>
      </c>
      <c r="BA7" s="37">
        <v>2.1429999999999998</v>
      </c>
      <c r="BB7" s="37">
        <v>2.125</v>
      </c>
      <c r="BC7" s="37">
        <v>2.1059999999999999</v>
      </c>
      <c r="BD7" s="37">
        <v>2.0870000000000002</v>
      </c>
      <c r="BE7" s="37">
        <v>2.0680000000000001</v>
      </c>
      <c r="BF7" s="37">
        <v>2.0489999999999999</v>
      </c>
      <c r="BG7" s="37">
        <v>2.0310000000000001</v>
      </c>
      <c r="BH7" s="37">
        <v>2.012</v>
      </c>
      <c r="BI7" s="37">
        <v>1.9930000000000001</v>
      </c>
      <c r="BJ7" s="37">
        <v>1.974</v>
      </c>
      <c r="BK7" s="37">
        <v>1.956</v>
      </c>
      <c r="BL7" s="37">
        <v>1.9370000000000001</v>
      </c>
      <c r="BM7" s="37">
        <v>1.9179999999999999</v>
      </c>
      <c r="BN7" s="37">
        <v>1.899</v>
      </c>
    </row>
    <row r="8" spans="1:66" x14ac:dyDescent="0.2">
      <c r="A8" s="2" t="s">
        <v>200</v>
      </c>
      <c r="B8" s="2" t="s">
        <v>201</v>
      </c>
      <c r="C8" s="11" t="s">
        <v>82</v>
      </c>
      <c r="D8" s="12" t="s">
        <v>697</v>
      </c>
      <c r="E8" s="35">
        <v>1.0000000105406699</v>
      </c>
      <c r="F8" s="36">
        <v>25.376000000000001</v>
      </c>
      <c r="G8" s="36">
        <v>25.988</v>
      </c>
      <c r="H8" s="36">
        <v>26.629000000000001</v>
      </c>
      <c r="I8" s="36">
        <v>27.277000000000001</v>
      </c>
      <c r="J8" s="36">
        <v>27.887</v>
      </c>
      <c r="K8" s="36">
        <v>28.47</v>
      </c>
      <c r="L8" s="36">
        <v>29.033000000000001</v>
      </c>
      <c r="M8" s="36">
        <v>29.579000000000001</v>
      </c>
      <c r="N8" s="36">
        <v>30.053999999999998</v>
      </c>
      <c r="O8" s="36">
        <v>30.474</v>
      </c>
      <c r="P8" s="36">
        <v>30.904</v>
      </c>
      <c r="Q8" s="36">
        <v>31.331</v>
      </c>
      <c r="R8" s="36">
        <v>31.751000000000001</v>
      </c>
      <c r="S8" s="36">
        <v>32.176000000000002</v>
      </c>
      <c r="T8" s="36">
        <v>32.628</v>
      </c>
      <c r="U8" s="36">
        <v>33.109000000000002</v>
      </c>
      <c r="V8" s="36">
        <v>33.624000000000002</v>
      </c>
      <c r="W8" s="36">
        <v>34.189</v>
      </c>
      <c r="X8" s="36">
        <v>34.817</v>
      </c>
      <c r="Y8" s="36">
        <v>35.49</v>
      </c>
      <c r="Z8" s="36">
        <v>36.188000000000002</v>
      </c>
      <c r="AA8" s="36">
        <v>36.902999999999999</v>
      </c>
      <c r="AB8" s="36">
        <v>37.646000000000001</v>
      </c>
      <c r="AC8" s="36">
        <v>38.414000000000001</v>
      </c>
      <c r="AD8" s="36">
        <v>39.204999999999998</v>
      </c>
      <c r="AE8" s="36">
        <v>40.020000000000003</v>
      </c>
      <c r="AF8" s="36">
        <v>40.850999999999999</v>
      </c>
      <c r="AG8" s="36">
        <v>41.689</v>
      </c>
      <c r="AH8" s="36">
        <v>42.505000000000003</v>
      </c>
      <c r="AI8" s="36">
        <v>43.295000000000002</v>
      </c>
      <c r="AJ8" s="36">
        <v>44.042000000000002</v>
      </c>
      <c r="AK8" s="36">
        <v>44.761000000000003</v>
      </c>
      <c r="AL8" s="36">
        <v>45.476999999999997</v>
      </c>
      <c r="AM8" s="36">
        <v>46.164000000000001</v>
      </c>
      <c r="AN8" s="36">
        <v>46.814</v>
      </c>
      <c r="AO8" s="36">
        <v>47.435000000000002</v>
      </c>
      <c r="AP8" s="37">
        <v>48.027999999999999</v>
      </c>
      <c r="AQ8" s="37">
        <v>48.593000000000004</v>
      </c>
      <c r="AR8" s="37">
        <v>49.136000000000003</v>
      </c>
      <c r="AS8" s="37">
        <v>49.655000000000001</v>
      </c>
      <c r="AT8" s="37">
        <v>50.154000000000003</v>
      </c>
      <c r="AU8" s="37">
        <v>50.637</v>
      </c>
      <c r="AV8" s="37">
        <v>51.113</v>
      </c>
      <c r="AW8" s="37">
        <v>51.584000000000003</v>
      </c>
      <c r="AX8" s="37">
        <v>52.048000000000002</v>
      </c>
      <c r="AY8" s="37">
        <v>52.517000000000003</v>
      </c>
      <c r="AZ8" s="37">
        <v>52.985999999999997</v>
      </c>
      <c r="BA8" s="37">
        <v>53.453000000000003</v>
      </c>
      <c r="BB8" s="37">
        <v>53.921999999999997</v>
      </c>
      <c r="BC8" s="37">
        <v>54.396000000000001</v>
      </c>
      <c r="BD8" s="37">
        <v>54.872999999999998</v>
      </c>
      <c r="BE8" s="37">
        <v>55.351999999999997</v>
      </c>
      <c r="BF8" s="37">
        <v>55.835000000000001</v>
      </c>
      <c r="BG8" s="37">
        <v>56.32</v>
      </c>
      <c r="BH8" s="37">
        <v>56.805999999999997</v>
      </c>
      <c r="BI8" s="37">
        <v>57.29</v>
      </c>
      <c r="BJ8" s="37">
        <v>57.768000000000001</v>
      </c>
      <c r="BK8" s="37">
        <v>58.234000000000002</v>
      </c>
      <c r="BL8" s="37">
        <v>58.691000000000003</v>
      </c>
      <c r="BM8" s="37">
        <v>59.136000000000003</v>
      </c>
      <c r="BN8" s="37">
        <v>59.566000000000003</v>
      </c>
    </row>
    <row r="9" spans="1:66" x14ac:dyDescent="0.2">
      <c r="A9" s="2" t="s">
        <v>202</v>
      </c>
      <c r="B9" s="2" t="s">
        <v>203</v>
      </c>
      <c r="C9" s="11" t="s">
        <v>79</v>
      </c>
      <c r="D9" s="12" t="s">
        <v>697</v>
      </c>
      <c r="E9" s="35">
        <v>1.00001086283498</v>
      </c>
      <c r="F9" s="36">
        <v>4.7E-2</v>
      </c>
      <c r="G9" s="36">
        <v>4.8000000000000001E-2</v>
      </c>
      <c r="H9" s="36">
        <v>4.9000000000000002E-2</v>
      </c>
      <c r="I9" s="36">
        <v>0.05</v>
      </c>
      <c r="J9" s="36">
        <v>5.0999999999999997E-2</v>
      </c>
      <c r="K9" s="36">
        <v>5.1999999999999998E-2</v>
      </c>
      <c r="L9" s="36">
        <v>5.2999999999999999E-2</v>
      </c>
      <c r="M9" s="36">
        <v>5.3999999999999999E-2</v>
      </c>
      <c r="N9" s="36">
        <v>5.5E-2</v>
      </c>
      <c r="O9" s="36">
        <v>5.6000000000000001E-2</v>
      </c>
      <c r="P9" s="36">
        <v>5.7000000000000002E-2</v>
      </c>
      <c r="Q9" s="36">
        <v>5.7000000000000002E-2</v>
      </c>
      <c r="R9" s="36">
        <v>5.7000000000000002E-2</v>
      </c>
      <c r="S9" s="36">
        <v>5.7000000000000002E-2</v>
      </c>
      <c r="T9" s="36">
        <v>5.7000000000000002E-2</v>
      </c>
      <c r="U9" s="36">
        <v>5.7000000000000002E-2</v>
      </c>
      <c r="V9" s="36">
        <v>5.6000000000000001E-2</v>
      </c>
      <c r="W9" s="36">
        <v>5.6000000000000001E-2</v>
      </c>
      <c r="X9" s="36">
        <v>5.6000000000000001E-2</v>
      </c>
      <c r="Y9" s="36">
        <v>5.6000000000000001E-2</v>
      </c>
      <c r="Z9" s="36">
        <v>5.5E-2</v>
      </c>
      <c r="AA9" s="36">
        <v>5.5E-2</v>
      </c>
      <c r="AB9" s="36">
        <v>5.3999999999999999E-2</v>
      </c>
      <c r="AC9" s="36">
        <v>5.3999999999999999E-2</v>
      </c>
      <c r="AD9" s="36">
        <v>5.2999999999999999E-2</v>
      </c>
      <c r="AE9" s="36">
        <v>5.2999999999999999E-2</v>
      </c>
      <c r="AF9" s="36">
        <v>5.1999999999999998E-2</v>
      </c>
      <c r="AG9" s="36">
        <v>5.1999999999999998E-2</v>
      </c>
      <c r="AH9" s="36">
        <v>5.0999999999999997E-2</v>
      </c>
      <c r="AI9" s="36">
        <v>0.05</v>
      </c>
      <c r="AJ9" s="36">
        <v>0.05</v>
      </c>
      <c r="AK9" s="36">
        <v>4.9000000000000002E-2</v>
      </c>
      <c r="AL9" s="36">
        <v>4.8000000000000001E-2</v>
      </c>
      <c r="AM9" s="36">
        <v>4.8000000000000001E-2</v>
      </c>
      <c r="AN9" s="36">
        <v>4.7E-2</v>
      </c>
      <c r="AO9" s="36">
        <v>4.5999999999999999E-2</v>
      </c>
      <c r="AP9" s="37">
        <v>4.4999999999999998E-2</v>
      </c>
      <c r="AQ9" s="37">
        <v>4.4999999999999998E-2</v>
      </c>
      <c r="AR9" s="37">
        <v>4.3999999999999997E-2</v>
      </c>
      <c r="AS9" s="37">
        <v>4.2999999999999997E-2</v>
      </c>
      <c r="AT9" s="37">
        <v>4.2999999999999997E-2</v>
      </c>
      <c r="AU9" s="37">
        <v>4.2000000000000003E-2</v>
      </c>
      <c r="AV9" s="37">
        <v>4.2000000000000003E-2</v>
      </c>
      <c r="AW9" s="37">
        <v>4.2000000000000003E-2</v>
      </c>
      <c r="AX9" s="37">
        <v>4.1000000000000002E-2</v>
      </c>
      <c r="AY9" s="37">
        <v>4.1000000000000002E-2</v>
      </c>
      <c r="AZ9" s="37">
        <v>4.1000000000000002E-2</v>
      </c>
      <c r="BA9" s="37">
        <v>0.04</v>
      </c>
      <c r="BB9" s="37">
        <v>0.04</v>
      </c>
      <c r="BC9" s="37">
        <v>0.04</v>
      </c>
      <c r="BD9" s="37">
        <v>3.9E-2</v>
      </c>
      <c r="BE9" s="37">
        <v>3.9E-2</v>
      </c>
      <c r="BF9" s="37">
        <v>3.9E-2</v>
      </c>
      <c r="BG9" s="37">
        <v>3.9E-2</v>
      </c>
      <c r="BH9" s="37">
        <v>3.9E-2</v>
      </c>
      <c r="BI9" s="37">
        <v>3.7999999999999999E-2</v>
      </c>
      <c r="BJ9" s="37">
        <v>3.7999999999999999E-2</v>
      </c>
      <c r="BK9" s="37">
        <v>3.7999999999999999E-2</v>
      </c>
      <c r="BL9" s="37">
        <v>3.7999999999999999E-2</v>
      </c>
      <c r="BM9" s="37">
        <v>3.7999999999999999E-2</v>
      </c>
      <c r="BN9" s="37">
        <v>3.7999999999999999E-2</v>
      </c>
    </row>
    <row r="10" spans="1:66" x14ac:dyDescent="0.2">
      <c r="A10" s="2" t="s">
        <v>205</v>
      </c>
      <c r="B10" s="2" t="s">
        <v>206</v>
      </c>
      <c r="C10" s="11" t="s">
        <v>79</v>
      </c>
      <c r="D10" s="12" t="s">
        <v>697</v>
      </c>
      <c r="E10" s="35">
        <v>0.99999396896429205</v>
      </c>
      <c r="F10" s="36">
        <v>5.2999999999999999E-2</v>
      </c>
      <c r="G10" s="36">
        <v>5.7000000000000002E-2</v>
      </c>
      <c r="H10" s="36">
        <v>0.06</v>
      </c>
      <c r="I10" s="36">
        <v>6.3E-2</v>
      </c>
      <c r="J10" s="36">
        <v>6.5000000000000002E-2</v>
      </c>
      <c r="K10" s="36">
        <v>6.4000000000000001E-2</v>
      </c>
      <c r="L10" s="36">
        <v>6.4000000000000001E-2</v>
      </c>
      <c r="M10" s="36">
        <v>6.5000000000000002E-2</v>
      </c>
      <c r="N10" s="36">
        <v>6.5000000000000002E-2</v>
      </c>
      <c r="O10" s="36">
        <v>6.6000000000000003E-2</v>
      </c>
      <c r="P10" s="36">
        <v>6.6000000000000003E-2</v>
      </c>
      <c r="Q10" s="36">
        <v>6.6000000000000003E-2</v>
      </c>
      <c r="R10" s="36">
        <v>6.7000000000000004E-2</v>
      </c>
      <c r="S10" s="36">
        <v>6.9000000000000006E-2</v>
      </c>
      <c r="T10" s="36">
        <v>7.3999999999999996E-2</v>
      </c>
      <c r="U10" s="36">
        <v>7.6999999999999999E-2</v>
      </c>
      <c r="V10" s="36">
        <v>0.08</v>
      </c>
      <c r="W10" s="36">
        <v>8.2000000000000003E-2</v>
      </c>
      <c r="X10" s="36">
        <v>8.3000000000000004E-2</v>
      </c>
      <c r="Y10" s="36">
        <v>8.4000000000000005E-2</v>
      </c>
      <c r="Z10" s="36">
        <v>8.1000000000000003E-2</v>
      </c>
      <c r="AA10" s="36">
        <v>7.8E-2</v>
      </c>
      <c r="AB10" s="36">
        <v>7.6999999999999999E-2</v>
      </c>
      <c r="AC10" s="36">
        <v>7.4999999999999997E-2</v>
      </c>
      <c r="AD10" s="36">
        <v>7.3999999999999996E-2</v>
      </c>
      <c r="AE10" s="36">
        <v>7.1999999999999995E-2</v>
      </c>
      <c r="AF10" s="36">
        <v>7.1999999999999995E-2</v>
      </c>
      <c r="AG10" s="36">
        <v>7.3999999999999996E-2</v>
      </c>
      <c r="AH10" s="36">
        <v>7.4999999999999997E-2</v>
      </c>
      <c r="AI10" s="36">
        <v>7.5999999999999998E-2</v>
      </c>
      <c r="AJ10" s="36">
        <v>7.6999999999999999E-2</v>
      </c>
      <c r="AK10" s="36">
        <v>7.8E-2</v>
      </c>
      <c r="AL10" s="36">
        <v>0.08</v>
      </c>
      <c r="AM10" s="36">
        <v>8.1000000000000003E-2</v>
      </c>
      <c r="AN10" s="36">
        <v>8.2000000000000003E-2</v>
      </c>
      <c r="AO10" s="36">
        <v>8.3000000000000004E-2</v>
      </c>
      <c r="AP10" s="37">
        <v>8.4000000000000005E-2</v>
      </c>
      <c r="AQ10" s="37">
        <v>8.4000000000000005E-2</v>
      </c>
      <c r="AR10" s="37">
        <v>8.5000000000000006E-2</v>
      </c>
      <c r="AS10" s="37">
        <v>8.5000000000000006E-2</v>
      </c>
      <c r="AT10" s="37">
        <v>8.5999999999999993E-2</v>
      </c>
      <c r="AU10" s="37">
        <v>8.5999999999999993E-2</v>
      </c>
      <c r="AV10" s="37">
        <v>8.5999999999999993E-2</v>
      </c>
      <c r="AW10" s="37">
        <v>8.5999999999999993E-2</v>
      </c>
      <c r="AX10" s="37">
        <v>8.5999999999999993E-2</v>
      </c>
      <c r="AY10" s="37">
        <v>8.5999999999999993E-2</v>
      </c>
      <c r="AZ10" s="37">
        <v>8.5999999999999993E-2</v>
      </c>
      <c r="BA10" s="37">
        <v>8.5999999999999993E-2</v>
      </c>
      <c r="BB10" s="37">
        <v>8.5999999999999993E-2</v>
      </c>
      <c r="BC10" s="37">
        <v>8.5999999999999993E-2</v>
      </c>
      <c r="BD10" s="37">
        <v>8.5999999999999993E-2</v>
      </c>
      <c r="BE10" s="37">
        <v>8.5000000000000006E-2</v>
      </c>
      <c r="BF10" s="37">
        <v>8.5000000000000006E-2</v>
      </c>
      <c r="BG10" s="37">
        <v>8.5000000000000006E-2</v>
      </c>
      <c r="BH10" s="37">
        <v>8.5000000000000006E-2</v>
      </c>
      <c r="BI10" s="37">
        <v>8.4000000000000005E-2</v>
      </c>
      <c r="BJ10" s="37">
        <v>8.4000000000000005E-2</v>
      </c>
      <c r="BK10" s="37">
        <v>8.4000000000000005E-2</v>
      </c>
      <c r="BL10" s="37">
        <v>8.3000000000000004E-2</v>
      </c>
      <c r="BM10" s="37">
        <v>8.3000000000000004E-2</v>
      </c>
      <c r="BN10" s="37">
        <v>8.2000000000000003E-2</v>
      </c>
    </row>
    <row r="11" spans="1:66" x14ac:dyDescent="0.2">
      <c r="A11" s="2" t="s">
        <v>208</v>
      </c>
      <c r="B11" s="2" t="s">
        <v>209</v>
      </c>
      <c r="C11" s="11" t="s">
        <v>210</v>
      </c>
      <c r="D11" s="12" t="s">
        <v>697</v>
      </c>
      <c r="E11" s="35">
        <v>1.0000000128073701</v>
      </c>
      <c r="F11" s="36">
        <v>11.625999999999999</v>
      </c>
      <c r="G11" s="36">
        <v>12.023999999999999</v>
      </c>
      <c r="H11" s="36">
        <v>12.423999999999999</v>
      </c>
      <c r="I11" s="36">
        <v>12.827</v>
      </c>
      <c r="J11" s="36">
        <v>13.25</v>
      </c>
      <c r="K11" s="36">
        <v>13.7</v>
      </c>
      <c r="L11" s="36">
        <v>14.170999999999999</v>
      </c>
      <c r="M11" s="36">
        <v>14.66</v>
      </c>
      <c r="N11" s="36">
        <v>15.159000000000001</v>
      </c>
      <c r="O11" s="36">
        <v>15.667</v>
      </c>
      <c r="P11" s="36">
        <v>16.195</v>
      </c>
      <c r="Q11" s="36">
        <v>16.747</v>
      </c>
      <c r="R11" s="36">
        <v>17.327999999999999</v>
      </c>
      <c r="S11" s="36">
        <v>17.943999999999999</v>
      </c>
      <c r="T11" s="36">
        <v>18.600000000000001</v>
      </c>
      <c r="U11" s="36">
        <v>19.291</v>
      </c>
      <c r="V11" s="36">
        <v>20.015000000000001</v>
      </c>
      <c r="W11" s="36">
        <v>20.779</v>
      </c>
      <c r="X11" s="36">
        <v>21.579000000000001</v>
      </c>
      <c r="Y11" s="36">
        <v>22.414999999999999</v>
      </c>
      <c r="Z11" s="36">
        <v>23.295000000000002</v>
      </c>
      <c r="AA11" s="36">
        <v>24.218</v>
      </c>
      <c r="AB11" s="36">
        <v>25.177</v>
      </c>
      <c r="AC11" s="36">
        <v>26.166</v>
      </c>
      <c r="AD11" s="36">
        <v>27.161000000000001</v>
      </c>
      <c r="AE11" s="36">
        <v>28.158000000000001</v>
      </c>
      <c r="AF11" s="36">
        <v>29.183</v>
      </c>
      <c r="AG11" s="36">
        <v>30.234999999999999</v>
      </c>
      <c r="AH11" s="36">
        <v>31.297000000000001</v>
      </c>
      <c r="AI11" s="36">
        <v>32.375999999999998</v>
      </c>
      <c r="AJ11" s="36">
        <v>33.451000000000001</v>
      </c>
      <c r="AK11" s="36">
        <v>34.531999999999996</v>
      </c>
      <c r="AL11" s="36">
        <v>35.634999999999998</v>
      </c>
      <c r="AM11" s="36">
        <v>36.75</v>
      </c>
      <c r="AN11" s="36">
        <v>37.886000000000003</v>
      </c>
      <c r="AO11" s="36">
        <v>39.04</v>
      </c>
      <c r="AP11" s="37">
        <v>40.215000000000003</v>
      </c>
      <c r="AQ11" s="37">
        <v>41.414999999999999</v>
      </c>
      <c r="AR11" s="37">
        <v>42.642000000000003</v>
      </c>
      <c r="AS11" s="37">
        <v>43.892000000000003</v>
      </c>
      <c r="AT11" s="37">
        <v>45.16</v>
      </c>
      <c r="AU11" s="37">
        <v>46.45</v>
      </c>
      <c r="AV11" s="37">
        <v>47.76</v>
      </c>
      <c r="AW11" s="37">
        <v>49.091000000000001</v>
      </c>
      <c r="AX11" s="37">
        <v>50.447000000000003</v>
      </c>
      <c r="AY11" s="37">
        <v>51.822000000000003</v>
      </c>
      <c r="AZ11" s="37">
        <v>53.216000000000001</v>
      </c>
      <c r="BA11" s="37">
        <v>54.625999999999998</v>
      </c>
      <c r="BB11" s="37">
        <v>56.054000000000002</v>
      </c>
      <c r="BC11" s="37">
        <v>57.502000000000002</v>
      </c>
      <c r="BD11" s="37">
        <v>58.965000000000003</v>
      </c>
      <c r="BE11" s="37">
        <v>60.441000000000003</v>
      </c>
      <c r="BF11" s="37">
        <v>61.927999999999997</v>
      </c>
      <c r="BG11" s="37">
        <v>63.430999999999997</v>
      </c>
      <c r="BH11" s="37">
        <v>64.944999999999993</v>
      </c>
      <c r="BI11" s="37">
        <v>66.463999999999999</v>
      </c>
      <c r="BJ11" s="37">
        <v>68.001000000000005</v>
      </c>
      <c r="BK11" s="37">
        <v>69.554000000000002</v>
      </c>
      <c r="BL11" s="37">
        <v>71.119</v>
      </c>
      <c r="BM11" s="37">
        <v>72.700999999999993</v>
      </c>
      <c r="BN11" s="37">
        <v>74.295000000000002</v>
      </c>
    </row>
    <row r="12" spans="1:66" x14ac:dyDescent="0.2">
      <c r="A12" s="2" t="s">
        <v>212</v>
      </c>
      <c r="B12" s="2" t="s">
        <v>213</v>
      </c>
      <c r="C12" s="11" t="s">
        <v>79</v>
      </c>
      <c r="D12" s="12" t="s">
        <v>697</v>
      </c>
      <c r="E12" s="35">
        <v>1.0000053073767201</v>
      </c>
      <c r="F12" s="36">
        <v>6.3E-2</v>
      </c>
      <c r="G12" s="36">
        <v>6.3E-2</v>
      </c>
      <c r="H12" s="36">
        <v>6.4000000000000001E-2</v>
      </c>
      <c r="I12" s="36">
        <v>6.6000000000000003E-2</v>
      </c>
      <c r="J12" s="36">
        <v>6.7000000000000004E-2</v>
      </c>
      <c r="K12" s="36">
        <v>6.8000000000000005E-2</v>
      </c>
      <c r="L12" s="36">
        <v>7.0000000000000007E-2</v>
      </c>
      <c r="M12" s="36">
        <v>7.0999999999999994E-2</v>
      </c>
      <c r="N12" s="36">
        <v>7.1999999999999995E-2</v>
      </c>
      <c r="O12" s="36">
        <v>7.3999999999999996E-2</v>
      </c>
      <c r="P12" s="36">
        <v>7.4999999999999997E-2</v>
      </c>
      <c r="Q12" s="36">
        <v>7.5999999999999998E-2</v>
      </c>
      <c r="R12" s="36">
        <v>7.6999999999999999E-2</v>
      </c>
      <c r="S12" s="36">
        <v>7.8E-2</v>
      </c>
      <c r="T12" s="36">
        <v>7.9000000000000001E-2</v>
      </c>
      <c r="U12" s="36">
        <v>0.08</v>
      </c>
      <c r="V12" s="36">
        <v>8.1000000000000003E-2</v>
      </c>
      <c r="W12" s="36">
        <v>8.2000000000000003E-2</v>
      </c>
      <c r="X12" s="36">
        <v>8.3000000000000004E-2</v>
      </c>
      <c r="Y12" s="36">
        <v>8.4000000000000005E-2</v>
      </c>
      <c r="Z12" s="36">
        <v>8.5000000000000006E-2</v>
      </c>
      <c r="AA12" s="36">
        <v>8.5999999999999993E-2</v>
      </c>
      <c r="AB12" s="36">
        <v>8.6999999999999994E-2</v>
      </c>
      <c r="AC12" s="36">
        <v>8.7999999999999995E-2</v>
      </c>
      <c r="AD12" s="36">
        <v>8.8999999999999996E-2</v>
      </c>
      <c r="AE12" s="36">
        <v>8.8999999999999996E-2</v>
      </c>
      <c r="AF12" s="36">
        <v>0.09</v>
      </c>
      <c r="AG12" s="36">
        <v>0.09</v>
      </c>
      <c r="AH12" s="36">
        <v>9.0999999999999998E-2</v>
      </c>
      <c r="AI12" s="36">
        <v>9.0999999999999998E-2</v>
      </c>
      <c r="AJ12" s="36">
        <v>9.1999999999999998E-2</v>
      </c>
      <c r="AK12" s="36">
        <v>9.1999999999999998E-2</v>
      </c>
      <c r="AL12" s="36">
        <v>9.2999999999999999E-2</v>
      </c>
      <c r="AM12" s="36">
        <v>9.2999999999999999E-2</v>
      </c>
      <c r="AN12" s="36">
        <v>9.4E-2</v>
      </c>
      <c r="AO12" s="36">
        <v>9.4E-2</v>
      </c>
      <c r="AP12" s="37">
        <v>9.5000000000000001E-2</v>
      </c>
      <c r="AQ12" s="37">
        <v>9.5000000000000001E-2</v>
      </c>
      <c r="AR12" s="37">
        <v>9.5000000000000001E-2</v>
      </c>
      <c r="AS12" s="37">
        <v>9.6000000000000002E-2</v>
      </c>
      <c r="AT12" s="37">
        <v>9.6000000000000002E-2</v>
      </c>
      <c r="AU12" s="37">
        <v>9.6000000000000002E-2</v>
      </c>
      <c r="AV12" s="37">
        <v>9.6000000000000002E-2</v>
      </c>
      <c r="AW12" s="37">
        <v>9.7000000000000003E-2</v>
      </c>
      <c r="AX12" s="37">
        <v>9.7000000000000003E-2</v>
      </c>
      <c r="AY12" s="37">
        <v>9.7000000000000003E-2</v>
      </c>
      <c r="AZ12" s="37">
        <v>9.7000000000000003E-2</v>
      </c>
      <c r="BA12" s="37">
        <v>9.7000000000000003E-2</v>
      </c>
      <c r="BB12" s="37">
        <v>9.7000000000000003E-2</v>
      </c>
      <c r="BC12" s="37">
        <v>9.7000000000000003E-2</v>
      </c>
      <c r="BD12" s="37">
        <v>9.7000000000000003E-2</v>
      </c>
      <c r="BE12" s="37">
        <v>9.7000000000000003E-2</v>
      </c>
      <c r="BF12" s="37">
        <v>9.7000000000000003E-2</v>
      </c>
      <c r="BG12" s="37">
        <v>9.7000000000000003E-2</v>
      </c>
      <c r="BH12" s="37">
        <v>9.7000000000000003E-2</v>
      </c>
      <c r="BI12" s="37">
        <v>9.6000000000000002E-2</v>
      </c>
      <c r="BJ12" s="37">
        <v>9.6000000000000002E-2</v>
      </c>
      <c r="BK12" s="37">
        <v>9.6000000000000002E-2</v>
      </c>
      <c r="BL12" s="37">
        <v>9.6000000000000002E-2</v>
      </c>
      <c r="BM12" s="37">
        <v>9.5000000000000001E-2</v>
      </c>
      <c r="BN12" s="37">
        <v>9.5000000000000001E-2</v>
      </c>
    </row>
    <row r="13" spans="1:66" x14ac:dyDescent="0.2">
      <c r="A13" s="2" t="s">
        <v>214</v>
      </c>
      <c r="B13" s="2" t="s">
        <v>215</v>
      </c>
      <c r="C13" s="11" t="s">
        <v>82</v>
      </c>
      <c r="D13" s="12" t="s">
        <v>697</v>
      </c>
      <c r="E13" s="35">
        <v>1.0000000109048</v>
      </c>
      <c r="F13" s="36">
        <v>32.756</v>
      </c>
      <c r="G13" s="36">
        <v>33.229999999999997</v>
      </c>
      <c r="H13" s="36">
        <v>33.694000000000003</v>
      </c>
      <c r="I13" s="36">
        <v>34.152999999999999</v>
      </c>
      <c r="J13" s="36">
        <v>34.613</v>
      </c>
      <c r="K13" s="36">
        <v>35.07</v>
      </c>
      <c r="L13" s="36">
        <v>35.514000000000003</v>
      </c>
      <c r="M13" s="36">
        <v>35.948</v>
      </c>
      <c r="N13" s="36">
        <v>36.372999999999998</v>
      </c>
      <c r="O13" s="36">
        <v>36.795000000000002</v>
      </c>
      <c r="P13" s="36">
        <v>37.213999999999999</v>
      </c>
      <c r="Q13" s="36">
        <v>37.625</v>
      </c>
      <c r="R13" s="36">
        <v>38.029000000000003</v>
      </c>
      <c r="S13" s="36">
        <v>38.423999999999999</v>
      </c>
      <c r="T13" s="36">
        <v>38.816000000000003</v>
      </c>
      <c r="U13" s="36">
        <v>39.216999999999999</v>
      </c>
      <c r="V13" s="36">
        <v>39.622</v>
      </c>
      <c r="W13" s="36">
        <v>40.017000000000003</v>
      </c>
      <c r="X13" s="36">
        <v>40.423999999999999</v>
      </c>
      <c r="Y13" s="36">
        <v>40.854999999999997</v>
      </c>
      <c r="Z13" s="36">
        <v>41.289000000000001</v>
      </c>
      <c r="AA13" s="36">
        <v>41.731000000000002</v>
      </c>
      <c r="AB13" s="36">
        <v>42.161999999999999</v>
      </c>
      <c r="AC13" s="36">
        <v>42.582000000000001</v>
      </c>
      <c r="AD13" s="36">
        <v>43.024000000000001</v>
      </c>
      <c r="AE13" s="36">
        <v>43.476999999999997</v>
      </c>
      <c r="AF13" s="36">
        <v>43.9</v>
      </c>
      <c r="AG13" s="36">
        <v>44.289000000000001</v>
      </c>
      <c r="AH13" s="36">
        <v>44.655000000000001</v>
      </c>
      <c r="AI13" s="36">
        <v>44.972999999999999</v>
      </c>
      <c r="AJ13" s="36">
        <v>45.192</v>
      </c>
      <c r="AK13" s="36">
        <v>45.311999999999998</v>
      </c>
      <c r="AL13" s="36">
        <v>45.408000000000001</v>
      </c>
      <c r="AM13" s="36">
        <v>45.537999999999997</v>
      </c>
      <c r="AN13" s="36">
        <v>45.695999999999998</v>
      </c>
      <c r="AO13" s="36">
        <v>45.850999999999999</v>
      </c>
      <c r="AP13" s="37">
        <v>46.003999999999998</v>
      </c>
      <c r="AQ13" s="37">
        <v>46.152999999999999</v>
      </c>
      <c r="AR13" s="37">
        <v>46.3</v>
      </c>
      <c r="AS13" s="37">
        <v>46.444000000000003</v>
      </c>
      <c r="AT13" s="37">
        <v>46.585000000000001</v>
      </c>
      <c r="AU13" s="37">
        <v>46.723999999999997</v>
      </c>
      <c r="AV13" s="37">
        <v>46.86</v>
      </c>
      <c r="AW13" s="37">
        <v>46.994</v>
      </c>
      <c r="AX13" s="37">
        <v>47.125</v>
      </c>
      <c r="AY13" s="37">
        <v>47.252000000000002</v>
      </c>
      <c r="AZ13" s="37">
        <v>47.375</v>
      </c>
      <c r="BA13" s="37">
        <v>47.494999999999997</v>
      </c>
      <c r="BB13" s="37">
        <v>47.609000000000002</v>
      </c>
      <c r="BC13" s="37">
        <v>47.716999999999999</v>
      </c>
      <c r="BD13" s="37">
        <v>47.817999999999998</v>
      </c>
      <c r="BE13" s="37">
        <v>47.91</v>
      </c>
      <c r="BF13" s="37">
        <v>47.994999999999997</v>
      </c>
      <c r="BG13" s="37">
        <v>48.07</v>
      </c>
      <c r="BH13" s="37">
        <v>48.136000000000003</v>
      </c>
      <c r="BI13" s="37">
        <v>48.192</v>
      </c>
      <c r="BJ13" s="37">
        <v>48.238</v>
      </c>
      <c r="BK13" s="37">
        <v>48.271999999999998</v>
      </c>
      <c r="BL13" s="37">
        <v>48.295999999999999</v>
      </c>
      <c r="BM13" s="37">
        <v>48.308</v>
      </c>
      <c r="BN13" s="37">
        <v>48.308999999999997</v>
      </c>
    </row>
    <row r="14" spans="1:66" x14ac:dyDescent="0.2">
      <c r="A14" s="2" t="s">
        <v>216</v>
      </c>
      <c r="B14" s="2" t="s">
        <v>217</v>
      </c>
      <c r="C14" s="11" t="s">
        <v>82</v>
      </c>
      <c r="D14" s="12" t="s">
        <v>697</v>
      </c>
      <c r="E14" s="35">
        <v>1.0455009874288901</v>
      </c>
      <c r="F14" s="36">
        <v>3.552</v>
      </c>
      <c r="G14" s="36">
        <v>3.6139999999999999</v>
      </c>
      <c r="H14" s="36">
        <v>3.5720000000000001</v>
      </c>
      <c r="I14" s="36">
        <v>3.4529999999999998</v>
      </c>
      <c r="J14" s="36">
        <v>3.3650000000000002</v>
      </c>
      <c r="K14" s="36">
        <v>3.3079999999999998</v>
      </c>
      <c r="L14" s="36">
        <v>3.2789999999999999</v>
      </c>
      <c r="M14" s="36">
        <v>3.246</v>
      </c>
      <c r="N14" s="36">
        <v>3.2080000000000002</v>
      </c>
      <c r="O14" s="36">
        <v>3.1669999999999998</v>
      </c>
      <c r="P14" s="36">
        <v>3.2210000000000001</v>
      </c>
      <c r="Q14" s="36">
        <v>3.2120000000000002</v>
      </c>
      <c r="R14" s="36">
        <v>3.2</v>
      </c>
      <c r="S14" s="36">
        <v>3.1829999999999998</v>
      </c>
      <c r="T14" s="36">
        <v>3.165</v>
      </c>
      <c r="U14" s="36">
        <v>3.1459999999999999</v>
      </c>
      <c r="V14" s="36">
        <v>3.1269999999999998</v>
      </c>
      <c r="W14" s="36">
        <v>3.1070000000000002</v>
      </c>
      <c r="X14" s="36">
        <v>3.0870000000000002</v>
      </c>
      <c r="Y14" s="36">
        <v>3.0659999999999998</v>
      </c>
      <c r="Z14" s="36">
        <v>3.0449999999999999</v>
      </c>
      <c r="AA14" s="36">
        <v>3.028</v>
      </c>
      <c r="AB14" s="36">
        <v>3.024</v>
      </c>
      <c r="AC14" s="36">
        <v>3.0219999999999998</v>
      </c>
      <c r="AD14" s="36">
        <v>3.0139999999999998</v>
      </c>
      <c r="AE14" s="36">
        <v>3.0049999999999999</v>
      </c>
      <c r="AF14" s="36">
        <v>2.992</v>
      </c>
      <c r="AG14" s="36">
        <v>2.9790000000000001</v>
      </c>
      <c r="AH14" s="36">
        <v>2.9689999999999999</v>
      </c>
      <c r="AI14" s="36">
        <v>2.9620000000000002</v>
      </c>
      <c r="AJ14" s="36">
        <v>2.9620000000000002</v>
      </c>
      <c r="AK14" s="36">
        <v>2.9620000000000002</v>
      </c>
      <c r="AL14" s="36">
        <v>2.9689999999999999</v>
      </c>
      <c r="AM14" s="36">
        <v>2.964</v>
      </c>
      <c r="AN14" s="36">
        <v>3.0339999999999998</v>
      </c>
      <c r="AO14" s="36">
        <v>3.0870000000000002</v>
      </c>
      <c r="AP14" s="37">
        <v>3.0640000000000001</v>
      </c>
      <c r="AQ14" s="37">
        <v>3.0430000000000001</v>
      </c>
      <c r="AR14" s="37">
        <v>3.0219999999999998</v>
      </c>
      <c r="AS14" s="37">
        <v>3.0019999999999998</v>
      </c>
      <c r="AT14" s="37">
        <v>2.9809999999999999</v>
      </c>
      <c r="AU14" s="37">
        <v>2.9609999999999999</v>
      </c>
      <c r="AV14" s="37">
        <v>2.9409999999999998</v>
      </c>
      <c r="AW14" s="37">
        <v>2.9209999999999998</v>
      </c>
      <c r="AX14" s="37">
        <v>2.9020000000000001</v>
      </c>
      <c r="AY14" s="37">
        <v>2.8820000000000001</v>
      </c>
      <c r="AZ14" s="37">
        <v>2.863</v>
      </c>
      <c r="BA14" s="37">
        <v>2.8439999999999999</v>
      </c>
      <c r="BB14" s="37">
        <v>2.8250000000000002</v>
      </c>
      <c r="BC14" s="37">
        <v>2.806</v>
      </c>
      <c r="BD14" s="37">
        <v>2.7869999999999999</v>
      </c>
      <c r="BE14" s="37">
        <v>2.7679999999999998</v>
      </c>
      <c r="BF14" s="37">
        <v>2.75</v>
      </c>
      <c r="BG14" s="37">
        <v>2.7320000000000002</v>
      </c>
      <c r="BH14" s="37">
        <v>2.714</v>
      </c>
      <c r="BI14" s="37">
        <v>2.6970000000000001</v>
      </c>
      <c r="BJ14" s="37">
        <v>2.6789999999999998</v>
      </c>
      <c r="BK14" s="37">
        <v>2.6619999999999999</v>
      </c>
      <c r="BL14" s="37">
        <v>2.6440000000000001</v>
      </c>
      <c r="BM14" s="37">
        <v>2.6259999999999999</v>
      </c>
      <c r="BN14" s="37">
        <v>2.609</v>
      </c>
    </row>
    <row r="15" spans="1:66" x14ac:dyDescent="0.2">
      <c r="A15" s="2" t="s">
        <v>219</v>
      </c>
      <c r="B15" s="2" t="s">
        <v>220</v>
      </c>
      <c r="C15" s="11" t="s">
        <v>79</v>
      </c>
      <c r="D15" s="12" t="s">
        <v>697</v>
      </c>
      <c r="E15" s="35">
        <v>1.0058947271088099</v>
      </c>
      <c r="F15" s="36">
        <v>6.3E-2</v>
      </c>
      <c r="G15" s="36">
        <v>6.6000000000000003E-2</v>
      </c>
      <c r="H15" s="36">
        <v>6.9000000000000006E-2</v>
      </c>
      <c r="I15" s="36">
        <v>7.3999999999999996E-2</v>
      </c>
      <c r="J15" s="36">
        <v>7.8E-2</v>
      </c>
      <c r="K15" s="36">
        <v>0.08</v>
      </c>
      <c r="L15" s="36">
        <v>8.3000000000000004E-2</v>
      </c>
      <c r="M15" s="36">
        <v>8.5999999999999993E-2</v>
      </c>
      <c r="N15" s="36">
        <v>8.7999999999999995E-2</v>
      </c>
      <c r="O15" s="36">
        <v>0.09</v>
      </c>
      <c r="P15" s="36">
        <v>9.0999999999999998E-2</v>
      </c>
      <c r="Q15" s="36">
        <v>9.0999999999999998E-2</v>
      </c>
      <c r="R15" s="36">
        <v>9.1999999999999998E-2</v>
      </c>
      <c r="S15" s="36">
        <v>9.2999999999999999E-2</v>
      </c>
      <c r="T15" s="36">
        <v>9.5000000000000001E-2</v>
      </c>
      <c r="U15" s="36">
        <v>9.8000000000000004E-2</v>
      </c>
      <c r="V15" s="36">
        <v>9.9000000000000005E-2</v>
      </c>
      <c r="W15" s="36">
        <v>0.1</v>
      </c>
      <c r="X15" s="36">
        <v>0.10100000000000001</v>
      </c>
      <c r="Y15" s="36">
        <v>0.10199999999999999</v>
      </c>
      <c r="Z15" s="36">
        <v>0.10199999999999999</v>
      </c>
      <c r="AA15" s="36">
        <v>0.10299999999999999</v>
      </c>
      <c r="AB15" s="36">
        <v>0.104</v>
      </c>
      <c r="AC15" s="36">
        <v>0.106</v>
      </c>
      <c r="AD15" s="36">
        <v>0.107</v>
      </c>
      <c r="AE15" s="36">
        <v>0.108</v>
      </c>
      <c r="AF15" s="36">
        <v>0.109</v>
      </c>
      <c r="AG15" s="36">
        <v>0.109</v>
      </c>
      <c r="AH15" s="36">
        <v>0.109</v>
      </c>
      <c r="AI15" s="36">
        <v>0.109</v>
      </c>
      <c r="AJ15" s="36">
        <v>0.109</v>
      </c>
      <c r="AK15" s="36">
        <v>0.108</v>
      </c>
      <c r="AL15" s="36">
        <v>0.107</v>
      </c>
      <c r="AM15" s="36">
        <v>0.107</v>
      </c>
      <c r="AN15" s="36">
        <v>0.108</v>
      </c>
      <c r="AO15" s="36">
        <v>0.109</v>
      </c>
      <c r="AP15" s="37">
        <v>0.109</v>
      </c>
      <c r="AQ15" s="37">
        <v>0.109</v>
      </c>
      <c r="AR15" s="37">
        <v>0.109</v>
      </c>
      <c r="AS15" s="37">
        <v>0.109</v>
      </c>
      <c r="AT15" s="37">
        <v>0.108</v>
      </c>
      <c r="AU15" s="37">
        <v>0.108</v>
      </c>
      <c r="AV15" s="37">
        <v>0.108</v>
      </c>
      <c r="AW15" s="37">
        <v>0.108</v>
      </c>
      <c r="AX15" s="37">
        <v>0.108</v>
      </c>
      <c r="AY15" s="37">
        <v>0.107</v>
      </c>
      <c r="AZ15" s="37">
        <v>0.107</v>
      </c>
      <c r="BA15" s="37">
        <v>0.107</v>
      </c>
      <c r="BB15" s="37">
        <v>0.106</v>
      </c>
      <c r="BC15" s="37">
        <v>0.106</v>
      </c>
      <c r="BD15" s="37">
        <v>0.106</v>
      </c>
      <c r="BE15" s="37">
        <v>0.105</v>
      </c>
      <c r="BF15" s="37">
        <v>0.105</v>
      </c>
      <c r="BG15" s="37">
        <v>0.104</v>
      </c>
      <c r="BH15" s="37">
        <v>0.104</v>
      </c>
      <c r="BI15" s="37">
        <v>0.10299999999999999</v>
      </c>
      <c r="BJ15" s="37">
        <v>0.10299999999999999</v>
      </c>
      <c r="BK15" s="37">
        <v>0.10199999999999999</v>
      </c>
      <c r="BL15" s="37">
        <v>0.10199999999999999</v>
      </c>
      <c r="BM15" s="37">
        <v>0.10100000000000001</v>
      </c>
      <c r="BN15" s="37">
        <v>0.10100000000000001</v>
      </c>
    </row>
    <row r="16" spans="1:66" x14ac:dyDescent="0.2">
      <c r="A16" s="2" t="s">
        <v>221</v>
      </c>
      <c r="B16" s="2" t="s">
        <v>222</v>
      </c>
      <c r="C16" s="11" t="s">
        <v>79</v>
      </c>
      <c r="D16" s="12" t="s">
        <v>697</v>
      </c>
      <c r="E16" s="35">
        <v>1.0237408016141201</v>
      </c>
      <c r="F16" s="36">
        <v>17.065000000000001</v>
      </c>
      <c r="G16" s="36">
        <v>17.283999999999999</v>
      </c>
      <c r="H16" s="36">
        <v>17.478999999999999</v>
      </c>
      <c r="I16" s="36">
        <v>17.635000000000002</v>
      </c>
      <c r="J16" s="36">
        <v>17.805</v>
      </c>
      <c r="K16" s="36">
        <v>18.004999999999999</v>
      </c>
      <c r="L16" s="36">
        <v>18.225000000000001</v>
      </c>
      <c r="M16" s="36">
        <v>18.422999999999998</v>
      </c>
      <c r="N16" s="36">
        <v>18.608000000000001</v>
      </c>
      <c r="O16" s="36">
        <v>18.812000000000001</v>
      </c>
      <c r="P16" s="36">
        <v>19.029</v>
      </c>
      <c r="Q16" s="36">
        <v>19.274999999999999</v>
      </c>
      <c r="R16" s="36">
        <v>19.495000000000001</v>
      </c>
      <c r="S16" s="36">
        <v>19.721</v>
      </c>
      <c r="T16" s="36">
        <v>19.933</v>
      </c>
      <c r="U16" s="36">
        <v>20.177</v>
      </c>
      <c r="V16" s="36">
        <v>20.451000000000001</v>
      </c>
      <c r="W16" s="36">
        <v>20.827999999999999</v>
      </c>
      <c r="X16" s="36">
        <v>21.248999999999999</v>
      </c>
      <c r="Y16" s="36">
        <v>21.692</v>
      </c>
      <c r="Z16" s="36">
        <v>22.032</v>
      </c>
      <c r="AA16" s="36">
        <v>22.34</v>
      </c>
      <c r="AB16" s="36">
        <v>22.733000000000001</v>
      </c>
      <c r="AC16" s="36">
        <v>23.128</v>
      </c>
      <c r="AD16" s="36">
        <v>23.475999999999999</v>
      </c>
      <c r="AE16" s="36">
        <v>23.815999999999999</v>
      </c>
      <c r="AF16" s="36">
        <v>24.190999999999999</v>
      </c>
      <c r="AG16" s="36">
        <v>24.593</v>
      </c>
      <c r="AH16" s="36">
        <v>24.963000000000001</v>
      </c>
      <c r="AI16" s="36">
        <v>25.335000000000001</v>
      </c>
      <c r="AJ16" s="36">
        <v>25.649000000000001</v>
      </c>
      <c r="AK16" s="36">
        <v>25.684999999999999</v>
      </c>
      <c r="AL16" s="36">
        <v>26.018999999999998</v>
      </c>
      <c r="AM16" s="36">
        <v>26.66</v>
      </c>
      <c r="AN16" s="36">
        <v>27.193999999999999</v>
      </c>
      <c r="AO16" s="36">
        <v>27.614000000000001</v>
      </c>
      <c r="AP16" s="37">
        <v>27.873000000000001</v>
      </c>
      <c r="AQ16" s="37">
        <v>28.126999999999999</v>
      </c>
      <c r="AR16" s="37">
        <v>28.376999999999999</v>
      </c>
      <c r="AS16" s="37">
        <v>28.62</v>
      </c>
      <c r="AT16" s="37">
        <v>28.858000000000001</v>
      </c>
      <c r="AU16" s="37">
        <v>29.091999999999999</v>
      </c>
      <c r="AV16" s="37">
        <v>29.321999999999999</v>
      </c>
      <c r="AW16" s="37">
        <v>29.547000000000001</v>
      </c>
      <c r="AX16" s="37">
        <v>29.768999999999998</v>
      </c>
      <c r="AY16" s="37">
        <v>29.992000000000001</v>
      </c>
      <c r="AZ16" s="37">
        <v>30.213999999999999</v>
      </c>
      <c r="BA16" s="37">
        <v>30.431999999999999</v>
      </c>
      <c r="BB16" s="37">
        <v>30.649000000000001</v>
      </c>
      <c r="BC16" s="37">
        <v>30.864000000000001</v>
      </c>
      <c r="BD16" s="37">
        <v>31.077999999999999</v>
      </c>
      <c r="BE16" s="37">
        <v>31.295999999999999</v>
      </c>
      <c r="BF16" s="37">
        <v>31.516999999999999</v>
      </c>
      <c r="BG16" s="37">
        <v>31.738</v>
      </c>
      <c r="BH16" s="37">
        <v>31.957000000000001</v>
      </c>
      <c r="BI16" s="37">
        <v>32.177</v>
      </c>
      <c r="BJ16" s="37">
        <v>32.402000000000001</v>
      </c>
      <c r="BK16" s="37">
        <v>32.622999999999998</v>
      </c>
      <c r="BL16" s="37">
        <v>32.843000000000004</v>
      </c>
      <c r="BM16" s="37">
        <v>33.064</v>
      </c>
      <c r="BN16" s="37">
        <v>33.279000000000003</v>
      </c>
    </row>
    <row r="17" spans="1:66" x14ac:dyDescent="0.2">
      <c r="A17" s="2" t="s">
        <v>223</v>
      </c>
      <c r="B17" s="2" t="s">
        <v>224</v>
      </c>
      <c r="C17" s="11" t="s">
        <v>79</v>
      </c>
      <c r="D17" s="12" t="s">
        <v>697</v>
      </c>
      <c r="E17" s="35">
        <v>1.01037891391456</v>
      </c>
      <c r="F17" s="36">
        <v>7.6779999999999999</v>
      </c>
      <c r="G17" s="36">
        <v>7.7549999999999999</v>
      </c>
      <c r="H17" s="36">
        <v>7.8410000000000002</v>
      </c>
      <c r="I17" s="36">
        <v>7.9059999999999997</v>
      </c>
      <c r="J17" s="36">
        <v>7.9359999999999999</v>
      </c>
      <c r="K17" s="36">
        <v>7.9480000000000004</v>
      </c>
      <c r="L17" s="36">
        <v>7.9589999999999996</v>
      </c>
      <c r="M17" s="36">
        <v>7.968</v>
      </c>
      <c r="N17" s="36">
        <v>7.9770000000000003</v>
      </c>
      <c r="O17" s="36">
        <v>7.992</v>
      </c>
      <c r="P17" s="36">
        <v>8.0120000000000005</v>
      </c>
      <c r="Q17" s="36">
        <v>8.0419999999999998</v>
      </c>
      <c r="R17" s="36">
        <v>8.0820000000000007</v>
      </c>
      <c r="S17" s="36">
        <v>8.1210000000000004</v>
      </c>
      <c r="T17" s="36">
        <v>8.1720000000000006</v>
      </c>
      <c r="U17" s="36">
        <v>8.2279999999999998</v>
      </c>
      <c r="V17" s="36">
        <v>8.2690000000000001</v>
      </c>
      <c r="W17" s="36">
        <v>8.2949999999999999</v>
      </c>
      <c r="X17" s="36">
        <v>8.3209999999999997</v>
      </c>
      <c r="Y17" s="36">
        <v>8.343</v>
      </c>
      <c r="Z17" s="36">
        <v>8.3629999999999995</v>
      </c>
      <c r="AA17" s="36">
        <v>8.3919999999999995</v>
      </c>
      <c r="AB17" s="36">
        <v>8.43</v>
      </c>
      <c r="AC17" s="36">
        <v>8.48</v>
      </c>
      <c r="AD17" s="36">
        <v>8.5459999999999994</v>
      </c>
      <c r="AE17" s="36">
        <v>8.6430000000000007</v>
      </c>
      <c r="AF17" s="36">
        <v>8.7370000000000001</v>
      </c>
      <c r="AG17" s="36">
        <v>8.798</v>
      </c>
      <c r="AH17" s="36">
        <v>8.8409999999999993</v>
      </c>
      <c r="AI17" s="36">
        <v>8.8800000000000008</v>
      </c>
      <c r="AJ17" s="36">
        <v>8.9169999999999998</v>
      </c>
      <c r="AK17" s="36">
        <v>8.9559999999999995</v>
      </c>
      <c r="AL17" s="36">
        <v>9.0419999999999998</v>
      </c>
      <c r="AM17" s="36">
        <v>9.1319999999999997</v>
      </c>
      <c r="AN17" s="36">
        <v>9.1780000000000008</v>
      </c>
      <c r="AO17" s="36">
        <v>9.2080000000000002</v>
      </c>
      <c r="AP17" s="37">
        <v>9.202</v>
      </c>
      <c r="AQ17" s="37">
        <v>9.1959999999999997</v>
      </c>
      <c r="AR17" s="37">
        <v>9.1910000000000007</v>
      </c>
      <c r="AS17" s="37">
        <v>9.1839999999999993</v>
      </c>
      <c r="AT17" s="37">
        <v>9.1750000000000007</v>
      </c>
      <c r="AU17" s="37">
        <v>9.1630000000000003</v>
      </c>
      <c r="AV17" s="37">
        <v>9.1509999999999998</v>
      </c>
      <c r="AW17" s="37">
        <v>9.1370000000000005</v>
      </c>
      <c r="AX17" s="37">
        <v>9.1229999999999993</v>
      </c>
      <c r="AY17" s="37">
        <v>9.1080000000000005</v>
      </c>
      <c r="AZ17" s="37">
        <v>9.093</v>
      </c>
      <c r="BA17" s="37">
        <v>9.0760000000000005</v>
      </c>
      <c r="BB17" s="37">
        <v>9.0589999999999993</v>
      </c>
      <c r="BC17" s="37">
        <v>9.0440000000000005</v>
      </c>
      <c r="BD17" s="37">
        <v>9.0269999999999992</v>
      </c>
      <c r="BE17" s="37">
        <v>9.01</v>
      </c>
      <c r="BF17" s="37">
        <v>8.9930000000000003</v>
      </c>
      <c r="BG17" s="37">
        <v>8.9749999999999996</v>
      </c>
      <c r="BH17" s="37">
        <v>8.9570000000000007</v>
      </c>
      <c r="BI17" s="37">
        <v>8.9369999999999994</v>
      </c>
      <c r="BJ17" s="37">
        <v>8.9160000000000004</v>
      </c>
      <c r="BK17" s="37">
        <v>8.8930000000000007</v>
      </c>
      <c r="BL17" s="37">
        <v>8.8689999999999998</v>
      </c>
      <c r="BM17" s="37">
        <v>8.843</v>
      </c>
      <c r="BN17" s="37">
        <v>8.8149999999999995</v>
      </c>
    </row>
    <row r="18" spans="1:66" x14ac:dyDescent="0.2">
      <c r="A18" s="2" t="s">
        <v>225</v>
      </c>
      <c r="B18" s="2" t="s">
        <v>226</v>
      </c>
      <c r="C18" s="11" t="s">
        <v>82</v>
      </c>
      <c r="D18" s="12" t="s">
        <v>697</v>
      </c>
      <c r="E18" s="35">
        <v>0.98550479321750795</v>
      </c>
      <c r="F18" s="36">
        <v>7.1749999999999998</v>
      </c>
      <c r="G18" s="36">
        <v>7.2709999999999999</v>
      </c>
      <c r="H18" s="36">
        <v>7.3819999999999997</v>
      </c>
      <c r="I18" s="36">
        <v>7.4950000000000001</v>
      </c>
      <c r="J18" s="36">
        <v>7.5970000000000004</v>
      </c>
      <c r="K18" s="36">
        <v>7.6849999999999996</v>
      </c>
      <c r="L18" s="36">
        <v>7.7629999999999999</v>
      </c>
      <c r="M18" s="36">
        <v>7.8380000000000001</v>
      </c>
      <c r="N18" s="36">
        <v>7.9130000000000003</v>
      </c>
      <c r="O18" s="36">
        <v>7.9829999999999997</v>
      </c>
      <c r="P18" s="36">
        <v>8.0489999999999995</v>
      </c>
      <c r="Q18" s="36">
        <v>8.1110000000000007</v>
      </c>
      <c r="R18" s="36">
        <v>8.1720000000000006</v>
      </c>
      <c r="S18" s="36">
        <v>8.234</v>
      </c>
      <c r="T18" s="36">
        <v>8.3059999999999992</v>
      </c>
      <c r="U18" s="36">
        <v>8.3919999999999995</v>
      </c>
      <c r="V18" s="36">
        <v>8.4849999999999994</v>
      </c>
      <c r="W18" s="36">
        <v>8.5809999999999995</v>
      </c>
      <c r="X18" s="36">
        <v>8.7629999999999999</v>
      </c>
      <c r="Y18" s="36">
        <v>8.9469999999999992</v>
      </c>
      <c r="Z18" s="36">
        <v>9.0540000000000003</v>
      </c>
      <c r="AA18" s="36">
        <v>9.173</v>
      </c>
      <c r="AB18" s="36">
        <v>9.2959999999999994</v>
      </c>
      <c r="AC18" s="36">
        <v>9.4169999999999998</v>
      </c>
      <c r="AD18" s="36">
        <v>9.5350000000000001</v>
      </c>
      <c r="AE18" s="36">
        <v>9.6489999999999991</v>
      </c>
      <c r="AF18" s="36">
        <v>9.7579999999999991</v>
      </c>
      <c r="AG18" s="36">
        <v>9.8539999999999992</v>
      </c>
      <c r="AH18" s="36">
        <v>9.94</v>
      </c>
      <c r="AI18" s="36">
        <v>10.023999999999999</v>
      </c>
      <c r="AJ18" s="36">
        <v>10.093</v>
      </c>
      <c r="AK18" s="36">
        <v>10.138</v>
      </c>
      <c r="AL18" s="36">
        <v>10.141999999999999</v>
      </c>
      <c r="AM18" s="36">
        <v>10.154</v>
      </c>
      <c r="AN18" s="36">
        <v>10.202999999999999</v>
      </c>
      <c r="AO18" s="36">
        <v>10.247</v>
      </c>
      <c r="AP18" s="37">
        <v>10.303000000000001</v>
      </c>
      <c r="AQ18" s="37">
        <v>10.356999999999999</v>
      </c>
      <c r="AR18" s="37">
        <v>10.409000000000001</v>
      </c>
      <c r="AS18" s="37">
        <v>10.461</v>
      </c>
      <c r="AT18" s="37">
        <v>10.510999999999999</v>
      </c>
      <c r="AU18" s="37">
        <v>10.558999999999999</v>
      </c>
      <c r="AV18" s="37">
        <v>10.606999999999999</v>
      </c>
      <c r="AW18" s="37">
        <v>10.653</v>
      </c>
      <c r="AX18" s="37">
        <v>10.698</v>
      </c>
      <c r="AY18" s="37">
        <v>10.741</v>
      </c>
      <c r="AZ18" s="37">
        <v>10.782</v>
      </c>
      <c r="BA18" s="37">
        <v>10.821</v>
      </c>
      <c r="BB18" s="37">
        <v>10.856999999999999</v>
      </c>
      <c r="BC18" s="37">
        <v>10.89</v>
      </c>
      <c r="BD18" s="37">
        <v>10.920999999999999</v>
      </c>
      <c r="BE18" s="37">
        <v>10.948</v>
      </c>
      <c r="BF18" s="37">
        <v>10.972</v>
      </c>
      <c r="BG18" s="37">
        <v>10.993</v>
      </c>
      <c r="BH18" s="37">
        <v>11.010999999999999</v>
      </c>
      <c r="BI18" s="37">
        <v>11.026999999999999</v>
      </c>
      <c r="BJ18" s="37">
        <v>11.039</v>
      </c>
      <c r="BK18" s="37">
        <v>11.048999999999999</v>
      </c>
      <c r="BL18" s="37">
        <v>11.057</v>
      </c>
      <c r="BM18" s="37">
        <v>11.061</v>
      </c>
      <c r="BN18" s="37">
        <v>11.061999999999999</v>
      </c>
    </row>
    <row r="19" spans="1:66" x14ac:dyDescent="0.2">
      <c r="A19" s="2" t="s">
        <v>227</v>
      </c>
      <c r="B19" s="2" t="s">
        <v>228</v>
      </c>
      <c r="C19" s="11" t="s">
        <v>79</v>
      </c>
      <c r="D19" s="12" t="s">
        <v>697</v>
      </c>
      <c r="E19" s="35">
        <v>1.00000124059474</v>
      </c>
      <c r="F19" s="36">
        <v>0.27600000000000002</v>
      </c>
      <c r="G19" s="36">
        <v>0.28100000000000003</v>
      </c>
      <c r="H19" s="36">
        <v>0.28599999999999998</v>
      </c>
      <c r="I19" s="36">
        <v>0.29099999999999998</v>
      </c>
      <c r="J19" s="36">
        <v>0.29699999999999999</v>
      </c>
      <c r="K19" s="36">
        <v>0.30099999999999999</v>
      </c>
      <c r="L19" s="36">
        <v>0.30599999999999999</v>
      </c>
      <c r="M19" s="36">
        <v>0.311</v>
      </c>
      <c r="N19" s="36">
        <v>0.315</v>
      </c>
      <c r="O19" s="36">
        <v>0.32</v>
      </c>
      <c r="P19" s="36">
        <v>0.32400000000000001</v>
      </c>
      <c r="Q19" s="36">
        <v>0.32800000000000001</v>
      </c>
      <c r="R19" s="36">
        <v>0.33200000000000002</v>
      </c>
      <c r="S19" s="36">
        <v>0.33600000000000002</v>
      </c>
      <c r="T19" s="36">
        <v>0.34</v>
      </c>
      <c r="U19" s="36">
        <v>0.34399999999999997</v>
      </c>
      <c r="V19" s="36">
        <v>0.34799999999999998</v>
      </c>
      <c r="W19" s="36">
        <v>0.35299999999999998</v>
      </c>
      <c r="X19" s="36">
        <v>0.35799999999999998</v>
      </c>
      <c r="Y19" s="36">
        <v>0.36299999999999999</v>
      </c>
      <c r="Z19" s="36">
        <v>0.36699999999999999</v>
      </c>
      <c r="AA19" s="36">
        <v>0.372</v>
      </c>
      <c r="AB19" s="36">
        <v>0.375</v>
      </c>
      <c r="AC19" s="36">
        <v>0.379</v>
      </c>
      <c r="AD19" s="36">
        <v>0.38200000000000001</v>
      </c>
      <c r="AE19" s="36">
        <v>0.38500000000000001</v>
      </c>
      <c r="AF19" s="36">
        <v>0.38800000000000001</v>
      </c>
      <c r="AG19" s="36">
        <v>0.39</v>
      </c>
      <c r="AH19" s="36">
        <v>0.39300000000000002</v>
      </c>
      <c r="AI19" s="36">
        <v>0.39500000000000002</v>
      </c>
      <c r="AJ19" s="36">
        <v>0.39600000000000002</v>
      </c>
      <c r="AK19" s="36">
        <v>0.39600000000000002</v>
      </c>
      <c r="AL19" s="36">
        <v>0.39800000000000002</v>
      </c>
      <c r="AM19" s="36">
        <v>0.39900000000000002</v>
      </c>
      <c r="AN19" s="36">
        <v>0.40100000000000002</v>
      </c>
      <c r="AO19" s="36">
        <v>0.40300000000000002</v>
      </c>
      <c r="AP19" s="37">
        <v>0.40500000000000003</v>
      </c>
      <c r="AQ19" s="37">
        <v>0.40600000000000003</v>
      </c>
      <c r="AR19" s="37">
        <v>0.40799999999999997</v>
      </c>
      <c r="AS19" s="37">
        <v>0.40899999999999997</v>
      </c>
      <c r="AT19" s="37">
        <v>0.41</v>
      </c>
      <c r="AU19" s="37">
        <v>0.41199999999999998</v>
      </c>
      <c r="AV19" s="37">
        <v>0.41299999999999998</v>
      </c>
      <c r="AW19" s="37">
        <v>0.41399999999999998</v>
      </c>
      <c r="AX19" s="37">
        <v>0.41499999999999998</v>
      </c>
      <c r="AY19" s="37">
        <v>0.41599999999999998</v>
      </c>
      <c r="AZ19" s="37">
        <v>0.41699999999999998</v>
      </c>
      <c r="BA19" s="37">
        <v>0.41799999999999998</v>
      </c>
      <c r="BB19" s="37">
        <v>0.41899999999999998</v>
      </c>
      <c r="BC19" s="37">
        <v>0.42</v>
      </c>
      <c r="BD19" s="37">
        <v>0.42</v>
      </c>
      <c r="BE19" s="37">
        <v>0.42099999999999999</v>
      </c>
      <c r="BF19" s="37">
        <v>0.42199999999999999</v>
      </c>
      <c r="BG19" s="37">
        <v>0.42199999999999999</v>
      </c>
      <c r="BH19" s="37">
        <v>0.42299999999999999</v>
      </c>
      <c r="BI19" s="37">
        <v>0.42299999999999999</v>
      </c>
      <c r="BJ19" s="37">
        <v>0.42399999999999999</v>
      </c>
      <c r="BK19" s="37">
        <v>0.42399999999999999</v>
      </c>
      <c r="BL19" s="37">
        <v>0.42399999999999999</v>
      </c>
      <c r="BM19" s="37">
        <v>0.42399999999999999</v>
      </c>
      <c r="BN19" s="37">
        <v>0.42399999999999999</v>
      </c>
    </row>
    <row r="20" spans="1:66" x14ac:dyDescent="0.2">
      <c r="A20" s="2" t="s">
        <v>229</v>
      </c>
      <c r="B20" s="2" t="s">
        <v>230</v>
      </c>
      <c r="C20" s="11" t="s">
        <v>79</v>
      </c>
      <c r="D20" s="12" t="s">
        <v>697</v>
      </c>
      <c r="E20" s="35">
        <v>0.97385463614614598</v>
      </c>
      <c r="F20" s="36">
        <v>0.51500000000000001</v>
      </c>
      <c r="G20" s="36">
        <v>0.503</v>
      </c>
      <c r="H20" s="36">
        <v>0.51600000000000001</v>
      </c>
      <c r="I20" s="36">
        <v>0.53</v>
      </c>
      <c r="J20" s="36">
        <v>0.54400000000000004</v>
      </c>
      <c r="K20" s="36">
        <v>0.55900000000000005</v>
      </c>
      <c r="L20" s="36">
        <v>0.57399999999999995</v>
      </c>
      <c r="M20" s="36">
        <v>0.58899999999999997</v>
      </c>
      <c r="N20" s="36">
        <v>0.60499999999999998</v>
      </c>
      <c r="O20" s="36">
        <v>0.621</v>
      </c>
      <c r="P20" s="36">
        <v>0.63800000000000001</v>
      </c>
      <c r="Q20" s="36">
        <v>0.66100000000000003</v>
      </c>
      <c r="R20" s="36">
        <v>0.71099999999999997</v>
      </c>
      <c r="S20" s="36">
        <v>0.76500000000000001</v>
      </c>
      <c r="T20" s="36">
        <v>0.82399999999999995</v>
      </c>
      <c r="U20" s="36">
        <v>0.88900000000000001</v>
      </c>
      <c r="V20" s="36">
        <v>0.96</v>
      </c>
      <c r="W20" s="36">
        <v>1.0389999999999999</v>
      </c>
      <c r="X20" s="36">
        <v>1.103</v>
      </c>
      <c r="Y20" s="36">
        <v>1.1779999999999999</v>
      </c>
      <c r="Z20" s="36">
        <v>1.2290000000000001</v>
      </c>
      <c r="AA20" s="36">
        <v>1.1950000000000001</v>
      </c>
      <c r="AB20" s="36">
        <v>1.2090000000000001</v>
      </c>
      <c r="AC20" s="36">
        <v>1.2529999999999999</v>
      </c>
      <c r="AD20" s="36">
        <v>1.3149999999999999</v>
      </c>
      <c r="AE20" s="36">
        <v>1.37</v>
      </c>
      <c r="AF20" s="36">
        <v>1.4239999999999999</v>
      </c>
      <c r="AG20" s="36">
        <v>1.5009999999999999</v>
      </c>
      <c r="AH20" s="36">
        <v>1.5029999999999999</v>
      </c>
      <c r="AI20" s="36">
        <v>1.484</v>
      </c>
      <c r="AJ20" s="36">
        <v>1.472</v>
      </c>
      <c r="AK20" s="36">
        <v>1.504</v>
      </c>
      <c r="AL20" s="36">
        <v>1.5249999999999999</v>
      </c>
      <c r="AM20" s="36">
        <v>1.577</v>
      </c>
      <c r="AN20" s="36">
        <v>1.589</v>
      </c>
      <c r="AO20" s="36">
        <v>1.6</v>
      </c>
      <c r="AP20" s="37">
        <v>1.6319999999999999</v>
      </c>
      <c r="AQ20" s="37">
        <v>1.659</v>
      </c>
      <c r="AR20" s="37">
        <v>1.681</v>
      </c>
      <c r="AS20" s="37">
        <v>1.7010000000000001</v>
      </c>
      <c r="AT20" s="37">
        <v>1.7190000000000001</v>
      </c>
      <c r="AU20" s="37">
        <v>1.7370000000000001</v>
      </c>
      <c r="AV20" s="37">
        <v>1.754</v>
      </c>
      <c r="AW20" s="37">
        <v>1.772</v>
      </c>
      <c r="AX20" s="37">
        <v>1.79</v>
      </c>
      <c r="AY20" s="37">
        <v>1.8080000000000001</v>
      </c>
      <c r="AZ20" s="37">
        <v>1.8260000000000001</v>
      </c>
      <c r="BA20" s="37">
        <v>1.845</v>
      </c>
      <c r="BB20" s="37">
        <v>1.863</v>
      </c>
      <c r="BC20" s="37">
        <v>1.8819999999999999</v>
      </c>
      <c r="BD20" s="37">
        <v>1.9</v>
      </c>
      <c r="BE20" s="37">
        <v>1.919</v>
      </c>
      <c r="BF20" s="37">
        <v>1.9370000000000001</v>
      </c>
      <c r="BG20" s="37">
        <v>1.956</v>
      </c>
      <c r="BH20" s="37">
        <v>1.9750000000000001</v>
      </c>
      <c r="BI20" s="37">
        <v>1.9930000000000001</v>
      </c>
      <c r="BJ20" s="37">
        <v>2.0110000000000001</v>
      </c>
      <c r="BK20" s="37">
        <v>2.0289999999999999</v>
      </c>
      <c r="BL20" s="37">
        <v>2.048</v>
      </c>
      <c r="BM20" s="37">
        <v>2.0659999999999998</v>
      </c>
      <c r="BN20" s="37">
        <v>2.0840000000000001</v>
      </c>
    </row>
    <row r="21" spans="1:66" x14ac:dyDescent="0.2">
      <c r="A21" s="2" t="s">
        <v>231</v>
      </c>
      <c r="B21" s="2" t="s">
        <v>232</v>
      </c>
      <c r="C21" s="11" t="s">
        <v>210</v>
      </c>
      <c r="D21" s="12" t="s">
        <v>697</v>
      </c>
      <c r="E21" s="35">
        <v>0.99999999715402799</v>
      </c>
      <c r="F21" s="36">
        <v>111.634</v>
      </c>
      <c r="G21" s="36">
        <v>113.78700000000001</v>
      </c>
      <c r="H21" s="36">
        <v>115.952</v>
      </c>
      <c r="I21" s="36">
        <v>118.13200000000001</v>
      </c>
      <c r="J21" s="36">
        <v>120.343</v>
      </c>
      <c r="K21" s="36">
        <v>122.6</v>
      </c>
      <c r="L21" s="36">
        <v>124.86199999999999</v>
      </c>
      <c r="M21" s="36">
        <v>127.19799999999999</v>
      </c>
      <c r="N21" s="36">
        <v>129.62200000000001</v>
      </c>
      <c r="O21" s="36">
        <v>132.108</v>
      </c>
      <c r="P21" s="36">
        <v>134.54400000000001</v>
      </c>
      <c r="Q21" s="36">
        <v>136.80600000000001</v>
      </c>
      <c r="R21" s="36">
        <v>138.934</v>
      </c>
      <c r="S21" s="36">
        <v>140.97</v>
      </c>
      <c r="T21" s="36">
        <v>142.90299999999999</v>
      </c>
      <c r="U21" s="36">
        <v>144.71600000000001</v>
      </c>
      <c r="V21" s="36">
        <v>146.40600000000001</v>
      </c>
      <c r="W21" s="36">
        <v>147.989</v>
      </c>
      <c r="X21" s="36">
        <v>149.47399999999999</v>
      </c>
      <c r="Y21" s="36">
        <v>150.874</v>
      </c>
      <c r="Z21" s="36">
        <v>152.202</v>
      </c>
      <c r="AA21" s="36">
        <v>153.59100000000001</v>
      </c>
      <c r="AB21" s="36">
        <v>155.07</v>
      </c>
      <c r="AC21" s="36">
        <v>156.53200000000001</v>
      </c>
      <c r="AD21" s="36">
        <v>157.965</v>
      </c>
      <c r="AE21" s="36">
        <v>159.38300000000001</v>
      </c>
      <c r="AF21" s="36">
        <v>160.81200000000001</v>
      </c>
      <c r="AG21" s="36">
        <v>162.18600000000001</v>
      </c>
      <c r="AH21" s="36">
        <v>163.523</v>
      </c>
      <c r="AI21" s="36">
        <v>164.91300000000001</v>
      </c>
      <c r="AJ21" s="36">
        <v>166.298</v>
      </c>
      <c r="AK21" s="36">
        <v>167.65899999999999</v>
      </c>
      <c r="AL21" s="36">
        <v>169.38499999999999</v>
      </c>
      <c r="AM21" s="36">
        <v>171.46700000000001</v>
      </c>
      <c r="AN21" s="36">
        <v>173.56200000000001</v>
      </c>
      <c r="AO21" s="36">
        <v>175.68700000000001</v>
      </c>
      <c r="AP21" s="37">
        <v>177.81800000000001</v>
      </c>
      <c r="AQ21" s="37">
        <v>179.93</v>
      </c>
      <c r="AR21" s="37">
        <v>182.01499999999999</v>
      </c>
      <c r="AS21" s="37">
        <v>184.065</v>
      </c>
      <c r="AT21" s="37">
        <v>186.072</v>
      </c>
      <c r="AU21" s="37">
        <v>188.02500000000001</v>
      </c>
      <c r="AV21" s="37">
        <v>189.905</v>
      </c>
      <c r="AW21" s="37">
        <v>191.71700000000001</v>
      </c>
      <c r="AX21" s="37">
        <v>193.46100000000001</v>
      </c>
      <c r="AY21" s="37">
        <v>195.13</v>
      </c>
      <c r="AZ21" s="37">
        <v>196.74100000000001</v>
      </c>
      <c r="BA21" s="37">
        <v>198.28800000000001</v>
      </c>
      <c r="BB21" s="37">
        <v>199.77699999999999</v>
      </c>
      <c r="BC21" s="37">
        <v>201.209</v>
      </c>
      <c r="BD21" s="37">
        <v>202.589</v>
      </c>
      <c r="BE21" s="37">
        <v>203.93899999999999</v>
      </c>
      <c r="BF21" s="37">
        <v>205.25899999999999</v>
      </c>
      <c r="BG21" s="37">
        <v>206.54499999999999</v>
      </c>
      <c r="BH21" s="37">
        <v>207.80099999999999</v>
      </c>
      <c r="BI21" s="37">
        <v>209.03</v>
      </c>
      <c r="BJ21" s="37">
        <v>210.23099999999999</v>
      </c>
      <c r="BK21" s="37">
        <v>211.40199999999999</v>
      </c>
      <c r="BL21" s="37">
        <v>212.53800000000001</v>
      </c>
      <c r="BM21" s="37">
        <v>213.63900000000001</v>
      </c>
      <c r="BN21" s="37">
        <v>214.709</v>
      </c>
    </row>
    <row r="22" spans="1:66" x14ac:dyDescent="0.2">
      <c r="A22" s="2" t="s">
        <v>234</v>
      </c>
      <c r="B22" s="2" t="s">
        <v>235</v>
      </c>
      <c r="C22" s="11" t="s">
        <v>79</v>
      </c>
      <c r="D22" s="12" t="s">
        <v>697</v>
      </c>
      <c r="E22" s="35">
        <v>0.99999823086190698</v>
      </c>
      <c r="F22" s="36">
        <v>0.25900000000000001</v>
      </c>
      <c r="G22" s="36">
        <v>0.25900000000000001</v>
      </c>
      <c r="H22" s="36">
        <v>0.26</v>
      </c>
      <c r="I22" s="36">
        <v>0.26100000000000001</v>
      </c>
      <c r="J22" s="36">
        <v>0.26200000000000001</v>
      </c>
      <c r="K22" s="36">
        <v>0.26200000000000001</v>
      </c>
      <c r="L22" s="36">
        <v>0.26200000000000001</v>
      </c>
      <c r="M22" s="36">
        <v>0.26200000000000001</v>
      </c>
      <c r="N22" s="36">
        <v>0.26200000000000001</v>
      </c>
      <c r="O22" s="36">
        <v>0.26300000000000001</v>
      </c>
      <c r="P22" s="36">
        <v>0.26200000000000001</v>
      </c>
      <c r="Q22" s="36">
        <v>0.26200000000000001</v>
      </c>
      <c r="R22" s="36">
        <v>0.26400000000000001</v>
      </c>
      <c r="S22" s="36">
        <v>0.26600000000000001</v>
      </c>
      <c r="T22" s="36">
        <v>0.26700000000000002</v>
      </c>
      <c r="U22" s="36">
        <v>0.26900000000000002</v>
      </c>
      <c r="V22" s="36">
        <v>0.27</v>
      </c>
      <c r="W22" s="36">
        <v>0.27100000000000002</v>
      </c>
      <c r="X22" s="36">
        <v>0.27300000000000002</v>
      </c>
      <c r="Y22" s="36">
        <v>0.27400000000000002</v>
      </c>
      <c r="Z22" s="36">
        <v>0.27500000000000002</v>
      </c>
      <c r="AA22" s="36">
        <v>0.27600000000000002</v>
      </c>
      <c r="AB22" s="36">
        <v>0.27700000000000002</v>
      </c>
      <c r="AC22" s="36">
        <v>0.27800000000000002</v>
      </c>
      <c r="AD22" s="36">
        <v>0.27800000000000002</v>
      </c>
      <c r="AE22" s="36">
        <v>0.27900000000000003</v>
      </c>
      <c r="AF22" s="36">
        <v>0.28000000000000003</v>
      </c>
      <c r="AG22" s="36">
        <v>0.28000000000000003</v>
      </c>
      <c r="AH22" s="36">
        <v>0.28100000000000003</v>
      </c>
      <c r="AI22" s="36">
        <v>0.28100000000000003</v>
      </c>
      <c r="AJ22" s="36">
        <v>0.28199999999999997</v>
      </c>
      <c r="AK22" s="36">
        <v>0.28199999999999997</v>
      </c>
      <c r="AL22" s="36">
        <v>0.28199999999999997</v>
      </c>
      <c r="AM22" s="36">
        <v>0.28199999999999997</v>
      </c>
      <c r="AN22" s="36">
        <v>0.28199999999999997</v>
      </c>
      <c r="AO22" s="36">
        <v>0.28299999999999997</v>
      </c>
      <c r="AP22" s="37">
        <v>0.28299999999999997</v>
      </c>
      <c r="AQ22" s="37">
        <v>0.28299999999999997</v>
      </c>
      <c r="AR22" s="37">
        <v>0.28299999999999997</v>
      </c>
      <c r="AS22" s="37">
        <v>0.28299999999999997</v>
      </c>
      <c r="AT22" s="37">
        <v>0.28199999999999997</v>
      </c>
      <c r="AU22" s="37">
        <v>0.28199999999999997</v>
      </c>
      <c r="AV22" s="37">
        <v>0.28199999999999997</v>
      </c>
      <c r="AW22" s="37">
        <v>0.28100000000000003</v>
      </c>
      <c r="AX22" s="37">
        <v>0.28100000000000003</v>
      </c>
      <c r="AY22" s="37">
        <v>0.28000000000000003</v>
      </c>
      <c r="AZ22" s="37">
        <v>0.28000000000000003</v>
      </c>
      <c r="BA22" s="37">
        <v>0.27900000000000003</v>
      </c>
      <c r="BB22" s="37">
        <v>0.27800000000000002</v>
      </c>
      <c r="BC22" s="37">
        <v>0.27700000000000002</v>
      </c>
      <c r="BD22" s="37">
        <v>0.27600000000000002</v>
      </c>
      <c r="BE22" s="37">
        <v>0.27500000000000002</v>
      </c>
      <c r="BF22" s="37">
        <v>0.27400000000000002</v>
      </c>
      <c r="BG22" s="37">
        <v>0.27300000000000002</v>
      </c>
      <c r="BH22" s="37">
        <v>0.27200000000000002</v>
      </c>
      <c r="BI22" s="37">
        <v>0.27100000000000002</v>
      </c>
      <c r="BJ22" s="37">
        <v>0.27</v>
      </c>
      <c r="BK22" s="37">
        <v>0.26800000000000002</v>
      </c>
      <c r="BL22" s="37">
        <v>0.26700000000000002</v>
      </c>
      <c r="BM22" s="37">
        <v>0.26600000000000001</v>
      </c>
      <c r="BN22" s="37">
        <v>0.26400000000000001</v>
      </c>
    </row>
    <row r="23" spans="1:66" x14ac:dyDescent="0.2">
      <c r="A23" s="2" t="s">
        <v>236</v>
      </c>
      <c r="B23" s="2" t="s">
        <v>237</v>
      </c>
      <c r="C23" s="11" t="s">
        <v>82</v>
      </c>
      <c r="D23" s="12" t="s">
        <v>697</v>
      </c>
      <c r="E23" s="35">
        <v>1.00982350521578</v>
      </c>
      <c r="F23" s="36">
        <v>10.189</v>
      </c>
      <c r="G23" s="36">
        <v>10.194000000000001</v>
      </c>
      <c r="H23" s="36">
        <v>10.215999999999999</v>
      </c>
      <c r="I23" s="36">
        <v>10.239000000000001</v>
      </c>
      <c r="J23" s="36">
        <v>10.227</v>
      </c>
      <c r="K23" s="36">
        <v>10.194000000000001</v>
      </c>
      <c r="L23" s="36">
        <v>10.16</v>
      </c>
      <c r="M23" s="36">
        <v>10.117000000000001</v>
      </c>
      <c r="N23" s="36">
        <v>10.071999999999999</v>
      </c>
      <c r="O23" s="36">
        <v>10.026999999999999</v>
      </c>
      <c r="P23" s="36">
        <v>9.98</v>
      </c>
      <c r="Q23" s="36">
        <v>9.9290000000000003</v>
      </c>
      <c r="R23" s="36">
        <v>9.8659999999999997</v>
      </c>
      <c r="S23" s="36">
        <v>9.7970000000000006</v>
      </c>
      <c r="T23" s="36">
        <v>9.73</v>
      </c>
      <c r="U23" s="36">
        <v>9.6639999999999997</v>
      </c>
      <c r="V23" s="36">
        <v>9.6050000000000004</v>
      </c>
      <c r="W23" s="36">
        <v>9.5609999999999999</v>
      </c>
      <c r="X23" s="36">
        <v>9.5280000000000005</v>
      </c>
      <c r="Y23" s="36">
        <v>9.5050000000000008</v>
      </c>
      <c r="Z23" s="36">
        <v>9.484</v>
      </c>
      <c r="AA23" s="36">
        <v>9.4619999999999997</v>
      </c>
      <c r="AB23" s="36">
        <v>9.4469999999999992</v>
      </c>
      <c r="AC23" s="36">
        <v>9.4429999999999996</v>
      </c>
      <c r="AD23" s="36">
        <v>9.4489999999999998</v>
      </c>
      <c r="AE23" s="36">
        <v>9.4610000000000003</v>
      </c>
      <c r="AF23" s="36">
        <v>9.4689999999999994</v>
      </c>
      <c r="AG23" s="36">
        <v>9.4589999999999996</v>
      </c>
      <c r="AH23" s="36">
        <v>9.4390000000000001</v>
      </c>
      <c r="AI23" s="36">
        <v>9.42</v>
      </c>
      <c r="AJ23" s="36">
        <v>9.3800000000000008</v>
      </c>
      <c r="AK23" s="36">
        <v>9.3030000000000008</v>
      </c>
      <c r="AL23" s="36">
        <v>9.2279999999999998</v>
      </c>
      <c r="AM23" s="36">
        <v>9.1780000000000008</v>
      </c>
      <c r="AN23" s="36">
        <v>9.1329999999999991</v>
      </c>
      <c r="AO23" s="36">
        <v>9.0860000000000003</v>
      </c>
      <c r="AP23" s="37">
        <v>9.0250000000000004</v>
      </c>
      <c r="AQ23" s="37">
        <v>8.9629999999999992</v>
      </c>
      <c r="AR23" s="37">
        <v>8.9</v>
      </c>
      <c r="AS23" s="37">
        <v>8.8369999999999997</v>
      </c>
      <c r="AT23" s="37">
        <v>8.7729999999999997</v>
      </c>
      <c r="AU23" s="37">
        <v>8.7089999999999996</v>
      </c>
      <c r="AV23" s="37">
        <v>8.6449999999999996</v>
      </c>
      <c r="AW23" s="37">
        <v>8.5809999999999995</v>
      </c>
      <c r="AX23" s="37">
        <v>8.5180000000000007</v>
      </c>
      <c r="AY23" s="37">
        <v>8.4550000000000001</v>
      </c>
      <c r="AZ23" s="37">
        <v>8.3919999999999995</v>
      </c>
      <c r="BA23" s="37">
        <v>8.33</v>
      </c>
      <c r="BB23" s="37">
        <v>8.2680000000000007</v>
      </c>
      <c r="BC23" s="37">
        <v>8.2059999999999995</v>
      </c>
      <c r="BD23" s="37">
        <v>8.1440000000000001</v>
      </c>
      <c r="BE23" s="37">
        <v>8.0820000000000007</v>
      </c>
      <c r="BF23" s="37">
        <v>8.0210000000000008</v>
      </c>
      <c r="BG23" s="37">
        <v>7.9610000000000003</v>
      </c>
      <c r="BH23" s="37">
        <v>7.9</v>
      </c>
      <c r="BI23" s="37">
        <v>7.84</v>
      </c>
      <c r="BJ23" s="37">
        <v>7.7789999999999999</v>
      </c>
      <c r="BK23" s="37">
        <v>7.718</v>
      </c>
      <c r="BL23" s="37">
        <v>7.6550000000000002</v>
      </c>
      <c r="BM23" s="37">
        <v>7.5910000000000002</v>
      </c>
      <c r="BN23" s="37">
        <v>7.5270000000000001</v>
      </c>
    </row>
    <row r="24" spans="1:66" x14ac:dyDescent="0.2">
      <c r="A24" s="2" t="s">
        <v>238</v>
      </c>
      <c r="B24" s="2" t="s">
        <v>239</v>
      </c>
      <c r="C24" s="11" t="s">
        <v>79</v>
      </c>
      <c r="D24" s="12" t="s">
        <v>697</v>
      </c>
      <c r="E24" s="35">
        <v>1.01557821111913</v>
      </c>
      <c r="F24" s="36">
        <v>9.9670000000000005</v>
      </c>
      <c r="G24" s="36">
        <v>10.004</v>
      </c>
      <c r="H24" s="36">
        <v>10.045</v>
      </c>
      <c r="I24" s="36">
        <v>10.084</v>
      </c>
      <c r="J24" s="36">
        <v>10.116</v>
      </c>
      <c r="K24" s="36">
        <v>10.137</v>
      </c>
      <c r="L24" s="36">
        <v>10.157</v>
      </c>
      <c r="M24" s="36">
        <v>10.180999999999999</v>
      </c>
      <c r="N24" s="36">
        <v>10.202999999999999</v>
      </c>
      <c r="O24" s="36">
        <v>10.226000000000001</v>
      </c>
      <c r="P24" s="36">
        <v>10.250999999999999</v>
      </c>
      <c r="Q24" s="36">
        <v>10.287000000000001</v>
      </c>
      <c r="R24" s="36">
        <v>10.333</v>
      </c>
      <c r="S24" s="36">
        <v>10.375999999999999</v>
      </c>
      <c r="T24" s="36">
        <v>10.420999999999999</v>
      </c>
      <c r="U24" s="36">
        <v>10.478999999999999</v>
      </c>
      <c r="V24" s="36">
        <v>10.548</v>
      </c>
      <c r="W24" s="36">
        <v>10.625999999999999</v>
      </c>
      <c r="X24" s="36">
        <v>10.71</v>
      </c>
      <c r="Y24" s="36">
        <v>10.795999999999999</v>
      </c>
      <c r="Z24" s="36">
        <v>10.896000000000001</v>
      </c>
      <c r="AA24" s="36">
        <v>11.038</v>
      </c>
      <c r="AB24" s="36">
        <v>11.106999999999999</v>
      </c>
      <c r="AC24" s="36">
        <v>11.159000000000001</v>
      </c>
      <c r="AD24" s="36">
        <v>11.209</v>
      </c>
      <c r="AE24" s="36">
        <v>11.273999999999999</v>
      </c>
      <c r="AF24" s="36">
        <v>11.331</v>
      </c>
      <c r="AG24" s="36">
        <v>11.375</v>
      </c>
      <c r="AH24" s="36">
        <v>11.427</v>
      </c>
      <c r="AI24" s="36">
        <v>11.489000000000001</v>
      </c>
      <c r="AJ24" s="36">
        <v>11.539</v>
      </c>
      <c r="AK24" s="36">
        <v>11.586</v>
      </c>
      <c r="AL24" s="36">
        <v>11.68</v>
      </c>
      <c r="AM24" s="36">
        <v>11.78</v>
      </c>
      <c r="AN24" s="36">
        <v>11.859</v>
      </c>
      <c r="AO24" s="36">
        <v>11.942</v>
      </c>
      <c r="AP24" s="37">
        <v>11.958</v>
      </c>
      <c r="AQ24" s="37">
        <v>11.972</v>
      </c>
      <c r="AR24" s="37">
        <v>11.984999999999999</v>
      </c>
      <c r="AS24" s="37">
        <v>11.997999999999999</v>
      </c>
      <c r="AT24" s="37">
        <v>12.007999999999999</v>
      </c>
      <c r="AU24" s="37">
        <v>12.016999999999999</v>
      </c>
      <c r="AV24" s="37">
        <v>12.026</v>
      </c>
      <c r="AW24" s="37">
        <v>12.034000000000001</v>
      </c>
      <c r="AX24" s="37">
        <v>12.042</v>
      </c>
      <c r="AY24" s="37">
        <v>12.048</v>
      </c>
      <c r="AZ24" s="37">
        <v>12.055</v>
      </c>
      <c r="BA24" s="37">
        <v>12.061999999999999</v>
      </c>
      <c r="BB24" s="37">
        <v>12.068</v>
      </c>
      <c r="BC24" s="37">
        <v>12.073</v>
      </c>
      <c r="BD24" s="37">
        <v>12.077</v>
      </c>
      <c r="BE24" s="37">
        <v>12.081</v>
      </c>
      <c r="BF24" s="37">
        <v>12.084</v>
      </c>
      <c r="BG24" s="37">
        <v>12.086</v>
      </c>
      <c r="BH24" s="37">
        <v>12.087</v>
      </c>
      <c r="BI24" s="37">
        <v>12.086</v>
      </c>
      <c r="BJ24" s="37">
        <v>12.084</v>
      </c>
      <c r="BK24" s="37">
        <v>12.08</v>
      </c>
      <c r="BL24" s="37">
        <v>12.074</v>
      </c>
      <c r="BM24" s="37">
        <v>12.066000000000001</v>
      </c>
      <c r="BN24" s="37">
        <v>12.055999999999999</v>
      </c>
    </row>
    <row r="25" spans="1:66" x14ac:dyDescent="0.2">
      <c r="A25" s="2" t="s">
        <v>240</v>
      </c>
      <c r="B25" s="2" t="s">
        <v>241</v>
      </c>
      <c r="C25" s="11" t="s">
        <v>82</v>
      </c>
      <c r="D25" s="12" t="s">
        <v>697</v>
      </c>
      <c r="E25" s="35">
        <v>1</v>
      </c>
      <c r="F25" s="36">
        <v>0.183</v>
      </c>
      <c r="G25" s="36">
        <v>0.187</v>
      </c>
      <c r="H25" s="36">
        <v>0.191</v>
      </c>
      <c r="I25" s="36">
        <v>0.19500000000000001</v>
      </c>
      <c r="J25" s="36">
        <v>0.19900000000000001</v>
      </c>
      <c r="K25" s="36">
        <v>0.20399999999999999</v>
      </c>
      <c r="L25" s="36">
        <v>0.21</v>
      </c>
      <c r="M25" s="36">
        <v>0.217</v>
      </c>
      <c r="N25" s="36">
        <v>0.22500000000000001</v>
      </c>
      <c r="O25" s="36">
        <v>0.23300000000000001</v>
      </c>
      <c r="P25" s="36">
        <v>0.24099999999999999</v>
      </c>
      <c r="Q25" s="36">
        <v>0.248</v>
      </c>
      <c r="R25" s="36">
        <v>0.25600000000000001</v>
      </c>
      <c r="S25" s="36">
        <v>0.26400000000000001</v>
      </c>
      <c r="T25" s="36">
        <v>0.27200000000000002</v>
      </c>
      <c r="U25" s="36">
        <v>0.28000000000000003</v>
      </c>
      <c r="V25" s="36">
        <v>0.28799999999999998</v>
      </c>
      <c r="W25" s="36">
        <v>0.29599999999999999</v>
      </c>
      <c r="X25" s="36">
        <v>0.30399999999999999</v>
      </c>
      <c r="Y25" s="36">
        <v>0.313</v>
      </c>
      <c r="Z25" s="36">
        <v>0.32</v>
      </c>
      <c r="AA25" s="36">
        <v>0.32700000000000001</v>
      </c>
      <c r="AB25" s="36">
        <v>0.33400000000000002</v>
      </c>
      <c r="AC25" s="36">
        <v>0.34200000000000003</v>
      </c>
      <c r="AD25" s="36">
        <v>0.34899999999999998</v>
      </c>
      <c r="AE25" s="36">
        <v>0.35599999999999998</v>
      </c>
      <c r="AF25" s="36">
        <v>0.36499999999999999</v>
      </c>
      <c r="AG25" s="36">
        <v>0.373</v>
      </c>
      <c r="AH25" s="36">
        <v>0.38</v>
      </c>
      <c r="AI25" s="36">
        <v>0.38600000000000001</v>
      </c>
      <c r="AJ25" s="36">
        <v>0.39100000000000001</v>
      </c>
      <c r="AK25" s="36">
        <v>0.39500000000000002</v>
      </c>
      <c r="AL25" s="36">
        <v>0.40300000000000002</v>
      </c>
      <c r="AM25" s="36">
        <v>0.41099999999999998</v>
      </c>
      <c r="AN25" s="36">
        <v>0.41699999999999998</v>
      </c>
      <c r="AO25" s="36">
        <v>0.42299999999999999</v>
      </c>
      <c r="AP25" s="37">
        <v>0.42899999999999999</v>
      </c>
      <c r="AQ25" s="37">
        <v>0.434</v>
      </c>
      <c r="AR25" s="37">
        <v>0.44</v>
      </c>
      <c r="AS25" s="37">
        <v>0.44500000000000001</v>
      </c>
      <c r="AT25" s="37">
        <v>0.45</v>
      </c>
      <c r="AU25" s="37">
        <v>0.45500000000000002</v>
      </c>
      <c r="AV25" s="37">
        <v>0.46</v>
      </c>
      <c r="AW25" s="37">
        <v>0.46400000000000002</v>
      </c>
      <c r="AX25" s="37">
        <v>0.46899999999999997</v>
      </c>
      <c r="AY25" s="37">
        <v>0.47299999999999998</v>
      </c>
      <c r="AZ25" s="37">
        <v>0.47699999999999998</v>
      </c>
      <c r="BA25" s="37">
        <v>0.48099999999999998</v>
      </c>
      <c r="BB25" s="37">
        <v>0.48499999999999999</v>
      </c>
      <c r="BC25" s="37">
        <v>0.48799999999999999</v>
      </c>
      <c r="BD25" s="37">
        <v>0.49199999999999999</v>
      </c>
      <c r="BE25" s="37">
        <v>0.495</v>
      </c>
      <c r="BF25" s="37">
        <v>0.498</v>
      </c>
      <c r="BG25" s="37">
        <v>0.501</v>
      </c>
      <c r="BH25" s="37">
        <v>0.503</v>
      </c>
      <c r="BI25" s="37">
        <v>0.50600000000000001</v>
      </c>
      <c r="BJ25" s="37">
        <v>0.50800000000000001</v>
      </c>
      <c r="BK25" s="37">
        <v>0.51</v>
      </c>
      <c r="BL25" s="37">
        <v>0.51300000000000001</v>
      </c>
      <c r="BM25" s="37">
        <v>0.51500000000000001</v>
      </c>
      <c r="BN25" s="37">
        <v>0.51700000000000002</v>
      </c>
    </row>
    <row r="26" spans="1:66" x14ac:dyDescent="0.2">
      <c r="A26" s="2" t="s">
        <v>242</v>
      </c>
      <c r="B26" s="2" t="s">
        <v>243</v>
      </c>
      <c r="C26" s="11" t="s">
        <v>210</v>
      </c>
      <c r="D26" s="12" t="s">
        <v>697</v>
      </c>
      <c r="E26" s="35">
        <v>1.0000000337508099</v>
      </c>
      <c r="F26" s="36">
        <v>5.2809999999999997</v>
      </c>
      <c r="G26" s="36">
        <v>5.4470000000000001</v>
      </c>
      <c r="H26" s="36">
        <v>5.6180000000000003</v>
      </c>
      <c r="I26" s="36">
        <v>5.8730000000000002</v>
      </c>
      <c r="J26" s="36">
        <v>6.0970000000000004</v>
      </c>
      <c r="K26" s="36">
        <v>6.2270000000000003</v>
      </c>
      <c r="L26" s="36">
        <v>6.3920000000000003</v>
      </c>
      <c r="M26" s="36">
        <v>6.5830000000000002</v>
      </c>
      <c r="N26" s="36">
        <v>6.7889999999999997</v>
      </c>
      <c r="O26" s="36">
        <v>7.0030000000000001</v>
      </c>
      <c r="P26" s="36">
        <v>7.2220000000000004</v>
      </c>
      <c r="Q26" s="36">
        <v>7.4459999999999997</v>
      </c>
      <c r="R26" s="36">
        <v>7.6749999999999998</v>
      </c>
      <c r="S26" s="36">
        <v>7.9130000000000003</v>
      </c>
      <c r="T26" s="36">
        <v>8.1590000000000007</v>
      </c>
      <c r="U26" s="36">
        <v>8.4260000000000002</v>
      </c>
      <c r="V26" s="36">
        <v>8.6929999999999996</v>
      </c>
      <c r="W26" s="36">
        <v>8.9540000000000006</v>
      </c>
      <c r="X26" s="36">
        <v>9.2279999999999998</v>
      </c>
      <c r="Y26" s="36">
        <v>9.5090000000000003</v>
      </c>
      <c r="Z26" s="36">
        <v>9.7970000000000006</v>
      </c>
      <c r="AA26" s="36">
        <v>10.093999999999999</v>
      </c>
      <c r="AB26" s="36">
        <v>10.398</v>
      </c>
      <c r="AC26" s="36">
        <v>10.709</v>
      </c>
      <c r="AD26" s="36">
        <v>11.03</v>
      </c>
      <c r="AE26" s="36">
        <v>11.361000000000001</v>
      </c>
      <c r="AF26" s="36">
        <v>11.698</v>
      </c>
      <c r="AG26" s="36">
        <v>12.04</v>
      </c>
      <c r="AH26" s="36">
        <v>12.382999999999999</v>
      </c>
      <c r="AI26" s="36">
        <v>12.727</v>
      </c>
      <c r="AJ26" s="36">
        <v>13.07</v>
      </c>
      <c r="AK26" s="36">
        <v>13.413</v>
      </c>
      <c r="AL26" s="36">
        <v>13.76</v>
      </c>
      <c r="AM26" s="36">
        <v>14.111000000000001</v>
      </c>
      <c r="AN26" s="36">
        <v>14.462999999999999</v>
      </c>
      <c r="AO26" s="36">
        <v>14.814</v>
      </c>
      <c r="AP26" s="37">
        <v>15.17</v>
      </c>
      <c r="AQ26" s="37">
        <v>15.529</v>
      </c>
      <c r="AR26" s="37">
        <v>15.89</v>
      </c>
      <c r="AS26" s="37">
        <v>16.254000000000001</v>
      </c>
      <c r="AT26" s="37">
        <v>16.619</v>
      </c>
      <c r="AU26" s="37">
        <v>16.986000000000001</v>
      </c>
      <c r="AV26" s="37">
        <v>17.356999999999999</v>
      </c>
      <c r="AW26" s="37">
        <v>17.731000000000002</v>
      </c>
      <c r="AX26" s="37">
        <v>18.11</v>
      </c>
      <c r="AY26" s="37">
        <v>18.492999999999999</v>
      </c>
      <c r="AZ26" s="37">
        <v>18.878</v>
      </c>
      <c r="BA26" s="37">
        <v>19.265000000000001</v>
      </c>
      <c r="BB26" s="37">
        <v>19.655000000000001</v>
      </c>
      <c r="BC26" s="37">
        <v>20.05</v>
      </c>
      <c r="BD26" s="37">
        <v>20.446000000000002</v>
      </c>
      <c r="BE26" s="37">
        <v>20.843</v>
      </c>
      <c r="BF26" s="37">
        <v>21.242999999999999</v>
      </c>
      <c r="BG26" s="37">
        <v>21.643999999999998</v>
      </c>
      <c r="BH26" s="37">
        <v>22.042999999999999</v>
      </c>
      <c r="BI26" s="37">
        <v>22.443999999999999</v>
      </c>
      <c r="BJ26" s="37">
        <v>22.846</v>
      </c>
      <c r="BK26" s="37">
        <v>23.245000000000001</v>
      </c>
      <c r="BL26" s="37">
        <v>23.641999999999999</v>
      </c>
      <c r="BM26" s="37">
        <v>24.039000000000001</v>
      </c>
      <c r="BN26" s="37">
        <v>24.434000000000001</v>
      </c>
    </row>
    <row r="27" spans="1:66" x14ac:dyDescent="0.2">
      <c r="A27" s="2" t="s">
        <v>244</v>
      </c>
      <c r="B27" s="2" t="s">
        <v>245</v>
      </c>
      <c r="C27" s="11" t="s">
        <v>79</v>
      </c>
      <c r="D27" s="12" t="s">
        <v>697</v>
      </c>
      <c r="E27" s="35">
        <v>1.00000774539343</v>
      </c>
      <c r="F27" s="36">
        <v>5.8000000000000003E-2</v>
      </c>
      <c r="G27" s="36">
        <v>5.8000000000000003E-2</v>
      </c>
      <c r="H27" s="36">
        <v>5.8000000000000003E-2</v>
      </c>
      <c r="I27" s="36">
        <v>5.8999999999999997E-2</v>
      </c>
      <c r="J27" s="36">
        <v>5.8999999999999997E-2</v>
      </c>
      <c r="K27" s="36">
        <v>0.06</v>
      </c>
      <c r="L27" s="36">
        <v>0.06</v>
      </c>
      <c r="M27" s="36">
        <v>0.06</v>
      </c>
      <c r="N27" s="36">
        <v>6.0999999999999999E-2</v>
      </c>
      <c r="O27" s="36">
        <v>6.0999999999999999E-2</v>
      </c>
      <c r="P27" s="36">
        <v>6.2E-2</v>
      </c>
      <c r="Q27" s="36">
        <v>6.2E-2</v>
      </c>
      <c r="R27" s="36">
        <v>6.2E-2</v>
      </c>
      <c r="S27" s="36">
        <v>6.2E-2</v>
      </c>
      <c r="T27" s="36">
        <v>6.3E-2</v>
      </c>
      <c r="U27" s="36">
        <v>6.3E-2</v>
      </c>
      <c r="V27" s="36">
        <v>6.3E-2</v>
      </c>
      <c r="W27" s="36">
        <v>6.3E-2</v>
      </c>
      <c r="X27" s="36">
        <v>6.3E-2</v>
      </c>
      <c r="Y27" s="36">
        <v>6.4000000000000001E-2</v>
      </c>
      <c r="Z27" s="36">
        <v>6.4000000000000001E-2</v>
      </c>
      <c r="AA27" s="36">
        <v>6.4000000000000001E-2</v>
      </c>
      <c r="AB27" s="36">
        <v>6.4000000000000001E-2</v>
      </c>
      <c r="AC27" s="36">
        <v>6.4000000000000001E-2</v>
      </c>
      <c r="AD27" s="36">
        <v>6.4000000000000001E-2</v>
      </c>
      <c r="AE27" s="36">
        <v>6.3E-2</v>
      </c>
      <c r="AF27" s="36">
        <v>6.3E-2</v>
      </c>
      <c r="AG27" s="36">
        <v>6.4000000000000001E-2</v>
      </c>
      <c r="AH27" s="36">
        <v>6.4000000000000001E-2</v>
      </c>
      <c r="AI27" s="36">
        <v>6.4000000000000001E-2</v>
      </c>
      <c r="AJ27" s="36">
        <v>6.4000000000000001E-2</v>
      </c>
      <c r="AK27" s="36">
        <v>6.5000000000000002E-2</v>
      </c>
      <c r="AL27" s="36">
        <v>6.5000000000000002E-2</v>
      </c>
      <c r="AM27" s="36">
        <v>6.5000000000000002E-2</v>
      </c>
      <c r="AN27" s="36">
        <v>6.5000000000000002E-2</v>
      </c>
      <c r="AO27" s="36">
        <v>6.5000000000000002E-2</v>
      </c>
      <c r="AP27" s="37">
        <v>6.4000000000000001E-2</v>
      </c>
      <c r="AQ27" s="37">
        <v>6.4000000000000001E-2</v>
      </c>
      <c r="AR27" s="37">
        <v>6.4000000000000001E-2</v>
      </c>
      <c r="AS27" s="37">
        <v>6.4000000000000001E-2</v>
      </c>
      <c r="AT27" s="37">
        <v>6.4000000000000001E-2</v>
      </c>
      <c r="AU27" s="37">
        <v>6.4000000000000001E-2</v>
      </c>
      <c r="AV27" s="37">
        <v>6.3E-2</v>
      </c>
      <c r="AW27" s="37">
        <v>6.3E-2</v>
      </c>
      <c r="AX27" s="37">
        <v>6.3E-2</v>
      </c>
      <c r="AY27" s="37">
        <v>6.3E-2</v>
      </c>
      <c r="AZ27" s="37">
        <v>6.3E-2</v>
      </c>
      <c r="BA27" s="37">
        <v>6.2E-2</v>
      </c>
      <c r="BB27" s="37">
        <v>6.2E-2</v>
      </c>
      <c r="BC27" s="37">
        <v>6.2E-2</v>
      </c>
      <c r="BD27" s="37">
        <v>6.0999999999999999E-2</v>
      </c>
      <c r="BE27" s="37">
        <v>6.0999999999999999E-2</v>
      </c>
      <c r="BF27" s="37">
        <v>0.06</v>
      </c>
      <c r="BG27" s="37">
        <v>0.06</v>
      </c>
      <c r="BH27" s="37">
        <v>0.06</v>
      </c>
      <c r="BI27" s="37">
        <v>5.8999999999999997E-2</v>
      </c>
      <c r="BJ27" s="37">
        <v>5.8999999999999997E-2</v>
      </c>
      <c r="BK27" s="37">
        <v>5.8000000000000003E-2</v>
      </c>
      <c r="BL27" s="37">
        <v>5.8000000000000003E-2</v>
      </c>
      <c r="BM27" s="37">
        <v>5.7000000000000002E-2</v>
      </c>
      <c r="BN27" s="37">
        <v>5.7000000000000002E-2</v>
      </c>
    </row>
    <row r="28" spans="1:66" x14ac:dyDescent="0.2">
      <c r="A28" s="2" t="s">
        <v>246</v>
      </c>
      <c r="B28" s="2" t="s">
        <v>247</v>
      </c>
      <c r="C28" s="11" t="s">
        <v>210</v>
      </c>
      <c r="D28" s="12" t="s">
        <v>697</v>
      </c>
      <c r="E28" s="35">
        <v>1.0000006276033799</v>
      </c>
      <c r="F28" s="36">
        <v>0.58899999999999997</v>
      </c>
      <c r="G28" s="36">
        <v>0.6</v>
      </c>
      <c r="H28" s="36">
        <v>0.57799999999999996</v>
      </c>
      <c r="I28" s="36">
        <v>0.55500000000000005</v>
      </c>
      <c r="J28" s="36">
        <v>0.55400000000000005</v>
      </c>
      <c r="K28" s="36">
        <v>0.54800000000000004</v>
      </c>
      <c r="L28" s="36">
        <v>0.54900000000000004</v>
      </c>
      <c r="M28" s="36">
        <v>0.55900000000000005</v>
      </c>
      <c r="N28" s="36">
        <v>0.56899999999999995</v>
      </c>
      <c r="O28" s="36">
        <v>0.58299999999999996</v>
      </c>
      <c r="P28" s="36">
        <v>0.59699999999999998</v>
      </c>
      <c r="Q28" s="36">
        <v>0.61099999999999999</v>
      </c>
      <c r="R28" s="36">
        <v>0.624</v>
      </c>
      <c r="S28" s="36">
        <v>0.63800000000000001</v>
      </c>
      <c r="T28" s="36">
        <v>0.65100000000000002</v>
      </c>
      <c r="U28" s="36">
        <v>0.66200000000000003</v>
      </c>
      <c r="V28" s="36">
        <v>0.67100000000000004</v>
      </c>
      <c r="W28" s="36">
        <v>0.67900000000000005</v>
      </c>
      <c r="X28" s="36">
        <v>0.68600000000000005</v>
      </c>
      <c r="Y28" s="36">
        <v>0.69399999999999995</v>
      </c>
      <c r="Z28" s="36">
        <v>0.70199999999999996</v>
      </c>
      <c r="AA28" s="36">
        <v>0.70899999999999996</v>
      </c>
      <c r="AB28" s="36">
        <v>0.71699999999999997</v>
      </c>
      <c r="AC28" s="36">
        <v>0.72499999999999998</v>
      </c>
      <c r="AD28" s="36">
        <v>0.73299999999999998</v>
      </c>
      <c r="AE28" s="36">
        <v>0.74099999999999999</v>
      </c>
      <c r="AF28" s="36">
        <v>0.748</v>
      </c>
      <c r="AG28" s="36">
        <v>0.754</v>
      </c>
      <c r="AH28" s="36">
        <v>0.76</v>
      </c>
      <c r="AI28" s="36">
        <v>0.76500000000000001</v>
      </c>
      <c r="AJ28" s="36">
        <v>0.77</v>
      </c>
      <c r="AK28" s="36">
        <v>0.77500000000000002</v>
      </c>
      <c r="AL28" s="36">
        <v>0.78100000000000003</v>
      </c>
      <c r="AM28" s="36">
        <v>0.78600000000000003</v>
      </c>
      <c r="AN28" s="36">
        <v>0.79200000000000004</v>
      </c>
      <c r="AO28" s="36">
        <v>0.79700000000000004</v>
      </c>
      <c r="AP28" s="37">
        <v>0.80200000000000005</v>
      </c>
      <c r="AQ28" s="37">
        <v>0.80700000000000005</v>
      </c>
      <c r="AR28" s="37">
        <v>0.81200000000000006</v>
      </c>
      <c r="AS28" s="37">
        <v>0.81599999999999995</v>
      </c>
      <c r="AT28" s="37">
        <v>0.82099999999999995</v>
      </c>
      <c r="AU28" s="37">
        <v>0.82499999999999996</v>
      </c>
      <c r="AV28" s="37">
        <v>0.83</v>
      </c>
      <c r="AW28" s="37">
        <v>0.83499999999999996</v>
      </c>
      <c r="AX28" s="37">
        <v>0.83899999999999997</v>
      </c>
      <c r="AY28" s="37">
        <v>0.84299999999999997</v>
      </c>
      <c r="AZ28" s="37">
        <v>0.84799999999999998</v>
      </c>
      <c r="BA28" s="37">
        <v>0.85199999999999998</v>
      </c>
      <c r="BB28" s="37">
        <v>0.85599999999999998</v>
      </c>
      <c r="BC28" s="37">
        <v>0.85899999999999999</v>
      </c>
      <c r="BD28" s="37">
        <v>0.86199999999999999</v>
      </c>
      <c r="BE28" s="37">
        <v>0.86499999999999999</v>
      </c>
      <c r="BF28" s="37">
        <v>0.86799999999999999</v>
      </c>
      <c r="BG28" s="37">
        <v>0.871</v>
      </c>
      <c r="BH28" s="37">
        <v>0.874</v>
      </c>
      <c r="BI28" s="37">
        <v>0.876</v>
      </c>
      <c r="BJ28" s="37">
        <v>0.878</v>
      </c>
      <c r="BK28" s="37">
        <v>0.879</v>
      </c>
      <c r="BL28" s="37">
        <v>0.88</v>
      </c>
      <c r="BM28" s="37">
        <v>0.88100000000000001</v>
      </c>
      <c r="BN28" s="37">
        <v>0.88200000000000001</v>
      </c>
    </row>
    <row r="29" spans="1:66" x14ac:dyDescent="0.2">
      <c r="A29" s="2" t="s">
        <v>248</v>
      </c>
      <c r="B29" s="2" t="s">
        <v>249</v>
      </c>
      <c r="C29" s="11" t="s">
        <v>210</v>
      </c>
      <c r="D29" s="12" t="s">
        <v>697</v>
      </c>
      <c r="E29" s="35">
        <v>1.0000000397398101</v>
      </c>
      <c r="F29" s="36">
        <v>7.13</v>
      </c>
      <c r="G29" s="36">
        <v>7.28</v>
      </c>
      <c r="H29" s="36">
        <v>7.43</v>
      </c>
      <c r="I29" s="36">
        <v>7.5789999999999997</v>
      </c>
      <c r="J29" s="36">
        <v>7.7270000000000003</v>
      </c>
      <c r="K29" s="36">
        <v>7.875</v>
      </c>
      <c r="L29" s="36">
        <v>8.0220000000000002</v>
      </c>
      <c r="M29" s="36">
        <v>8.1679999999999993</v>
      </c>
      <c r="N29" s="36">
        <v>8.3130000000000006</v>
      </c>
      <c r="O29" s="36">
        <v>8.4600000000000009</v>
      </c>
      <c r="P29" s="36">
        <v>8.6059999999999999</v>
      </c>
      <c r="Q29" s="36">
        <v>8.7530000000000001</v>
      </c>
      <c r="R29" s="36">
        <v>8.9</v>
      </c>
      <c r="S29" s="36">
        <v>9.0510000000000002</v>
      </c>
      <c r="T29" s="36">
        <v>9.2040000000000006</v>
      </c>
      <c r="U29" s="36">
        <v>9.3610000000000007</v>
      </c>
      <c r="V29" s="36">
        <v>9.5220000000000002</v>
      </c>
      <c r="W29" s="36">
        <v>9.6859999999999999</v>
      </c>
      <c r="X29" s="36">
        <v>9.8510000000000009</v>
      </c>
      <c r="Y29" s="36">
        <v>10.016</v>
      </c>
      <c r="Z29" s="36">
        <v>10.182</v>
      </c>
      <c r="AA29" s="36">
        <v>10.349</v>
      </c>
      <c r="AB29" s="36">
        <v>10.516</v>
      </c>
      <c r="AC29" s="36">
        <v>10.683</v>
      </c>
      <c r="AD29" s="36">
        <v>10.849</v>
      </c>
      <c r="AE29" s="36">
        <v>11.015000000000001</v>
      </c>
      <c r="AF29" s="36">
        <v>11.18</v>
      </c>
      <c r="AG29" s="36">
        <v>11.345000000000001</v>
      </c>
      <c r="AH29" s="36">
        <v>11.507999999999999</v>
      </c>
      <c r="AI29" s="36">
        <v>11.670999999999999</v>
      </c>
      <c r="AJ29" s="36">
        <v>11.816000000000001</v>
      </c>
      <c r="AK29" s="36">
        <v>11.936999999999999</v>
      </c>
      <c r="AL29" s="36">
        <v>12.077</v>
      </c>
      <c r="AM29" s="36">
        <v>12.244</v>
      </c>
      <c r="AN29" s="36">
        <v>12.413</v>
      </c>
      <c r="AO29" s="36">
        <v>12.582000000000001</v>
      </c>
      <c r="AP29" s="37">
        <v>12.749000000000001</v>
      </c>
      <c r="AQ29" s="37">
        <v>12.916</v>
      </c>
      <c r="AR29" s="37">
        <v>13.08</v>
      </c>
      <c r="AS29" s="37">
        <v>13.244</v>
      </c>
      <c r="AT29" s="37">
        <v>13.406000000000001</v>
      </c>
      <c r="AU29" s="37">
        <v>13.566000000000001</v>
      </c>
      <c r="AV29" s="37">
        <v>13.723000000000001</v>
      </c>
      <c r="AW29" s="37">
        <v>13.879</v>
      </c>
      <c r="AX29" s="37">
        <v>14.032999999999999</v>
      </c>
      <c r="AY29" s="37">
        <v>14.183999999999999</v>
      </c>
      <c r="AZ29" s="37">
        <v>14.332000000000001</v>
      </c>
      <c r="BA29" s="37">
        <v>14.478</v>
      </c>
      <c r="BB29" s="37">
        <v>14.621</v>
      </c>
      <c r="BC29" s="37">
        <v>14.762</v>
      </c>
      <c r="BD29" s="37">
        <v>14.898999999999999</v>
      </c>
      <c r="BE29" s="37">
        <v>15.034000000000001</v>
      </c>
      <c r="BF29" s="37">
        <v>15.166</v>
      </c>
      <c r="BG29" s="37">
        <v>15.295</v>
      </c>
      <c r="BH29" s="37">
        <v>15.42</v>
      </c>
      <c r="BI29" s="37">
        <v>15.542999999999999</v>
      </c>
      <c r="BJ29" s="37">
        <v>15.662000000000001</v>
      </c>
      <c r="BK29" s="37">
        <v>15.779</v>
      </c>
      <c r="BL29" s="37">
        <v>15.891999999999999</v>
      </c>
      <c r="BM29" s="37">
        <v>16.003</v>
      </c>
      <c r="BN29" s="37">
        <v>16.11</v>
      </c>
    </row>
    <row r="30" spans="1:66" x14ac:dyDescent="0.2">
      <c r="A30" s="2" t="s">
        <v>250</v>
      </c>
      <c r="B30" s="2" t="s">
        <v>251</v>
      </c>
      <c r="C30" s="11" t="s">
        <v>82</v>
      </c>
      <c r="D30" s="12" t="s">
        <v>697</v>
      </c>
      <c r="E30" s="35">
        <v>0.99999984076917403</v>
      </c>
      <c r="F30" s="36">
        <v>4.4489999999999998</v>
      </c>
      <c r="G30" s="36">
        <v>4.4580000000000002</v>
      </c>
      <c r="H30" s="36">
        <v>4.2350000000000003</v>
      </c>
      <c r="I30" s="36">
        <v>3.9039999999999999</v>
      </c>
      <c r="J30" s="36">
        <v>3.7250000000000001</v>
      </c>
      <c r="K30" s="36">
        <v>3.7160000000000002</v>
      </c>
      <c r="L30" s="36">
        <v>3.875</v>
      </c>
      <c r="M30" s="36">
        <v>4.0179999999999998</v>
      </c>
      <c r="N30" s="36">
        <v>4.0890000000000004</v>
      </c>
      <c r="O30" s="36">
        <v>4.13</v>
      </c>
      <c r="P30" s="36">
        <v>4.16</v>
      </c>
      <c r="Q30" s="36">
        <v>4.1790000000000003</v>
      </c>
      <c r="R30" s="36">
        <v>4.1879999999999997</v>
      </c>
      <c r="S30" s="36">
        <v>4.1790000000000003</v>
      </c>
      <c r="T30" s="36">
        <v>4.141</v>
      </c>
      <c r="U30" s="36">
        <v>4.0960000000000001</v>
      </c>
      <c r="V30" s="36">
        <v>4.0629999999999997</v>
      </c>
      <c r="W30" s="36">
        <v>4.0129999999999999</v>
      </c>
      <c r="X30" s="36">
        <v>3.948</v>
      </c>
      <c r="Y30" s="36">
        <v>3.88</v>
      </c>
      <c r="Z30" s="36">
        <v>3.8109999999999999</v>
      </c>
      <c r="AA30" s="36">
        <v>3.742</v>
      </c>
      <c r="AB30" s="36">
        <v>3.67</v>
      </c>
      <c r="AC30" s="36">
        <v>3.6110000000000002</v>
      </c>
      <c r="AD30" s="36">
        <v>3.5649999999999999</v>
      </c>
      <c r="AE30" s="36">
        <v>3.5190000000000001</v>
      </c>
      <c r="AF30" s="36">
        <v>3.4729999999999999</v>
      </c>
      <c r="AG30" s="36">
        <v>3.4289999999999998</v>
      </c>
      <c r="AH30" s="36">
        <v>3.387</v>
      </c>
      <c r="AI30" s="36">
        <v>3.3460000000000001</v>
      </c>
      <c r="AJ30" s="36">
        <v>3.2989999999999999</v>
      </c>
      <c r="AK30" s="36">
        <v>3.2450000000000001</v>
      </c>
      <c r="AL30" s="36">
        <v>3.2050000000000001</v>
      </c>
      <c r="AM30" s="36">
        <v>3.1850000000000001</v>
      </c>
      <c r="AN30" s="36">
        <v>3.1640000000000001</v>
      </c>
      <c r="AO30" s="36">
        <v>3.14</v>
      </c>
      <c r="AP30" s="37">
        <v>3.1139999999999999</v>
      </c>
      <c r="AQ30" s="37">
        <v>3.0880000000000001</v>
      </c>
      <c r="AR30" s="37">
        <v>3.0619999999999998</v>
      </c>
      <c r="AS30" s="37">
        <v>3.0379999999999998</v>
      </c>
      <c r="AT30" s="37">
        <v>3.0139999999999998</v>
      </c>
      <c r="AU30" s="37">
        <v>2.99</v>
      </c>
      <c r="AV30" s="37">
        <v>2.9649999999999999</v>
      </c>
      <c r="AW30" s="37">
        <v>2.9380000000000002</v>
      </c>
      <c r="AX30" s="37">
        <v>2.91</v>
      </c>
      <c r="AY30" s="37">
        <v>2.8820000000000001</v>
      </c>
      <c r="AZ30" s="37">
        <v>2.8540000000000001</v>
      </c>
      <c r="BA30" s="37">
        <v>2.8279999999999998</v>
      </c>
      <c r="BB30" s="37">
        <v>2.8010000000000002</v>
      </c>
      <c r="BC30" s="37">
        <v>2.774</v>
      </c>
      <c r="BD30" s="37">
        <v>2.7450000000000001</v>
      </c>
      <c r="BE30" s="37">
        <v>2.7149999999999999</v>
      </c>
      <c r="BF30" s="37">
        <v>2.6859999999999999</v>
      </c>
      <c r="BG30" s="37">
        <v>2.657</v>
      </c>
      <c r="BH30" s="37">
        <v>2.6280000000000001</v>
      </c>
      <c r="BI30" s="37">
        <v>2.6</v>
      </c>
      <c r="BJ30" s="37">
        <v>2.5710000000000002</v>
      </c>
      <c r="BK30" s="37">
        <v>2.5419999999999998</v>
      </c>
      <c r="BL30" s="37">
        <v>2.5129999999999999</v>
      </c>
      <c r="BM30" s="37">
        <v>2.484</v>
      </c>
      <c r="BN30" s="37">
        <v>2.4550000000000001</v>
      </c>
    </row>
    <row r="31" spans="1:66" x14ac:dyDescent="0.2">
      <c r="A31" s="2" t="s">
        <v>252</v>
      </c>
      <c r="B31" s="2" t="s">
        <v>253</v>
      </c>
      <c r="C31" s="11" t="s">
        <v>82</v>
      </c>
      <c r="D31" s="12" t="s">
        <v>697</v>
      </c>
      <c r="E31" s="35">
        <v>1</v>
      </c>
      <c r="F31" s="36">
        <v>1.306</v>
      </c>
      <c r="G31" s="36">
        <v>1.3420000000000001</v>
      </c>
      <c r="H31" s="36">
        <v>1.38</v>
      </c>
      <c r="I31" s="36">
        <v>1.42</v>
      </c>
      <c r="J31" s="36">
        <v>1.46</v>
      </c>
      <c r="K31" s="36">
        <v>1.4990000000000001</v>
      </c>
      <c r="L31" s="36">
        <v>1.536</v>
      </c>
      <c r="M31" s="36">
        <v>1.5720000000000001</v>
      </c>
      <c r="N31" s="36">
        <v>1.607</v>
      </c>
      <c r="O31" s="36">
        <v>1.6419999999999999</v>
      </c>
      <c r="P31" s="36">
        <v>1.677</v>
      </c>
      <c r="Q31" s="36">
        <v>1.712</v>
      </c>
      <c r="R31" s="36">
        <v>1.7450000000000001</v>
      </c>
      <c r="S31" s="36">
        <v>1.776</v>
      </c>
      <c r="T31" s="36">
        <v>1.8069999999999999</v>
      </c>
      <c r="U31" s="36">
        <v>1.84</v>
      </c>
      <c r="V31" s="36">
        <v>1.875</v>
      </c>
      <c r="W31" s="36">
        <v>1.911</v>
      </c>
      <c r="X31" s="36">
        <v>1.95</v>
      </c>
      <c r="Y31" s="36">
        <v>1.9910000000000001</v>
      </c>
      <c r="Z31" s="36">
        <v>2.0329999999999999</v>
      </c>
      <c r="AA31" s="36">
        <v>2.0739999999999998</v>
      </c>
      <c r="AB31" s="36">
        <v>2.109</v>
      </c>
      <c r="AC31" s="36">
        <v>2.141</v>
      </c>
      <c r="AD31" s="36">
        <v>2.1720000000000002</v>
      </c>
      <c r="AE31" s="36">
        <v>2.2029999999999998</v>
      </c>
      <c r="AF31" s="36">
        <v>2.2349999999999999</v>
      </c>
      <c r="AG31" s="36">
        <v>2.2669999999999999</v>
      </c>
      <c r="AH31" s="36">
        <v>2.2989999999999999</v>
      </c>
      <c r="AI31" s="36">
        <v>2.3319999999999999</v>
      </c>
      <c r="AJ31" s="36">
        <v>2.3660000000000001</v>
      </c>
      <c r="AK31" s="36">
        <v>2.4009999999999998</v>
      </c>
      <c r="AL31" s="36">
        <v>2.44</v>
      </c>
      <c r="AM31" s="36">
        <v>2.48</v>
      </c>
      <c r="AN31" s="36">
        <v>2.5209999999999999</v>
      </c>
      <c r="AO31" s="36">
        <v>2.5619999999999998</v>
      </c>
      <c r="AP31" s="37">
        <v>2.6030000000000002</v>
      </c>
      <c r="AQ31" s="37">
        <v>2.645</v>
      </c>
      <c r="AR31" s="37">
        <v>2.6859999999999999</v>
      </c>
      <c r="AS31" s="37">
        <v>2.726</v>
      </c>
      <c r="AT31" s="37">
        <v>2.766</v>
      </c>
      <c r="AU31" s="37">
        <v>2.8050000000000002</v>
      </c>
      <c r="AV31" s="37">
        <v>2.843</v>
      </c>
      <c r="AW31" s="37">
        <v>2.8809999999999998</v>
      </c>
      <c r="AX31" s="37">
        <v>2.9180000000000001</v>
      </c>
      <c r="AY31" s="37">
        <v>2.9540000000000002</v>
      </c>
      <c r="AZ31" s="37">
        <v>2.99</v>
      </c>
      <c r="BA31" s="37">
        <v>3.0249999999999999</v>
      </c>
      <c r="BB31" s="37">
        <v>3.06</v>
      </c>
      <c r="BC31" s="37">
        <v>3.093</v>
      </c>
      <c r="BD31" s="37">
        <v>3.1269999999999998</v>
      </c>
      <c r="BE31" s="37">
        <v>3.1589999999999998</v>
      </c>
      <c r="BF31" s="37">
        <v>3.1909999999999998</v>
      </c>
      <c r="BG31" s="37">
        <v>3.2229999999999999</v>
      </c>
      <c r="BH31" s="37">
        <v>3.254</v>
      </c>
      <c r="BI31" s="37">
        <v>3.2850000000000001</v>
      </c>
      <c r="BJ31" s="37">
        <v>3.3170000000000002</v>
      </c>
      <c r="BK31" s="37">
        <v>3.3479999999999999</v>
      </c>
      <c r="BL31" s="37">
        <v>3.379</v>
      </c>
      <c r="BM31" s="37">
        <v>3.4089999999999998</v>
      </c>
      <c r="BN31" s="37">
        <v>3.4369999999999998</v>
      </c>
    </row>
    <row r="32" spans="1:66" x14ac:dyDescent="0.2">
      <c r="A32" s="2" t="s">
        <v>254</v>
      </c>
      <c r="B32" s="2" t="s">
        <v>255</v>
      </c>
      <c r="C32" s="11" t="s">
        <v>82</v>
      </c>
      <c r="D32" s="12" t="s">
        <v>697</v>
      </c>
      <c r="E32" s="35">
        <v>1</v>
      </c>
      <c r="F32" s="36">
        <v>149.143</v>
      </c>
      <c r="G32" s="36">
        <v>151.72399999999999</v>
      </c>
      <c r="H32" s="36">
        <v>154.27500000000001</v>
      </c>
      <c r="I32" s="36">
        <v>156.79499999999999</v>
      </c>
      <c r="J32" s="36">
        <v>159.26499999999999</v>
      </c>
      <c r="K32" s="36">
        <v>161.73500000000001</v>
      </c>
      <c r="L32" s="36">
        <v>164.203</v>
      </c>
      <c r="M32" s="36">
        <v>166.66200000000001</v>
      </c>
      <c r="N32" s="36">
        <v>169.16</v>
      </c>
      <c r="O32" s="36">
        <v>171.642</v>
      </c>
      <c r="P32" s="36">
        <v>174.018</v>
      </c>
      <c r="Q32" s="36">
        <v>176.30099999999999</v>
      </c>
      <c r="R32" s="36">
        <v>178.50299999999999</v>
      </c>
      <c r="S32" s="36">
        <v>180.62299999999999</v>
      </c>
      <c r="T32" s="36">
        <v>182.67500000000001</v>
      </c>
      <c r="U32" s="36">
        <v>184.68799999999999</v>
      </c>
      <c r="V32" s="36">
        <v>186.65299999999999</v>
      </c>
      <c r="W32" s="36">
        <v>188.55199999999999</v>
      </c>
      <c r="X32" s="36">
        <v>190.36699999999999</v>
      </c>
      <c r="Y32" s="36">
        <v>192.08</v>
      </c>
      <c r="Z32" s="36">
        <v>193.702</v>
      </c>
      <c r="AA32" s="36">
        <v>195.285</v>
      </c>
      <c r="AB32" s="36">
        <v>196.876</v>
      </c>
      <c r="AC32" s="36">
        <v>198.47800000000001</v>
      </c>
      <c r="AD32" s="36">
        <v>200.08500000000001</v>
      </c>
      <c r="AE32" s="36">
        <v>201.67599999999999</v>
      </c>
      <c r="AF32" s="36">
        <v>203.21799999999999</v>
      </c>
      <c r="AG32" s="36">
        <v>204.703</v>
      </c>
      <c r="AH32" s="36">
        <v>206.107</v>
      </c>
      <c r="AI32" s="36">
        <v>207.45500000000001</v>
      </c>
      <c r="AJ32" s="36">
        <v>208.661</v>
      </c>
      <c r="AK32" s="36">
        <v>209.55</v>
      </c>
      <c r="AL32" s="36">
        <v>210.30600000000001</v>
      </c>
      <c r="AM32" s="36">
        <v>211.14099999999999</v>
      </c>
      <c r="AN32" s="36">
        <v>211.999</v>
      </c>
      <c r="AO32" s="36">
        <v>212.81200000000001</v>
      </c>
      <c r="AP32" s="37">
        <v>213.56299999999999</v>
      </c>
      <c r="AQ32" s="37">
        <v>214.261</v>
      </c>
      <c r="AR32" s="37">
        <v>214.911</v>
      </c>
      <c r="AS32" s="37">
        <v>215.51499999999999</v>
      </c>
      <c r="AT32" s="37">
        <v>216.07400000000001</v>
      </c>
      <c r="AU32" s="37">
        <v>216.58699999999999</v>
      </c>
      <c r="AV32" s="37">
        <v>217.05500000000001</v>
      </c>
      <c r="AW32" s="37">
        <v>217.47900000000001</v>
      </c>
      <c r="AX32" s="37">
        <v>217.86099999999999</v>
      </c>
      <c r="AY32" s="37">
        <v>218.2</v>
      </c>
      <c r="AZ32" s="37">
        <v>218.495</v>
      </c>
      <c r="BA32" s="37">
        <v>218.74700000000001</v>
      </c>
      <c r="BB32" s="37">
        <v>218.95599999999999</v>
      </c>
      <c r="BC32" s="37">
        <v>219.11799999999999</v>
      </c>
      <c r="BD32" s="37">
        <v>219.23699999999999</v>
      </c>
      <c r="BE32" s="37">
        <v>219.30699999999999</v>
      </c>
      <c r="BF32" s="37">
        <v>219.32</v>
      </c>
      <c r="BG32" s="37">
        <v>219.27699999999999</v>
      </c>
      <c r="BH32" s="37">
        <v>219.179</v>
      </c>
      <c r="BI32" s="37">
        <v>219.02600000000001</v>
      </c>
      <c r="BJ32" s="37">
        <v>218.821</v>
      </c>
      <c r="BK32" s="37">
        <v>218.565</v>
      </c>
      <c r="BL32" s="37">
        <v>218.25800000000001</v>
      </c>
      <c r="BM32" s="37">
        <v>217.898</v>
      </c>
      <c r="BN32" s="37">
        <v>217.489</v>
      </c>
    </row>
    <row r="33" spans="1:66" x14ac:dyDescent="0.2">
      <c r="A33" s="2" t="s">
        <v>256</v>
      </c>
      <c r="B33" s="2" t="s">
        <v>257</v>
      </c>
      <c r="C33" s="11" t="s">
        <v>79</v>
      </c>
      <c r="D33" s="12" t="s">
        <v>697</v>
      </c>
      <c r="E33" s="35">
        <v>1</v>
      </c>
      <c r="F33" s="36">
        <v>1.6E-2</v>
      </c>
      <c r="G33" s="36">
        <v>1.6E-2</v>
      </c>
      <c r="H33" s="36">
        <v>1.7000000000000001E-2</v>
      </c>
      <c r="I33" s="36">
        <v>1.7000000000000001E-2</v>
      </c>
      <c r="J33" s="36">
        <v>1.7000000000000001E-2</v>
      </c>
      <c r="K33" s="36">
        <v>1.7999999999999999E-2</v>
      </c>
      <c r="L33" s="36">
        <v>1.7999999999999999E-2</v>
      </c>
      <c r="M33" s="36">
        <v>1.9E-2</v>
      </c>
      <c r="N33" s="36">
        <v>1.9E-2</v>
      </c>
      <c r="O33" s="36">
        <v>0.02</v>
      </c>
      <c r="P33" s="36">
        <v>0.02</v>
      </c>
      <c r="Q33" s="36">
        <v>2.1000000000000001E-2</v>
      </c>
      <c r="R33" s="36">
        <v>2.1000000000000001E-2</v>
      </c>
      <c r="S33" s="36">
        <v>2.1999999999999999E-2</v>
      </c>
      <c r="T33" s="36">
        <v>2.3E-2</v>
      </c>
      <c r="U33" s="36">
        <v>2.4E-2</v>
      </c>
      <c r="V33" s="36">
        <v>2.4E-2</v>
      </c>
      <c r="W33" s="36">
        <v>2.5000000000000001E-2</v>
      </c>
      <c r="X33" s="36">
        <v>2.5999999999999999E-2</v>
      </c>
      <c r="Y33" s="36">
        <v>2.7E-2</v>
      </c>
      <c r="Z33" s="36">
        <v>2.8000000000000001E-2</v>
      </c>
      <c r="AA33" s="36">
        <v>2.9000000000000001E-2</v>
      </c>
      <c r="AB33" s="36">
        <v>0.03</v>
      </c>
      <c r="AC33" s="36">
        <v>3.2000000000000001E-2</v>
      </c>
      <c r="AD33" s="36">
        <v>3.3000000000000002E-2</v>
      </c>
      <c r="AE33" s="36">
        <v>3.4000000000000002E-2</v>
      </c>
      <c r="AF33" s="36">
        <v>3.4000000000000002E-2</v>
      </c>
      <c r="AG33" s="36">
        <v>3.3000000000000002E-2</v>
      </c>
      <c r="AH33" s="36">
        <v>3.5000000000000003E-2</v>
      </c>
      <c r="AI33" s="36">
        <v>3.5999999999999997E-2</v>
      </c>
      <c r="AJ33" s="36">
        <v>3.6999999999999998E-2</v>
      </c>
      <c r="AK33" s="36">
        <v>3.7999999999999999E-2</v>
      </c>
      <c r="AL33" s="36">
        <v>3.7999999999999999E-2</v>
      </c>
      <c r="AM33" s="36">
        <v>3.9E-2</v>
      </c>
      <c r="AN33" s="36">
        <v>3.9E-2</v>
      </c>
      <c r="AO33" s="36">
        <v>0.04</v>
      </c>
      <c r="AP33" s="37">
        <v>0.04</v>
      </c>
      <c r="AQ33" s="37">
        <v>0.04</v>
      </c>
      <c r="AR33" s="37">
        <v>0.04</v>
      </c>
      <c r="AS33" s="37">
        <v>0.04</v>
      </c>
      <c r="AT33" s="37">
        <v>4.1000000000000002E-2</v>
      </c>
      <c r="AU33" s="37">
        <v>4.1000000000000002E-2</v>
      </c>
      <c r="AV33" s="37">
        <v>4.1000000000000002E-2</v>
      </c>
      <c r="AW33" s="37">
        <v>4.1000000000000002E-2</v>
      </c>
      <c r="AX33" s="37">
        <v>4.1000000000000002E-2</v>
      </c>
      <c r="AY33" s="37">
        <v>4.1000000000000002E-2</v>
      </c>
      <c r="AZ33" s="37">
        <v>4.1000000000000002E-2</v>
      </c>
      <c r="BA33" s="37">
        <v>4.1000000000000002E-2</v>
      </c>
      <c r="BB33" s="37">
        <v>4.1000000000000002E-2</v>
      </c>
      <c r="BC33" s="37">
        <v>4.1000000000000002E-2</v>
      </c>
      <c r="BD33" s="37">
        <v>4.1000000000000002E-2</v>
      </c>
      <c r="BE33" s="37">
        <v>4.1000000000000002E-2</v>
      </c>
      <c r="BF33" s="37">
        <v>4.1000000000000002E-2</v>
      </c>
      <c r="BG33" s="37">
        <v>4.1000000000000002E-2</v>
      </c>
      <c r="BH33" s="37">
        <v>4.1000000000000002E-2</v>
      </c>
      <c r="BI33" s="37">
        <v>4.1000000000000002E-2</v>
      </c>
      <c r="BJ33" s="37">
        <v>4.1000000000000002E-2</v>
      </c>
      <c r="BK33" s="37">
        <v>4.1000000000000002E-2</v>
      </c>
      <c r="BL33" s="37">
        <v>4.1000000000000002E-2</v>
      </c>
      <c r="BM33" s="37">
        <v>4.1000000000000002E-2</v>
      </c>
      <c r="BN33" s="37">
        <v>0.04</v>
      </c>
    </row>
    <row r="34" spans="1:66" x14ac:dyDescent="0.2">
      <c r="A34" s="2" t="s">
        <v>258</v>
      </c>
      <c r="B34" s="2" t="s">
        <v>259</v>
      </c>
      <c r="C34" s="11" t="s">
        <v>79</v>
      </c>
      <c r="D34" s="12" t="s">
        <v>697</v>
      </c>
      <c r="E34" s="35">
        <v>0.99999892779906097</v>
      </c>
      <c r="F34" s="36">
        <v>0.255</v>
      </c>
      <c r="G34" s="36">
        <v>0.26300000000000001</v>
      </c>
      <c r="H34" s="36">
        <v>0.27</v>
      </c>
      <c r="I34" s="36">
        <v>0.27700000000000002</v>
      </c>
      <c r="J34" s="36">
        <v>0.28399999999999997</v>
      </c>
      <c r="K34" s="36">
        <v>0.29099999999999998</v>
      </c>
      <c r="L34" s="36">
        <v>0.29799999999999999</v>
      </c>
      <c r="M34" s="36">
        <v>0.30499999999999999</v>
      </c>
      <c r="N34" s="36">
        <v>0.312</v>
      </c>
      <c r="O34" s="36">
        <v>0.31900000000000001</v>
      </c>
      <c r="P34" s="36">
        <v>0.32600000000000001</v>
      </c>
      <c r="Q34" s="36">
        <v>0.33300000000000002</v>
      </c>
      <c r="R34" s="36">
        <v>0.34</v>
      </c>
      <c r="S34" s="36">
        <v>0.34699999999999998</v>
      </c>
      <c r="T34" s="36">
        <v>0.35299999999999998</v>
      </c>
      <c r="U34" s="36">
        <v>0.35899999999999999</v>
      </c>
      <c r="V34" s="36">
        <v>0.36499999999999999</v>
      </c>
      <c r="W34" s="36">
        <v>0.371</v>
      </c>
      <c r="X34" s="36">
        <v>0.378</v>
      </c>
      <c r="Y34" s="36">
        <v>0.38500000000000001</v>
      </c>
      <c r="Z34" s="36">
        <v>0.39200000000000002</v>
      </c>
      <c r="AA34" s="36">
        <v>0.39900000000000002</v>
      </c>
      <c r="AB34" s="36">
        <v>0.40600000000000003</v>
      </c>
      <c r="AC34" s="36">
        <v>0.41099999999999998</v>
      </c>
      <c r="AD34" s="36">
        <v>0.41699999999999998</v>
      </c>
      <c r="AE34" s="36">
        <v>0.42199999999999999</v>
      </c>
      <c r="AF34" s="36">
        <v>0.42799999999999999</v>
      </c>
      <c r="AG34" s="36">
        <v>0.433</v>
      </c>
      <c r="AH34" s="36">
        <v>0.438</v>
      </c>
      <c r="AI34" s="36">
        <v>0.443</v>
      </c>
      <c r="AJ34" s="36">
        <v>0.44700000000000001</v>
      </c>
      <c r="AK34" s="36">
        <v>0.45200000000000001</v>
      </c>
      <c r="AL34" s="36">
        <v>0.45500000000000002</v>
      </c>
      <c r="AM34" s="36">
        <v>0.45900000000000002</v>
      </c>
      <c r="AN34" s="36">
        <v>0.46300000000000002</v>
      </c>
      <c r="AO34" s="36">
        <v>0.46600000000000003</v>
      </c>
      <c r="AP34" s="37">
        <v>0.47</v>
      </c>
      <c r="AQ34" s="37">
        <v>0.47299999999999998</v>
      </c>
      <c r="AR34" s="37">
        <v>0.47599999999999998</v>
      </c>
      <c r="AS34" s="37">
        <v>0.47899999999999998</v>
      </c>
      <c r="AT34" s="37">
        <v>0.48199999999999998</v>
      </c>
      <c r="AU34" s="37">
        <v>0.48499999999999999</v>
      </c>
      <c r="AV34" s="37">
        <v>0.48799999999999999</v>
      </c>
      <c r="AW34" s="37">
        <v>0.49</v>
      </c>
      <c r="AX34" s="37">
        <v>0.49299999999999999</v>
      </c>
      <c r="AY34" s="37">
        <v>0.495</v>
      </c>
      <c r="AZ34" s="37">
        <v>0.498</v>
      </c>
      <c r="BA34" s="37">
        <v>0.5</v>
      </c>
      <c r="BB34" s="37">
        <v>0.502</v>
      </c>
      <c r="BC34" s="37">
        <v>0.504</v>
      </c>
      <c r="BD34" s="37">
        <v>0.50600000000000001</v>
      </c>
      <c r="BE34" s="37">
        <v>0.50800000000000001</v>
      </c>
      <c r="BF34" s="37">
        <v>0.51</v>
      </c>
      <c r="BG34" s="37">
        <v>0.51100000000000001</v>
      </c>
      <c r="BH34" s="37">
        <v>0.51300000000000001</v>
      </c>
      <c r="BI34" s="37">
        <v>0.51400000000000001</v>
      </c>
      <c r="BJ34" s="37">
        <v>0.51500000000000001</v>
      </c>
      <c r="BK34" s="37">
        <v>0.51700000000000002</v>
      </c>
      <c r="BL34" s="37">
        <v>0.51800000000000002</v>
      </c>
      <c r="BM34" s="37">
        <v>0.51900000000000002</v>
      </c>
      <c r="BN34" s="37">
        <v>0.52</v>
      </c>
    </row>
    <row r="35" spans="1:66" x14ac:dyDescent="0.2">
      <c r="A35" s="2" t="s">
        <v>261</v>
      </c>
      <c r="B35" s="2" t="s">
        <v>262</v>
      </c>
      <c r="C35" s="11" t="s">
        <v>79</v>
      </c>
      <c r="D35" s="12" t="s">
        <v>697</v>
      </c>
      <c r="E35" s="35">
        <v>0.95811229314447199</v>
      </c>
      <c r="F35" s="36">
        <v>8.718</v>
      </c>
      <c r="G35" s="36">
        <v>8.6319999999999997</v>
      </c>
      <c r="H35" s="36">
        <v>8.5399999999999991</v>
      </c>
      <c r="I35" s="36">
        <v>8.4719999999999995</v>
      </c>
      <c r="J35" s="36">
        <v>8.4440000000000008</v>
      </c>
      <c r="K35" s="36">
        <v>8.4060000000000006</v>
      </c>
      <c r="L35" s="36">
        <v>8.3629999999999995</v>
      </c>
      <c r="M35" s="36">
        <v>8.3119999999999994</v>
      </c>
      <c r="N35" s="36">
        <v>8.2569999999999997</v>
      </c>
      <c r="O35" s="36">
        <v>8.2110000000000003</v>
      </c>
      <c r="P35" s="36">
        <v>8.17</v>
      </c>
      <c r="Q35" s="36">
        <v>8.0090000000000003</v>
      </c>
      <c r="R35" s="36">
        <v>7.8369999999999997</v>
      </c>
      <c r="S35" s="36">
        <v>7.7750000000000004</v>
      </c>
      <c r="T35" s="36">
        <v>7.7169999999999996</v>
      </c>
      <c r="U35" s="36">
        <v>7.6589999999999998</v>
      </c>
      <c r="V35" s="36">
        <v>7.601</v>
      </c>
      <c r="W35" s="36">
        <v>7.5449999999999999</v>
      </c>
      <c r="X35" s="36">
        <v>7.4930000000000003</v>
      </c>
      <c r="Y35" s="36">
        <v>7.444</v>
      </c>
      <c r="Z35" s="36">
        <v>7.3959999999999999</v>
      </c>
      <c r="AA35" s="36">
        <v>7.3479999999999999</v>
      </c>
      <c r="AB35" s="36">
        <v>7.306</v>
      </c>
      <c r="AC35" s="36">
        <v>7.16</v>
      </c>
      <c r="AD35" s="36">
        <v>7.0739999999999998</v>
      </c>
      <c r="AE35" s="36">
        <v>6.984</v>
      </c>
      <c r="AF35" s="36">
        <v>6.8940000000000001</v>
      </c>
      <c r="AG35" s="36">
        <v>6.8029999999999999</v>
      </c>
      <c r="AH35" s="36">
        <v>6.7110000000000003</v>
      </c>
      <c r="AI35" s="36">
        <v>6.617</v>
      </c>
      <c r="AJ35" s="36">
        <v>6.5510000000000002</v>
      </c>
      <c r="AK35" s="36">
        <v>6.5069999999999997</v>
      </c>
      <c r="AL35" s="36">
        <v>6.4649999999999999</v>
      </c>
      <c r="AM35" s="36">
        <v>6.4470000000000001</v>
      </c>
      <c r="AN35" s="36">
        <v>6.4409999999999998</v>
      </c>
      <c r="AO35" s="36">
        <v>6.4329999999999998</v>
      </c>
      <c r="AP35" s="37">
        <v>6.3879999999999999</v>
      </c>
      <c r="AQ35" s="37">
        <v>6.3410000000000002</v>
      </c>
      <c r="AR35" s="37">
        <v>6.2910000000000004</v>
      </c>
      <c r="AS35" s="37">
        <v>6.24</v>
      </c>
      <c r="AT35" s="37">
        <v>6.1879999999999997</v>
      </c>
      <c r="AU35" s="37">
        <v>6.1349999999999998</v>
      </c>
      <c r="AV35" s="37">
        <v>6.0819999999999999</v>
      </c>
      <c r="AW35" s="37">
        <v>6.03</v>
      </c>
      <c r="AX35" s="37">
        <v>5.9770000000000003</v>
      </c>
      <c r="AY35" s="37">
        <v>5.9240000000000004</v>
      </c>
      <c r="AZ35" s="37">
        <v>5.8710000000000004</v>
      </c>
      <c r="BA35" s="37">
        <v>5.8179999999999996</v>
      </c>
      <c r="BB35" s="37">
        <v>5.7649999999999997</v>
      </c>
      <c r="BC35" s="37">
        <v>5.7119999999999997</v>
      </c>
      <c r="BD35" s="37">
        <v>5.66</v>
      </c>
      <c r="BE35" s="37">
        <v>5.609</v>
      </c>
      <c r="BF35" s="37">
        <v>5.5579999999999998</v>
      </c>
      <c r="BG35" s="37">
        <v>5.5090000000000003</v>
      </c>
      <c r="BH35" s="37">
        <v>5.46</v>
      </c>
      <c r="BI35" s="37">
        <v>5.4119999999999999</v>
      </c>
      <c r="BJ35" s="37">
        <v>5.3639999999999999</v>
      </c>
      <c r="BK35" s="37">
        <v>5.3159999999999998</v>
      </c>
      <c r="BL35" s="37">
        <v>5.2690000000000001</v>
      </c>
      <c r="BM35" s="37">
        <v>5.2220000000000004</v>
      </c>
      <c r="BN35" s="37">
        <v>5.1760000000000002</v>
      </c>
    </row>
    <row r="36" spans="1:66" x14ac:dyDescent="0.2">
      <c r="A36" s="2" t="s">
        <v>264</v>
      </c>
      <c r="B36" s="2" t="s">
        <v>265</v>
      </c>
      <c r="C36" s="11" t="s">
        <v>75</v>
      </c>
      <c r="D36" s="12" t="s">
        <v>697</v>
      </c>
      <c r="E36" s="35">
        <v>1</v>
      </c>
      <c r="F36" s="36">
        <v>9.1590000000000007</v>
      </c>
      <c r="G36" s="36">
        <v>9.3949999999999996</v>
      </c>
      <c r="H36" s="36">
        <v>9.6289999999999996</v>
      </c>
      <c r="I36" s="36">
        <v>9.8719999999999999</v>
      </c>
      <c r="J36" s="36">
        <v>10.124000000000001</v>
      </c>
      <c r="K36" s="36">
        <v>10.387</v>
      </c>
      <c r="L36" s="36">
        <v>10.656000000000001</v>
      </c>
      <c r="M36" s="36">
        <v>10.933999999999999</v>
      </c>
      <c r="N36" s="36">
        <v>11.241</v>
      </c>
      <c r="O36" s="36">
        <v>11.574999999999999</v>
      </c>
      <c r="P36" s="36">
        <v>11.926</v>
      </c>
      <c r="Q36" s="36">
        <v>12.295</v>
      </c>
      <c r="R36" s="36">
        <v>12.680999999999999</v>
      </c>
      <c r="S36" s="36">
        <v>13.083</v>
      </c>
      <c r="T36" s="36">
        <v>13.500999999999999</v>
      </c>
      <c r="U36" s="36">
        <v>13.932</v>
      </c>
      <c r="V36" s="36">
        <v>14.374000000000001</v>
      </c>
      <c r="W36" s="36">
        <v>14.816000000000001</v>
      </c>
      <c r="X36" s="36">
        <v>15.257999999999999</v>
      </c>
      <c r="Y36" s="36">
        <v>15.71</v>
      </c>
      <c r="Z36" s="36">
        <v>16.175999999999998</v>
      </c>
      <c r="AA36" s="36">
        <v>16.661999999999999</v>
      </c>
      <c r="AB36" s="36">
        <v>17.172000000000001</v>
      </c>
      <c r="AC36" s="36">
        <v>17.695</v>
      </c>
      <c r="AD36" s="36">
        <v>18.228999999999999</v>
      </c>
      <c r="AE36" s="36">
        <v>18.777000000000001</v>
      </c>
      <c r="AF36" s="36">
        <v>19.335000000000001</v>
      </c>
      <c r="AG36" s="36">
        <v>19.893999999999998</v>
      </c>
      <c r="AH36" s="36">
        <v>20.437999999999999</v>
      </c>
      <c r="AI36" s="36">
        <v>20.962</v>
      </c>
      <c r="AJ36" s="36">
        <v>21.478999999999999</v>
      </c>
      <c r="AK36" s="36">
        <v>21.995000000000001</v>
      </c>
      <c r="AL36" s="36">
        <v>22.509</v>
      </c>
      <c r="AM36" s="36">
        <v>23.026</v>
      </c>
      <c r="AN36" s="36">
        <v>23.548999999999999</v>
      </c>
      <c r="AO36" s="36">
        <v>24.074999999999999</v>
      </c>
      <c r="AP36" s="37">
        <v>24.602</v>
      </c>
      <c r="AQ36" s="37">
        <v>25.131</v>
      </c>
      <c r="AR36" s="37">
        <v>25.661999999999999</v>
      </c>
      <c r="AS36" s="37">
        <v>26.195</v>
      </c>
      <c r="AT36" s="37">
        <v>26.73</v>
      </c>
      <c r="AU36" s="37">
        <v>27.271000000000001</v>
      </c>
      <c r="AV36" s="37">
        <v>27.815000000000001</v>
      </c>
      <c r="AW36" s="37">
        <v>28.364000000000001</v>
      </c>
      <c r="AX36" s="37">
        <v>28.917000000000002</v>
      </c>
      <c r="AY36" s="37">
        <v>29.47</v>
      </c>
      <c r="AZ36" s="37">
        <v>30.02</v>
      </c>
      <c r="BA36" s="37">
        <v>30.568000000000001</v>
      </c>
      <c r="BB36" s="37">
        <v>31.113</v>
      </c>
      <c r="BC36" s="37">
        <v>31.655000000000001</v>
      </c>
      <c r="BD36" s="37">
        <v>32.194000000000003</v>
      </c>
      <c r="BE36" s="37">
        <v>32.728999999999999</v>
      </c>
      <c r="BF36" s="37">
        <v>33.261000000000003</v>
      </c>
      <c r="BG36" s="37">
        <v>33.789000000000001</v>
      </c>
      <c r="BH36" s="37">
        <v>34.311999999999998</v>
      </c>
      <c r="BI36" s="37">
        <v>34.83</v>
      </c>
      <c r="BJ36" s="37">
        <v>35.340000000000003</v>
      </c>
      <c r="BK36" s="37">
        <v>35.841999999999999</v>
      </c>
      <c r="BL36" s="37">
        <v>36.337000000000003</v>
      </c>
      <c r="BM36" s="37">
        <v>36.823</v>
      </c>
      <c r="BN36" s="37">
        <v>37.304000000000002</v>
      </c>
    </row>
    <row r="37" spans="1:66" x14ac:dyDescent="0.2">
      <c r="A37" s="2" t="s">
        <v>266</v>
      </c>
      <c r="B37" s="2" t="s">
        <v>267</v>
      </c>
      <c r="C37" s="11" t="s">
        <v>75</v>
      </c>
      <c r="D37" s="12" t="s">
        <v>697</v>
      </c>
      <c r="E37" s="35">
        <v>1.00000003474635</v>
      </c>
      <c r="F37" s="36">
        <v>5.5869999999999997</v>
      </c>
      <c r="G37" s="36">
        <v>5.7039999999999997</v>
      </c>
      <c r="H37" s="36">
        <v>5.8579999999999997</v>
      </c>
      <c r="I37" s="36">
        <v>5.6769999999999996</v>
      </c>
      <c r="J37" s="36">
        <v>5.7140000000000004</v>
      </c>
      <c r="K37" s="36">
        <v>6.0659999999999998</v>
      </c>
      <c r="L37" s="36">
        <v>6.0709999999999997</v>
      </c>
      <c r="M37" s="36">
        <v>6.07</v>
      </c>
      <c r="N37" s="36">
        <v>6.1870000000000003</v>
      </c>
      <c r="O37" s="36">
        <v>6.3369999999999997</v>
      </c>
      <c r="P37" s="36">
        <v>6.47</v>
      </c>
      <c r="Q37" s="36">
        <v>6.6340000000000003</v>
      </c>
      <c r="R37" s="36">
        <v>6.8239999999999998</v>
      </c>
      <c r="S37" s="36">
        <v>7.0430000000000001</v>
      </c>
      <c r="T37" s="36">
        <v>7.3109999999999999</v>
      </c>
      <c r="U37" s="36">
        <v>7.5869999999999997</v>
      </c>
      <c r="V37" s="36">
        <v>7.8659999999999997</v>
      </c>
      <c r="W37" s="36">
        <v>8.1620000000000008</v>
      </c>
      <c r="X37" s="36">
        <v>8.5060000000000002</v>
      </c>
      <c r="Y37" s="36">
        <v>8.9480000000000004</v>
      </c>
      <c r="Z37" s="36">
        <v>9.3759999999999994</v>
      </c>
      <c r="AA37" s="36">
        <v>9.718</v>
      </c>
      <c r="AB37" s="36">
        <v>10.071</v>
      </c>
      <c r="AC37" s="36">
        <v>10.439</v>
      </c>
      <c r="AD37" s="36">
        <v>10.8</v>
      </c>
      <c r="AE37" s="36">
        <v>11.048</v>
      </c>
      <c r="AF37" s="36">
        <v>11.239000000000001</v>
      </c>
      <c r="AG37" s="36">
        <v>11.507</v>
      </c>
      <c r="AH37" s="36">
        <v>11.859</v>
      </c>
      <c r="AI37" s="36">
        <v>12.255000000000001</v>
      </c>
      <c r="AJ37" s="36">
        <v>12.617000000000001</v>
      </c>
      <c r="AK37" s="36">
        <v>12.965</v>
      </c>
      <c r="AL37" s="36">
        <v>13.321</v>
      </c>
      <c r="AM37" s="36">
        <v>13.689</v>
      </c>
      <c r="AN37" s="36">
        <v>14.048</v>
      </c>
      <c r="AO37" s="36">
        <v>14.39</v>
      </c>
      <c r="AP37" s="37">
        <v>14.728999999999999</v>
      </c>
      <c r="AQ37" s="37">
        <v>15.077</v>
      </c>
      <c r="AR37" s="37">
        <v>15.444000000000001</v>
      </c>
      <c r="AS37" s="37">
        <v>15.816000000000001</v>
      </c>
      <c r="AT37" s="37">
        <v>16.181999999999999</v>
      </c>
      <c r="AU37" s="37">
        <v>16.555</v>
      </c>
      <c r="AV37" s="37">
        <v>16.934999999999999</v>
      </c>
      <c r="AW37" s="37">
        <v>17.318000000000001</v>
      </c>
      <c r="AX37" s="37">
        <v>17.701000000000001</v>
      </c>
      <c r="AY37" s="37">
        <v>18.085999999999999</v>
      </c>
      <c r="AZ37" s="37">
        <v>18.483000000000001</v>
      </c>
      <c r="BA37" s="37">
        <v>18.893000000000001</v>
      </c>
      <c r="BB37" s="37">
        <v>19.306000000000001</v>
      </c>
      <c r="BC37" s="37">
        <v>19.719000000000001</v>
      </c>
      <c r="BD37" s="37">
        <v>20.131</v>
      </c>
      <c r="BE37" s="37">
        <v>20.538</v>
      </c>
      <c r="BF37" s="37">
        <v>20.952000000000002</v>
      </c>
      <c r="BG37" s="37">
        <v>21.370999999999999</v>
      </c>
      <c r="BH37" s="37">
        <v>21.786000000000001</v>
      </c>
      <c r="BI37" s="37">
        <v>22.198</v>
      </c>
      <c r="BJ37" s="37">
        <v>22.585999999999999</v>
      </c>
      <c r="BK37" s="37">
        <v>22.97</v>
      </c>
      <c r="BL37" s="37">
        <v>23.358000000000001</v>
      </c>
      <c r="BM37" s="37">
        <v>23.748999999999999</v>
      </c>
      <c r="BN37" s="37">
        <v>24.132000000000001</v>
      </c>
    </row>
    <row r="38" spans="1:66" x14ac:dyDescent="0.2">
      <c r="A38" s="2" t="s">
        <v>269</v>
      </c>
      <c r="B38" s="2" t="s">
        <v>270</v>
      </c>
      <c r="C38" s="11" t="s">
        <v>82</v>
      </c>
      <c r="D38" s="12" t="s">
        <v>697</v>
      </c>
      <c r="E38" s="35">
        <v>1.00000094818096</v>
      </c>
      <c r="F38" s="36">
        <v>0.375</v>
      </c>
      <c r="G38" s="36">
        <v>0.38500000000000001</v>
      </c>
      <c r="H38" s="36">
        <v>0.39300000000000002</v>
      </c>
      <c r="I38" s="36">
        <v>0.40200000000000002</v>
      </c>
      <c r="J38" s="36">
        <v>0.41</v>
      </c>
      <c r="K38" s="36">
        <v>0.41799999999999998</v>
      </c>
      <c r="L38" s="36">
        <v>0.42599999999999999</v>
      </c>
      <c r="M38" s="36">
        <v>0.433</v>
      </c>
      <c r="N38" s="36">
        <v>0.44</v>
      </c>
      <c r="O38" s="36">
        <v>0.44700000000000001</v>
      </c>
      <c r="P38" s="36">
        <v>0.45300000000000001</v>
      </c>
      <c r="Q38" s="36">
        <v>0.46</v>
      </c>
      <c r="R38" s="36">
        <v>0.46700000000000003</v>
      </c>
      <c r="S38" s="36">
        <v>0.47299999999999998</v>
      </c>
      <c r="T38" s="36">
        <v>0.47899999999999998</v>
      </c>
      <c r="U38" s="36">
        <v>0.48499999999999999</v>
      </c>
      <c r="V38" s="36">
        <v>0.49099999999999999</v>
      </c>
      <c r="W38" s="36">
        <v>0.496</v>
      </c>
      <c r="X38" s="36">
        <v>0.501</v>
      </c>
      <c r="Y38" s="36">
        <v>0.50600000000000001</v>
      </c>
      <c r="Z38" s="36">
        <v>0.51</v>
      </c>
      <c r="AA38" s="36">
        <v>0.51100000000000001</v>
      </c>
      <c r="AB38" s="36">
        <v>0.51200000000000001</v>
      </c>
      <c r="AC38" s="36">
        <v>0.51200000000000001</v>
      </c>
      <c r="AD38" s="36">
        <v>0.51200000000000001</v>
      </c>
      <c r="AE38" s="36">
        <v>0.51200000000000001</v>
      </c>
      <c r="AF38" s="36">
        <v>0.51300000000000001</v>
      </c>
      <c r="AG38" s="36">
        <v>0.51300000000000001</v>
      </c>
      <c r="AH38" s="36">
        <v>0.51300000000000001</v>
      </c>
      <c r="AI38" s="36">
        <v>0.51400000000000001</v>
      </c>
      <c r="AJ38" s="36">
        <v>0.51500000000000001</v>
      </c>
      <c r="AK38" s="36">
        <v>0.51700000000000002</v>
      </c>
      <c r="AL38" s="36">
        <v>0.52</v>
      </c>
      <c r="AM38" s="36">
        <v>0.52200000000000002</v>
      </c>
      <c r="AN38" s="36">
        <v>0.52500000000000002</v>
      </c>
      <c r="AO38" s="36">
        <v>0.52700000000000002</v>
      </c>
      <c r="AP38" s="37">
        <v>0.53</v>
      </c>
      <c r="AQ38" s="37">
        <v>0.53200000000000003</v>
      </c>
      <c r="AR38" s="37">
        <v>0.53400000000000003</v>
      </c>
      <c r="AS38" s="37">
        <v>0.53600000000000003</v>
      </c>
      <c r="AT38" s="37">
        <v>0.53900000000000003</v>
      </c>
      <c r="AU38" s="37">
        <v>0.54100000000000004</v>
      </c>
      <c r="AV38" s="37">
        <v>0.54300000000000004</v>
      </c>
      <c r="AW38" s="37">
        <v>0.54500000000000004</v>
      </c>
      <c r="AX38" s="37">
        <v>0.54700000000000004</v>
      </c>
      <c r="AY38" s="37">
        <v>0.54900000000000004</v>
      </c>
      <c r="AZ38" s="37">
        <v>0.55000000000000004</v>
      </c>
      <c r="BA38" s="37">
        <v>0.55200000000000005</v>
      </c>
      <c r="BB38" s="37">
        <v>0.55400000000000005</v>
      </c>
      <c r="BC38" s="37">
        <v>0.55600000000000005</v>
      </c>
      <c r="BD38" s="37">
        <v>0.55700000000000005</v>
      </c>
      <c r="BE38" s="37">
        <v>0.55900000000000005</v>
      </c>
      <c r="BF38" s="37">
        <v>0.56000000000000005</v>
      </c>
      <c r="BG38" s="37">
        <v>0.56100000000000005</v>
      </c>
      <c r="BH38" s="37">
        <v>0.56200000000000006</v>
      </c>
      <c r="BI38" s="37">
        <v>0.56299999999999994</v>
      </c>
      <c r="BJ38" s="37">
        <v>0.56399999999999995</v>
      </c>
      <c r="BK38" s="37">
        <v>0.56499999999999995</v>
      </c>
      <c r="BL38" s="37">
        <v>0.56599999999999995</v>
      </c>
      <c r="BM38" s="37">
        <v>0.56599999999999995</v>
      </c>
      <c r="BN38" s="37">
        <v>0.56599999999999995</v>
      </c>
    </row>
    <row r="39" spans="1:66" x14ac:dyDescent="0.2">
      <c r="A39" s="2" t="s">
        <v>271</v>
      </c>
      <c r="B39" s="2" t="s">
        <v>272</v>
      </c>
      <c r="C39" s="11" t="s">
        <v>210</v>
      </c>
      <c r="D39" s="12" t="s">
        <v>697</v>
      </c>
      <c r="E39" s="35">
        <v>1.0000000280143699</v>
      </c>
      <c r="F39" s="36">
        <v>7.375</v>
      </c>
      <c r="G39" s="36">
        <v>7.6870000000000003</v>
      </c>
      <c r="H39" s="36">
        <v>8.1129999999999995</v>
      </c>
      <c r="I39" s="36">
        <v>8.6159999999999997</v>
      </c>
      <c r="J39" s="36">
        <v>9.2390000000000008</v>
      </c>
      <c r="K39" s="36">
        <v>10.018000000000001</v>
      </c>
      <c r="L39" s="36">
        <v>10.801</v>
      </c>
      <c r="M39" s="36">
        <v>11.571</v>
      </c>
      <c r="N39" s="36">
        <v>12.058</v>
      </c>
      <c r="O39" s="36">
        <v>12.266</v>
      </c>
      <c r="P39" s="36">
        <v>12.462</v>
      </c>
      <c r="Q39" s="36">
        <v>12.657999999999999</v>
      </c>
      <c r="R39" s="36">
        <v>12.855</v>
      </c>
      <c r="S39" s="36">
        <v>13.051</v>
      </c>
      <c r="T39" s="36">
        <v>13.244999999999999</v>
      </c>
      <c r="U39" s="36">
        <v>13.439</v>
      </c>
      <c r="V39" s="36">
        <v>13.638999999999999</v>
      </c>
      <c r="W39" s="36">
        <v>13.842000000000001</v>
      </c>
      <c r="X39" s="36">
        <v>14.053000000000001</v>
      </c>
      <c r="Y39" s="36">
        <v>14.276999999999999</v>
      </c>
      <c r="Z39" s="36">
        <v>14.500999999999999</v>
      </c>
      <c r="AA39" s="36">
        <v>14.723000000000001</v>
      </c>
      <c r="AB39" s="36">
        <v>14.945</v>
      </c>
      <c r="AC39" s="36">
        <v>15.17</v>
      </c>
      <c r="AD39" s="36">
        <v>15.397</v>
      </c>
      <c r="AE39" s="36">
        <v>15.622999999999999</v>
      </c>
      <c r="AF39" s="36">
        <v>15.853</v>
      </c>
      <c r="AG39" s="36">
        <v>16.073</v>
      </c>
      <c r="AH39" s="36">
        <v>16.274999999999999</v>
      </c>
      <c r="AI39" s="36">
        <v>16.481000000000002</v>
      </c>
      <c r="AJ39" s="36">
        <v>16.725000000000001</v>
      </c>
      <c r="AK39" s="36">
        <v>16.974</v>
      </c>
      <c r="AL39" s="36">
        <v>17.202000000000002</v>
      </c>
      <c r="AM39" s="36">
        <v>17.423999999999999</v>
      </c>
      <c r="AN39" s="36">
        <v>17.638999999999999</v>
      </c>
      <c r="AO39" s="36">
        <v>17.847999999999999</v>
      </c>
      <c r="AP39" s="37">
        <v>18.050999999999998</v>
      </c>
      <c r="AQ39" s="37">
        <v>18.25</v>
      </c>
      <c r="AR39" s="37">
        <v>18.446999999999999</v>
      </c>
      <c r="AS39" s="37">
        <v>18.638999999999999</v>
      </c>
      <c r="AT39" s="37">
        <v>18.827000000000002</v>
      </c>
      <c r="AU39" s="37">
        <v>19.012</v>
      </c>
      <c r="AV39" s="37">
        <v>19.193000000000001</v>
      </c>
      <c r="AW39" s="37">
        <v>19.372</v>
      </c>
      <c r="AX39" s="37">
        <v>19.547000000000001</v>
      </c>
      <c r="AY39" s="37">
        <v>19.72</v>
      </c>
      <c r="AZ39" s="37">
        <v>19.89</v>
      </c>
      <c r="BA39" s="37">
        <v>20.056000000000001</v>
      </c>
      <c r="BB39" s="37">
        <v>20.221</v>
      </c>
      <c r="BC39" s="37">
        <v>20.382999999999999</v>
      </c>
      <c r="BD39" s="37">
        <v>20.541</v>
      </c>
      <c r="BE39" s="37">
        <v>20.695</v>
      </c>
      <c r="BF39" s="37">
        <v>20.847999999999999</v>
      </c>
      <c r="BG39" s="37">
        <v>20.998999999999999</v>
      </c>
      <c r="BH39" s="37">
        <v>21.145</v>
      </c>
      <c r="BI39" s="37">
        <v>21.286000000000001</v>
      </c>
      <c r="BJ39" s="37">
        <v>21.423999999999999</v>
      </c>
      <c r="BK39" s="37">
        <v>21.558</v>
      </c>
      <c r="BL39" s="37">
        <v>21.687000000000001</v>
      </c>
      <c r="BM39" s="37">
        <v>21.812000000000001</v>
      </c>
      <c r="BN39" s="37">
        <v>21.931000000000001</v>
      </c>
    </row>
    <row r="40" spans="1:66" x14ac:dyDescent="0.2">
      <c r="A40" s="2" t="s">
        <v>273</v>
      </c>
      <c r="B40" s="2" t="s">
        <v>274</v>
      </c>
      <c r="C40" s="11" t="s">
        <v>210</v>
      </c>
      <c r="D40" s="12" t="s">
        <v>697</v>
      </c>
      <c r="E40" s="35">
        <v>1</v>
      </c>
      <c r="F40" s="36">
        <v>11.332000000000001</v>
      </c>
      <c r="G40" s="36">
        <v>11.667</v>
      </c>
      <c r="H40" s="36">
        <v>12.006</v>
      </c>
      <c r="I40" s="36">
        <v>12.353</v>
      </c>
      <c r="J40" s="36">
        <v>12.705</v>
      </c>
      <c r="K40" s="36">
        <v>13.058999999999999</v>
      </c>
      <c r="L40" s="36">
        <v>13.414999999999999</v>
      </c>
      <c r="M40" s="36">
        <v>13.775</v>
      </c>
      <c r="N40" s="36">
        <v>14.145</v>
      </c>
      <c r="O40" s="36">
        <v>14.525</v>
      </c>
      <c r="P40" s="36">
        <v>14.913</v>
      </c>
      <c r="Q40" s="36">
        <v>15.308999999999999</v>
      </c>
      <c r="R40" s="36">
        <v>15.726000000000001</v>
      </c>
      <c r="S40" s="36">
        <v>16.16</v>
      </c>
      <c r="T40" s="36">
        <v>16.61</v>
      </c>
      <c r="U40" s="36">
        <v>17.074999999999999</v>
      </c>
      <c r="V40" s="36">
        <v>17.55</v>
      </c>
      <c r="W40" s="36">
        <v>18.05</v>
      </c>
      <c r="X40" s="36">
        <v>18.574000000000002</v>
      </c>
      <c r="Y40" s="36">
        <v>19.114000000000001</v>
      </c>
      <c r="Z40" s="36">
        <v>19.667999999999999</v>
      </c>
      <c r="AA40" s="36">
        <v>20.231999999999999</v>
      </c>
      <c r="AB40" s="36">
        <v>20.81</v>
      </c>
      <c r="AC40" s="36">
        <v>21.402000000000001</v>
      </c>
      <c r="AD40" s="36">
        <v>22.06</v>
      </c>
      <c r="AE40" s="36">
        <v>22.763000000000002</v>
      </c>
      <c r="AF40" s="36">
        <v>23.454000000000001</v>
      </c>
      <c r="AG40" s="36">
        <v>24.129000000000001</v>
      </c>
      <c r="AH40" s="36">
        <v>24.806000000000001</v>
      </c>
      <c r="AI40" s="36">
        <v>25.506</v>
      </c>
      <c r="AJ40" s="36">
        <v>26.210999999999999</v>
      </c>
      <c r="AK40" s="36">
        <v>26.916</v>
      </c>
      <c r="AL40" s="36">
        <v>27.632999999999999</v>
      </c>
      <c r="AM40" s="36">
        <v>28.373000000000001</v>
      </c>
      <c r="AN40" s="36">
        <v>29.123999999999999</v>
      </c>
      <c r="AO40" s="36">
        <v>29.879000000000001</v>
      </c>
      <c r="AP40" s="37">
        <v>30.640999999999998</v>
      </c>
      <c r="AQ40" s="37">
        <v>31.41</v>
      </c>
      <c r="AR40" s="37">
        <v>32.191000000000003</v>
      </c>
      <c r="AS40" s="37">
        <v>32.978999999999999</v>
      </c>
      <c r="AT40" s="37">
        <v>33.777000000000001</v>
      </c>
      <c r="AU40" s="37">
        <v>34.584000000000003</v>
      </c>
      <c r="AV40" s="37">
        <v>35.4</v>
      </c>
      <c r="AW40" s="37">
        <v>36.222999999999999</v>
      </c>
      <c r="AX40" s="37">
        <v>37.055</v>
      </c>
      <c r="AY40" s="37">
        <v>37.893999999999998</v>
      </c>
      <c r="AZ40" s="37">
        <v>38.741999999999997</v>
      </c>
      <c r="BA40" s="37">
        <v>39.6</v>
      </c>
      <c r="BB40" s="37">
        <v>40.463000000000001</v>
      </c>
      <c r="BC40" s="37">
        <v>41.332999999999998</v>
      </c>
      <c r="BD40" s="37">
        <v>42.207999999999998</v>
      </c>
      <c r="BE40" s="37">
        <v>43.09</v>
      </c>
      <c r="BF40" s="37">
        <v>43.975999999999999</v>
      </c>
      <c r="BG40" s="37">
        <v>44.857999999999997</v>
      </c>
      <c r="BH40" s="37">
        <v>45.741</v>
      </c>
      <c r="BI40" s="37">
        <v>46.628999999999998</v>
      </c>
      <c r="BJ40" s="37">
        <v>47.518999999999998</v>
      </c>
      <c r="BK40" s="37">
        <v>48.414000000000001</v>
      </c>
      <c r="BL40" s="37">
        <v>49.308999999999997</v>
      </c>
      <c r="BM40" s="37">
        <v>50.203000000000003</v>
      </c>
      <c r="BN40" s="37">
        <v>51.095999999999997</v>
      </c>
    </row>
    <row r="41" spans="1:66" x14ac:dyDescent="0.2">
      <c r="A41" s="2" t="s">
        <v>275</v>
      </c>
      <c r="B41" s="2" t="s">
        <v>276</v>
      </c>
      <c r="C41" s="11" t="s">
        <v>79</v>
      </c>
      <c r="D41" s="12" t="s">
        <v>697</v>
      </c>
      <c r="E41" s="35">
        <v>1.03800285410797</v>
      </c>
      <c r="F41" s="36">
        <v>27.690999999999999</v>
      </c>
      <c r="G41" s="36">
        <v>28.036999999999999</v>
      </c>
      <c r="H41" s="36">
        <v>28.370999999999999</v>
      </c>
      <c r="I41" s="36">
        <v>28.684999999999999</v>
      </c>
      <c r="J41" s="36">
        <v>29.001000000000001</v>
      </c>
      <c r="K41" s="36">
        <v>29.302</v>
      </c>
      <c r="L41" s="36">
        <v>29.61</v>
      </c>
      <c r="M41" s="36">
        <v>29.905999999999999</v>
      </c>
      <c r="N41" s="36">
        <v>30.155000000000001</v>
      </c>
      <c r="O41" s="36">
        <v>30.401</v>
      </c>
      <c r="P41" s="36">
        <v>30.686</v>
      </c>
      <c r="Q41" s="36">
        <v>31.021000000000001</v>
      </c>
      <c r="R41" s="36">
        <v>31.359000000000002</v>
      </c>
      <c r="S41" s="36">
        <v>31.641999999999999</v>
      </c>
      <c r="T41" s="36">
        <v>31.939</v>
      </c>
      <c r="U41" s="36">
        <v>32.243000000000002</v>
      </c>
      <c r="V41" s="36">
        <v>32.570999999999998</v>
      </c>
      <c r="W41" s="36">
        <v>32.889000000000003</v>
      </c>
      <c r="X41" s="36">
        <v>33.247</v>
      </c>
      <c r="Y41" s="36">
        <v>33.630000000000003</v>
      </c>
      <c r="Z41" s="36">
        <v>34.006</v>
      </c>
      <c r="AA41" s="36">
        <v>34.338999999999999</v>
      </c>
      <c r="AB41" s="36">
        <v>34.713000000000001</v>
      </c>
      <c r="AC41" s="36">
        <v>35.081000000000003</v>
      </c>
      <c r="AD41" s="36">
        <v>35.433999999999997</v>
      </c>
      <c r="AE41" s="36">
        <v>35.704000000000001</v>
      </c>
      <c r="AF41" s="36">
        <v>36.110999999999997</v>
      </c>
      <c r="AG41" s="36">
        <v>36.545000000000002</v>
      </c>
      <c r="AH41" s="36">
        <v>37.073</v>
      </c>
      <c r="AI41" s="36">
        <v>37.618000000000002</v>
      </c>
      <c r="AJ41" s="36">
        <v>38.029000000000003</v>
      </c>
      <c r="AK41" s="36">
        <v>38.24</v>
      </c>
      <c r="AL41" s="36">
        <v>38.950000000000003</v>
      </c>
      <c r="AM41" s="36">
        <v>40.048999999999999</v>
      </c>
      <c r="AN41" s="36">
        <v>41.262</v>
      </c>
      <c r="AO41" s="36">
        <v>41.652000000000001</v>
      </c>
      <c r="AP41" s="37">
        <v>42.006</v>
      </c>
      <c r="AQ41" s="37">
        <v>42.332000000000001</v>
      </c>
      <c r="AR41" s="37">
        <v>42.646999999999998</v>
      </c>
      <c r="AS41" s="37">
        <v>42.948999999999998</v>
      </c>
      <c r="AT41" s="37">
        <v>43.238999999999997</v>
      </c>
      <c r="AU41" s="37">
        <v>43.521999999999998</v>
      </c>
      <c r="AV41" s="37">
        <v>43.795000000000002</v>
      </c>
      <c r="AW41" s="37">
        <v>44.051000000000002</v>
      </c>
      <c r="AX41" s="37">
        <v>44.298000000000002</v>
      </c>
      <c r="AY41" s="37">
        <v>44.536000000000001</v>
      </c>
      <c r="AZ41" s="37">
        <v>44.762999999999998</v>
      </c>
      <c r="BA41" s="37">
        <v>44.99</v>
      </c>
      <c r="BB41" s="37">
        <v>45.210999999999999</v>
      </c>
      <c r="BC41" s="37">
        <v>45.421999999999997</v>
      </c>
      <c r="BD41" s="37">
        <v>45.622</v>
      </c>
      <c r="BE41" s="37">
        <v>45.814999999999998</v>
      </c>
      <c r="BF41" s="37">
        <v>46.006</v>
      </c>
      <c r="BG41" s="37">
        <v>46.192</v>
      </c>
      <c r="BH41" s="37">
        <v>46.374000000000002</v>
      </c>
      <c r="BI41" s="37">
        <v>46.555</v>
      </c>
      <c r="BJ41" s="37">
        <v>46.728000000000002</v>
      </c>
      <c r="BK41" s="37">
        <v>46.89</v>
      </c>
      <c r="BL41" s="37">
        <v>47.052</v>
      </c>
      <c r="BM41" s="37">
        <v>47.204999999999998</v>
      </c>
      <c r="BN41" s="37">
        <v>47.356000000000002</v>
      </c>
    </row>
    <row r="42" spans="1:66" x14ac:dyDescent="0.2">
      <c r="A42" s="2" t="s">
        <v>277</v>
      </c>
      <c r="B42" s="2" t="s">
        <v>278</v>
      </c>
      <c r="C42" s="11" t="s">
        <v>79</v>
      </c>
      <c r="D42" s="12" t="s">
        <v>697</v>
      </c>
      <c r="E42" s="35">
        <v>1.0000065925227599</v>
      </c>
      <c r="F42" s="36">
        <v>2.5999999999999999E-2</v>
      </c>
      <c r="G42" s="36">
        <v>2.7E-2</v>
      </c>
      <c r="H42" s="36">
        <v>2.9000000000000001E-2</v>
      </c>
      <c r="I42" s="36">
        <v>0.03</v>
      </c>
      <c r="J42" s="36">
        <v>3.1E-2</v>
      </c>
      <c r="K42" s="36">
        <v>3.3000000000000002E-2</v>
      </c>
      <c r="L42" s="36">
        <v>3.4000000000000002E-2</v>
      </c>
      <c r="M42" s="36">
        <v>3.5999999999999997E-2</v>
      </c>
      <c r="N42" s="36">
        <v>3.6999999999999998E-2</v>
      </c>
      <c r="O42" s="36">
        <v>3.7999999999999999E-2</v>
      </c>
      <c r="P42" s="36">
        <v>0.04</v>
      </c>
      <c r="Q42" s="36">
        <v>4.1000000000000002E-2</v>
      </c>
      <c r="R42" s="36">
        <v>4.2999999999999997E-2</v>
      </c>
      <c r="S42" s="36">
        <v>4.3999999999999997E-2</v>
      </c>
      <c r="T42" s="36">
        <v>4.4999999999999998E-2</v>
      </c>
      <c r="U42" s="36">
        <v>4.7E-2</v>
      </c>
      <c r="V42" s="36">
        <v>4.8000000000000001E-2</v>
      </c>
      <c r="W42" s="36">
        <v>0.05</v>
      </c>
      <c r="X42" s="36">
        <v>5.0999999999999997E-2</v>
      </c>
      <c r="Y42" s="36">
        <v>5.2999999999999999E-2</v>
      </c>
      <c r="Z42" s="36">
        <v>5.3999999999999999E-2</v>
      </c>
      <c r="AA42" s="36">
        <v>5.6000000000000001E-2</v>
      </c>
      <c r="AB42" s="36">
        <v>5.7000000000000002E-2</v>
      </c>
      <c r="AC42" s="36">
        <v>5.8999999999999997E-2</v>
      </c>
      <c r="AD42" s="36">
        <v>0.06</v>
      </c>
      <c r="AE42" s="36">
        <v>6.2E-2</v>
      </c>
      <c r="AF42" s="36">
        <v>6.3E-2</v>
      </c>
      <c r="AG42" s="36">
        <v>6.5000000000000002E-2</v>
      </c>
      <c r="AH42" s="36">
        <v>6.6000000000000003E-2</v>
      </c>
      <c r="AI42" s="36">
        <v>6.7000000000000004E-2</v>
      </c>
      <c r="AJ42" s="36">
        <v>6.9000000000000006E-2</v>
      </c>
      <c r="AK42" s="36">
        <v>7.0000000000000007E-2</v>
      </c>
      <c r="AL42" s="36">
        <v>7.1999999999999995E-2</v>
      </c>
      <c r="AM42" s="36">
        <v>7.2999999999999995E-2</v>
      </c>
      <c r="AN42" s="36">
        <v>7.3999999999999996E-2</v>
      </c>
      <c r="AO42" s="36">
        <v>7.5999999999999998E-2</v>
      </c>
      <c r="AP42" s="37">
        <v>7.6999999999999999E-2</v>
      </c>
      <c r="AQ42" s="37">
        <v>7.9000000000000001E-2</v>
      </c>
      <c r="AR42" s="37">
        <v>0.08</v>
      </c>
      <c r="AS42" s="37">
        <v>8.1000000000000003E-2</v>
      </c>
      <c r="AT42" s="37">
        <v>8.2000000000000003E-2</v>
      </c>
      <c r="AU42" s="37">
        <v>8.4000000000000005E-2</v>
      </c>
      <c r="AV42" s="37">
        <v>8.5000000000000006E-2</v>
      </c>
      <c r="AW42" s="37">
        <v>8.5999999999999993E-2</v>
      </c>
      <c r="AX42" s="37">
        <v>8.6999999999999994E-2</v>
      </c>
      <c r="AY42" s="37">
        <v>8.7999999999999995E-2</v>
      </c>
      <c r="AZ42" s="37">
        <v>0.09</v>
      </c>
      <c r="BA42" s="37">
        <v>9.0999999999999998E-2</v>
      </c>
      <c r="BB42" s="37">
        <v>9.1999999999999998E-2</v>
      </c>
      <c r="BC42" s="37">
        <v>9.2999999999999999E-2</v>
      </c>
      <c r="BD42" s="37">
        <v>9.4E-2</v>
      </c>
      <c r="BE42" s="37">
        <v>9.5000000000000001E-2</v>
      </c>
      <c r="BF42" s="37">
        <v>9.6000000000000002E-2</v>
      </c>
      <c r="BG42" s="37">
        <v>9.7000000000000003E-2</v>
      </c>
      <c r="BH42" s="37">
        <v>9.8000000000000004E-2</v>
      </c>
      <c r="BI42" s="37">
        <v>9.9000000000000005E-2</v>
      </c>
      <c r="BJ42" s="37">
        <v>0.1</v>
      </c>
      <c r="BK42" s="37">
        <v>0.10100000000000001</v>
      </c>
      <c r="BL42" s="37">
        <v>0.10199999999999999</v>
      </c>
      <c r="BM42" s="37">
        <v>0.10299999999999999</v>
      </c>
      <c r="BN42" s="37">
        <v>0.104</v>
      </c>
    </row>
    <row r="43" spans="1:66" x14ac:dyDescent="0.2">
      <c r="A43" s="2" t="s">
        <v>280</v>
      </c>
      <c r="B43" s="2" t="s">
        <v>281</v>
      </c>
      <c r="C43" s="11" t="s">
        <v>75</v>
      </c>
      <c r="D43" s="12" t="s">
        <v>697</v>
      </c>
      <c r="E43" s="35">
        <v>1</v>
      </c>
      <c r="F43" s="36">
        <v>2.8719999999999999</v>
      </c>
      <c r="G43" s="36">
        <v>2.9630000000000001</v>
      </c>
      <c r="H43" s="36">
        <v>3.0590000000000002</v>
      </c>
      <c r="I43" s="36">
        <v>3.1579999999999999</v>
      </c>
      <c r="J43" s="36">
        <v>3.258</v>
      </c>
      <c r="K43" s="36">
        <v>3.3479999999999999</v>
      </c>
      <c r="L43" s="36">
        <v>3.4359999999999999</v>
      </c>
      <c r="M43" s="36">
        <v>3.532</v>
      </c>
      <c r="N43" s="36">
        <v>3.629</v>
      </c>
      <c r="O43" s="36">
        <v>3.7290000000000001</v>
      </c>
      <c r="P43" s="36">
        <v>3.8330000000000002</v>
      </c>
      <c r="Q43" s="36">
        <v>3.919</v>
      </c>
      <c r="R43" s="36">
        <v>4.0060000000000002</v>
      </c>
      <c r="S43" s="36">
        <v>4.1029999999999998</v>
      </c>
      <c r="T43" s="36">
        <v>4.1929999999999996</v>
      </c>
      <c r="U43" s="36">
        <v>4.2889999999999997</v>
      </c>
      <c r="V43" s="36">
        <v>4.3780000000000001</v>
      </c>
      <c r="W43" s="36">
        <v>4.4630000000000001</v>
      </c>
      <c r="X43" s="36">
        <v>4.5590000000000002</v>
      </c>
      <c r="Y43" s="36">
        <v>4.5289999999999999</v>
      </c>
      <c r="Z43" s="36">
        <v>4.4930000000000003</v>
      </c>
      <c r="AA43" s="36">
        <v>4.5650000000000004</v>
      </c>
      <c r="AB43" s="36">
        <v>4.6109999999999998</v>
      </c>
      <c r="AC43" s="36">
        <v>4.6420000000000003</v>
      </c>
      <c r="AD43" s="36">
        <v>4.6230000000000002</v>
      </c>
      <c r="AE43" s="36">
        <v>4.6289999999999996</v>
      </c>
      <c r="AF43" s="36">
        <v>4.7140000000000004</v>
      </c>
      <c r="AG43" s="36">
        <v>4.7939999999999996</v>
      </c>
      <c r="AH43" s="36">
        <v>4.8789999999999996</v>
      </c>
      <c r="AI43" s="36">
        <v>4.9450000000000003</v>
      </c>
      <c r="AJ43" s="36">
        <v>5.0270000000000001</v>
      </c>
      <c r="AK43" s="36">
        <v>5.1120000000000001</v>
      </c>
      <c r="AL43" s="36">
        <v>5.0979999999999999</v>
      </c>
      <c r="AM43" s="36">
        <v>5.1520000000000001</v>
      </c>
      <c r="AN43" s="36">
        <v>5.3310000000000004</v>
      </c>
      <c r="AO43" s="36">
        <v>5.5129999999999999</v>
      </c>
      <c r="AP43" s="37">
        <v>5.6989999999999998</v>
      </c>
      <c r="AQ43" s="37">
        <v>5.8879999999999999</v>
      </c>
      <c r="AR43" s="37">
        <v>6.0819999999999999</v>
      </c>
      <c r="AS43" s="37">
        <v>6.28</v>
      </c>
      <c r="AT43" s="37">
        <v>6.4779999999999998</v>
      </c>
      <c r="AU43" s="37">
        <v>6.68</v>
      </c>
      <c r="AV43" s="37">
        <v>6.8840000000000003</v>
      </c>
      <c r="AW43" s="37">
        <v>7.0890000000000004</v>
      </c>
      <c r="AX43" s="37">
        <v>7.2960000000000003</v>
      </c>
      <c r="AY43" s="37">
        <v>7.5030000000000001</v>
      </c>
      <c r="AZ43" s="37">
        <v>7.7080000000000002</v>
      </c>
      <c r="BA43" s="37">
        <v>7.9119999999999999</v>
      </c>
      <c r="BB43" s="37">
        <v>8.1159999999999997</v>
      </c>
      <c r="BC43" s="37">
        <v>8.3219999999999992</v>
      </c>
      <c r="BD43" s="37">
        <v>8.5259999999999998</v>
      </c>
      <c r="BE43" s="37">
        <v>8.7289999999999992</v>
      </c>
      <c r="BF43" s="37">
        <v>8.9309999999999992</v>
      </c>
      <c r="BG43" s="37">
        <v>9.1349999999999998</v>
      </c>
      <c r="BH43" s="37">
        <v>9.3420000000000005</v>
      </c>
      <c r="BI43" s="37">
        <v>9.5510000000000002</v>
      </c>
      <c r="BJ43" s="37">
        <v>9.7609999999999992</v>
      </c>
      <c r="BK43" s="37">
        <v>9.9730000000000008</v>
      </c>
      <c r="BL43" s="37">
        <v>10.186</v>
      </c>
      <c r="BM43" s="37">
        <v>10.401</v>
      </c>
      <c r="BN43" s="37">
        <v>10.617000000000001</v>
      </c>
    </row>
    <row r="44" spans="1:66" x14ac:dyDescent="0.2">
      <c r="A44" s="2" t="s">
        <v>282</v>
      </c>
      <c r="B44" s="2" t="s">
        <v>283</v>
      </c>
      <c r="C44" s="11" t="s">
        <v>75</v>
      </c>
      <c r="D44" s="12" t="s">
        <v>697</v>
      </c>
      <c r="E44" s="35">
        <v>1</v>
      </c>
      <c r="F44" s="36">
        <v>5.9829999999999997</v>
      </c>
      <c r="G44" s="36">
        <v>6.2060000000000004</v>
      </c>
      <c r="H44" s="36">
        <v>6.4749999999999996</v>
      </c>
      <c r="I44" s="36">
        <v>6.6289999999999996</v>
      </c>
      <c r="J44" s="36">
        <v>6.7830000000000004</v>
      </c>
      <c r="K44" s="36">
        <v>7.0890000000000004</v>
      </c>
      <c r="L44" s="36">
        <v>7.41</v>
      </c>
      <c r="M44" s="36">
        <v>7.67</v>
      </c>
      <c r="N44" s="36">
        <v>7.9390000000000001</v>
      </c>
      <c r="O44" s="36">
        <v>8.2230000000000008</v>
      </c>
      <c r="P44" s="36">
        <v>8.5120000000000005</v>
      </c>
      <c r="Q44" s="36">
        <v>8.8040000000000003</v>
      </c>
      <c r="R44" s="36">
        <v>9.1159999999999997</v>
      </c>
      <c r="S44" s="36">
        <v>9.4879999999999995</v>
      </c>
      <c r="T44" s="36">
        <v>9.92</v>
      </c>
      <c r="U44" s="36">
        <v>10.327999999999999</v>
      </c>
      <c r="V44" s="36">
        <v>10.706</v>
      </c>
      <c r="W44" s="36">
        <v>11.082000000000001</v>
      </c>
      <c r="X44" s="36">
        <v>11.476000000000001</v>
      </c>
      <c r="Y44" s="36">
        <v>11.894</v>
      </c>
      <c r="Z44" s="36">
        <v>12.313000000000001</v>
      </c>
      <c r="AA44" s="36">
        <v>12.755000000000001</v>
      </c>
      <c r="AB44" s="36">
        <v>13.211</v>
      </c>
      <c r="AC44" s="36">
        <v>13.691000000000001</v>
      </c>
      <c r="AD44" s="36">
        <v>14.189</v>
      </c>
      <c r="AE44" s="36">
        <v>14.648</v>
      </c>
      <c r="AF44" s="36">
        <v>15.115</v>
      </c>
      <c r="AG44" s="36">
        <v>15.622999999999999</v>
      </c>
      <c r="AH44" s="36">
        <v>16.157</v>
      </c>
      <c r="AI44" s="36">
        <v>16.684999999999999</v>
      </c>
      <c r="AJ44" s="36">
        <v>17.225000000000001</v>
      </c>
      <c r="AK44" s="36">
        <v>17.827999999999999</v>
      </c>
      <c r="AL44" s="36">
        <v>18.454999999999998</v>
      </c>
      <c r="AM44" s="36">
        <v>19.318999999999999</v>
      </c>
      <c r="AN44" s="36">
        <v>20.298999999999999</v>
      </c>
      <c r="AO44" s="36">
        <v>21.004000000000001</v>
      </c>
      <c r="AP44" s="37">
        <v>21.56</v>
      </c>
      <c r="AQ44" s="37">
        <v>22.175000000000001</v>
      </c>
      <c r="AR44" s="37">
        <v>22.847999999999999</v>
      </c>
      <c r="AS44" s="37">
        <v>23.526</v>
      </c>
      <c r="AT44" s="37">
        <v>24.207000000000001</v>
      </c>
      <c r="AU44" s="37">
        <v>24.896999999999998</v>
      </c>
      <c r="AV44" s="37">
        <v>25.596</v>
      </c>
      <c r="AW44" s="37">
        <v>26.297999999999998</v>
      </c>
      <c r="AX44" s="37">
        <v>26.997</v>
      </c>
      <c r="AY44" s="37">
        <v>27.696999999999999</v>
      </c>
      <c r="AZ44" s="37">
        <v>28.411000000000001</v>
      </c>
      <c r="BA44" s="37">
        <v>29.132999999999999</v>
      </c>
      <c r="BB44" s="37">
        <v>29.856000000000002</v>
      </c>
      <c r="BC44" s="37">
        <v>30.585000000000001</v>
      </c>
      <c r="BD44" s="37">
        <v>31.306999999999999</v>
      </c>
      <c r="BE44" s="37">
        <v>32.034999999999997</v>
      </c>
      <c r="BF44" s="37">
        <v>32.777999999999999</v>
      </c>
      <c r="BG44" s="37">
        <v>33.524999999999999</v>
      </c>
      <c r="BH44" s="37">
        <v>34.271999999999998</v>
      </c>
      <c r="BI44" s="37">
        <v>35.026000000000003</v>
      </c>
      <c r="BJ44" s="37">
        <v>35.787999999999997</v>
      </c>
      <c r="BK44" s="37">
        <v>36.546999999999997</v>
      </c>
      <c r="BL44" s="37">
        <v>37.317</v>
      </c>
      <c r="BM44" s="37">
        <v>38.088999999999999</v>
      </c>
      <c r="BN44" s="37">
        <v>38.857999999999997</v>
      </c>
    </row>
    <row r="45" spans="1:66" x14ac:dyDescent="0.2">
      <c r="A45" s="2" t="s">
        <v>285</v>
      </c>
      <c r="B45" s="2" t="s">
        <v>286</v>
      </c>
      <c r="C45" s="11" t="s">
        <v>79</v>
      </c>
      <c r="D45" s="12" t="s">
        <v>697</v>
      </c>
      <c r="E45" s="35">
        <v>1.00000593595109</v>
      </c>
      <c r="F45" s="36">
        <v>0.14299999999999999</v>
      </c>
      <c r="G45" s="36">
        <v>0.14399999999999999</v>
      </c>
      <c r="H45" s="36">
        <v>0.14499999999999999</v>
      </c>
      <c r="I45" s="36">
        <v>0.14499999999999999</v>
      </c>
      <c r="J45" s="36">
        <v>0.14499999999999999</v>
      </c>
      <c r="K45" s="36">
        <v>0.14499999999999999</v>
      </c>
      <c r="L45" s="36">
        <v>0.14599999999999999</v>
      </c>
      <c r="M45" s="36">
        <v>0.14599999999999999</v>
      </c>
      <c r="N45" s="36">
        <v>0.14699999999999999</v>
      </c>
      <c r="O45" s="36">
        <v>0.14799999999999999</v>
      </c>
      <c r="P45" s="36">
        <v>0.14799999999999999</v>
      </c>
      <c r="Q45" s="36">
        <v>0.14899999999999999</v>
      </c>
      <c r="R45" s="36">
        <v>0.15</v>
      </c>
      <c r="S45" s="36">
        <v>0.151</v>
      </c>
      <c r="T45" s="36">
        <v>0.152</v>
      </c>
      <c r="U45" s="36">
        <v>0.153</v>
      </c>
      <c r="V45" s="36">
        <v>0.154</v>
      </c>
      <c r="W45" s="36">
        <v>0.155</v>
      </c>
      <c r="X45" s="36">
        <v>0.156</v>
      </c>
      <c r="Y45" s="36">
        <v>0.158</v>
      </c>
      <c r="Z45" s="36">
        <v>0.159</v>
      </c>
      <c r="AA45" s="36">
        <v>0.16</v>
      </c>
      <c r="AB45" s="36">
        <v>0.161</v>
      </c>
      <c r="AC45" s="36">
        <v>0.16200000000000001</v>
      </c>
      <c r="AD45" s="36">
        <v>0.16300000000000001</v>
      </c>
      <c r="AE45" s="36">
        <v>0.16300000000000001</v>
      </c>
      <c r="AF45" s="36">
        <v>0.16400000000000001</v>
      </c>
      <c r="AG45" s="36">
        <v>0.16400000000000001</v>
      </c>
      <c r="AH45" s="36">
        <v>0.16500000000000001</v>
      </c>
      <c r="AI45" s="36">
        <v>0.16600000000000001</v>
      </c>
      <c r="AJ45" s="36">
        <v>0.16600000000000001</v>
      </c>
      <c r="AK45" s="36">
        <v>0.16700000000000001</v>
      </c>
      <c r="AL45" s="36">
        <v>0.16700000000000001</v>
      </c>
      <c r="AM45" s="36">
        <v>0.16800000000000001</v>
      </c>
      <c r="AN45" s="36">
        <v>0.16800000000000001</v>
      </c>
      <c r="AO45" s="36">
        <v>0.16800000000000001</v>
      </c>
      <c r="AP45" s="37">
        <v>0.16900000000000001</v>
      </c>
      <c r="AQ45" s="37">
        <v>0.16900000000000001</v>
      </c>
      <c r="AR45" s="37">
        <v>0.16900000000000001</v>
      </c>
      <c r="AS45" s="37">
        <v>0.16900000000000001</v>
      </c>
      <c r="AT45" s="37">
        <v>0.16900000000000001</v>
      </c>
      <c r="AU45" s="37">
        <v>0.16900000000000001</v>
      </c>
      <c r="AV45" s="37">
        <v>0.17</v>
      </c>
      <c r="AW45" s="37">
        <v>0.17</v>
      </c>
      <c r="AX45" s="37">
        <v>0.17</v>
      </c>
      <c r="AY45" s="37">
        <v>0.17</v>
      </c>
      <c r="AZ45" s="37">
        <v>0.17</v>
      </c>
      <c r="BA45" s="37">
        <v>0.17</v>
      </c>
      <c r="BB45" s="37">
        <v>0.17</v>
      </c>
      <c r="BC45" s="37">
        <v>0.17</v>
      </c>
      <c r="BD45" s="37">
        <v>0.17</v>
      </c>
      <c r="BE45" s="37">
        <v>0.16900000000000001</v>
      </c>
      <c r="BF45" s="37">
        <v>0.16900000000000001</v>
      </c>
      <c r="BG45" s="37">
        <v>0.16900000000000001</v>
      </c>
      <c r="BH45" s="37">
        <v>0.16900000000000001</v>
      </c>
      <c r="BI45" s="37">
        <v>0.16900000000000001</v>
      </c>
      <c r="BJ45" s="37">
        <v>0.16900000000000001</v>
      </c>
      <c r="BK45" s="37">
        <v>0.16800000000000001</v>
      </c>
      <c r="BL45" s="37">
        <v>0.16800000000000001</v>
      </c>
      <c r="BM45" s="37">
        <v>0.16800000000000001</v>
      </c>
      <c r="BN45" s="37">
        <v>0.16800000000000001</v>
      </c>
    </row>
    <row r="46" spans="1:66" x14ac:dyDescent="0.2">
      <c r="A46" s="2" t="s">
        <v>287</v>
      </c>
      <c r="B46" s="2" t="s">
        <v>288</v>
      </c>
      <c r="C46" s="11" t="s">
        <v>79</v>
      </c>
      <c r="D46" s="12" t="s">
        <v>697</v>
      </c>
      <c r="E46" s="35">
        <v>1</v>
      </c>
      <c r="F46" s="36">
        <v>13.436999999999999</v>
      </c>
      <c r="G46" s="36">
        <v>13.662000000000001</v>
      </c>
      <c r="H46" s="36">
        <v>13.885</v>
      </c>
      <c r="I46" s="36">
        <v>14.102</v>
      </c>
      <c r="J46" s="36">
        <v>14.316000000000001</v>
      </c>
      <c r="K46" s="36">
        <v>14.526999999999999</v>
      </c>
      <c r="L46" s="36">
        <v>14.734</v>
      </c>
      <c r="M46" s="36">
        <v>14.932</v>
      </c>
      <c r="N46" s="36">
        <v>15.128</v>
      </c>
      <c r="O46" s="36">
        <v>15.319000000000001</v>
      </c>
      <c r="P46" s="36">
        <v>15.504</v>
      </c>
      <c r="Q46" s="36">
        <v>15.683999999999999</v>
      </c>
      <c r="R46" s="36">
        <v>15.858000000000001</v>
      </c>
      <c r="S46" s="36">
        <v>16.024999999999999</v>
      </c>
      <c r="T46" s="36">
        <v>16.187000000000001</v>
      </c>
      <c r="U46" s="36">
        <v>16.349</v>
      </c>
      <c r="V46" s="36">
        <v>16.509</v>
      </c>
      <c r="W46" s="36">
        <v>16.672000000000001</v>
      </c>
      <c r="X46" s="36">
        <v>16.838999999999999</v>
      </c>
      <c r="Y46" s="36">
        <v>17.010000000000002</v>
      </c>
      <c r="Z46" s="36">
        <v>17.181000000000001</v>
      </c>
      <c r="AA46" s="36">
        <v>17.352</v>
      </c>
      <c r="AB46" s="36">
        <v>17.518999999999998</v>
      </c>
      <c r="AC46" s="36">
        <v>17.687000000000001</v>
      </c>
      <c r="AD46" s="36">
        <v>17.864000000000001</v>
      </c>
      <c r="AE46" s="36">
        <v>18.047999999999998</v>
      </c>
      <c r="AF46" s="36">
        <v>18.266999999999999</v>
      </c>
      <c r="AG46" s="36">
        <v>18.559000000000001</v>
      </c>
      <c r="AH46" s="36">
        <v>18.893000000000001</v>
      </c>
      <c r="AI46" s="36">
        <v>19.198</v>
      </c>
      <c r="AJ46" s="36">
        <v>19.370999999999999</v>
      </c>
      <c r="AK46" s="36">
        <v>19.456</v>
      </c>
      <c r="AL46" s="36">
        <v>19.553000000000001</v>
      </c>
      <c r="AM46" s="36">
        <v>19.658999999999999</v>
      </c>
      <c r="AN46" s="36">
        <v>19.765000000000001</v>
      </c>
      <c r="AO46" s="36">
        <v>19.86</v>
      </c>
      <c r="AP46" s="37">
        <v>19.946000000000002</v>
      </c>
      <c r="AQ46" s="37">
        <v>20.026</v>
      </c>
      <c r="AR46" s="37">
        <v>20.100999999999999</v>
      </c>
      <c r="AS46" s="37">
        <v>20.170000000000002</v>
      </c>
      <c r="AT46" s="37">
        <v>20.233000000000001</v>
      </c>
      <c r="AU46" s="37">
        <v>20.291</v>
      </c>
      <c r="AV46" s="37">
        <v>20.341999999999999</v>
      </c>
      <c r="AW46" s="37">
        <v>20.385000000000002</v>
      </c>
      <c r="AX46" s="37">
        <v>20.422999999999998</v>
      </c>
      <c r="AY46" s="37">
        <v>20.456</v>
      </c>
      <c r="AZ46" s="37">
        <v>20.484999999999999</v>
      </c>
      <c r="BA46" s="37">
        <v>20.507999999999999</v>
      </c>
      <c r="BB46" s="37">
        <v>20.524000000000001</v>
      </c>
      <c r="BC46" s="37">
        <v>20.536000000000001</v>
      </c>
      <c r="BD46" s="37">
        <v>20.542000000000002</v>
      </c>
      <c r="BE46" s="37">
        <v>20.542999999999999</v>
      </c>
      <c r="BF46" s="37">
        <v>20.54</v>
      </c>
      <c r="BG46" s="37">
        <v>20.533000000000001</v>
      </c>
      <c r="BH46" s="37">
        <v>20.52</v>
      </c>
      <c r="BI46" s="37">
        <v>20.498999999999999</v>
      </c>
      <c r="BJ46" s="37">
        <v>20.472999999999999</v>
      </c>
      <c r="BK46" s="37">
        <v>20.443999999999999</v>
      </c>
      <c r="BL46" s="37">
        <v>20.408000000000001</v>
      </c>
      <c r="BM46" s="37">
        <v>20.366</v>
      </c>
      <c r="BN46" s="37">
        <v>20.32</v>
      </c>
    </row>
    <row r="47" spans="1:66" x14ac:dyDescent="0.2">
      <c r="A47" s="2" t="s">
        <v>289</v>
      </c>
      <c r="B47" s="2" t="s">
        <v>290</v>
      </c>
      <c r="C47" s="11" t="s">
        <v>82</v>
      </c>
      <c r="D47" s="12" t="s">
        <v>697</v>
      </c>
      <c r="E47" s="35">
        <v>0.99328358150248497</v>
      </c>
      <c r="F47" s="36">
        <v>1135.1849999999999</v>
      </c>
      <c r="G47" s="36">
        <v>1150.78</v>
      </c>
      <c r="H47" s="36">
        <v>1164.97</v>
      </c>
      <c r="I47" s="36">
        <v>1178.44</v>
      </c>
      <c r="J47" s="36">
        <v>1191.835</v>
      </c>
      <c r="K47" s="36">
        <v>1204.855</v>
      </c>
      <c r="L47" s="36">
        <v>1217.55</v>
      </c>
      <c r="M47" s="36">
        <v>1230.075</v>
      </c>
      <c r="N47" s="36">
        <v>1241.9349999999999</v>
      </c>
      <c r="O47" s="36">
        <v>1252.7349999999999</v>
      </c>
      <c r="P47" s="36">
        <v>1262.645</v>
      </c>
      <c r="Q47" s="36">
        <v>1271.8499999999999</v>
      </c>
      <c r="R47" s="36">
        <v>1280.4000000000001</v>
      </c>
      <c r="S47" s="36">
        <v>1288.4000000000001</v>
      </c>
      <c r="T47" s="36">
        <v>1296.075</v>
      </c>
      <c r="U47" s="36">
        <v>1303.72</v>
      </c>
      <c r="V47" s="36">
        <v>1311.02</v>
      </c>
      <c r="W47" s="36">
        <v>1317.885</v>
      </c>
      <c r="X47" s="36">
        <v>1324.655</v>
      </c>
      <c r="Y47" s="36">
        <v>1331.26</v>
      </c>
      <c r="Z47" s="36">
        <v>1337.7049999999999</v>
      </c>
      <c r="AA47" s="36">
        <v>1345.0350000000001</v>
      </c>
      <c r="AB47" s="36">
        <v>1354.19</v>
      </c>
      <c r="AC47" s="36">
        <v>1363.24</v>
      </c>
      <c r="AD47" s="36">
        <v>1371.86</v>
      </c>
      <c r="AE47" s="36">
        <v>1379.86</v>
      </c>
      <c r="AF47" s="36">
        <v>1387.79</v>
      </c>
      <c r="AG47" s="36">
        <v>1396.2149999999999</v>
      </c>
      <c r="AH47" s="36">
        <v>1402.76</v>
      </c>
      <c r="AI47" s="36">
        <v>1407.7449999999999</v>
      </c>
      <c r="AJ47" s="36">
        <v>1411.1</v>
      </c>
      <c r="AK47" s="36">
        <v>1412.36</v>
      </c>
      <c r="AL47" s="36">
        <v>1412.175</v>
      </c>
      <c r="AM47" s="36">
        <v>1410.71</v>
      </c>
      <c r="AN47" s="36">
        <v>1408.9749999999999</v>
      </c>
      <c r="AO47" s="36">
        <v>1406.585</v>
      </c>
      <c r="AP47" s="37">
        <v>1403.424</v>
      </c>
      <c r="AQ47" s="37">
        <v>1400.211</v>
      </c>
      <c r="AR47" s="37">
        <v>1396.693</v>
      </c>
      <c r="AS47" s="37">
        <v>1392.864</v>
      </c>
      <c r="AT47" s="37">
        <v>1388.7629999999999</v>
      </c>
      <c r="AU47" s="37">
        <v>1384.3879999999999</v>
      </c>
      <c r="AV47" s="37">
        <v>1379.731</v>
      </c>
      <c r="AW47" s="37">
        <v>1374.8</v>
      </c>
      <c r="AX47" s="37">
        <v>1369.616</v>
      </c>
      <c r="AY47" s="37">
        <v>1364.203</v>
      </c>
      <c r="AZ47" s="37">
        <v>1358.556</v>
      </c>
      <c r="BA47" s="37">
        <v>1352.683</v>
      </c>
      <c r="BB47" s="37">
        <v>1346.617</v>
      </c>
      <c r="BC47" s="37">
        <v>1340.3320000000001</v>
      </c>
      <c r="BD47" s="37">
        <v>1333.798</v>
      </c>
      <c r="BE47" s="37">
        <v>1327.0170000000001</v>
      </c>
      <c r="BF47" s="37">
        <v>1319.9839999999999</v>
      </c>
      <c r="BG47" s="37">
        <v>1312.7139999999999</v>
      </c>
      <c r="BH47" s="37">
        <v>1305.191</v>
      </c>
      <c r="BI47" s="37">
        <v>1297.3409999999999</v>
      </c>
      <c r="BJ47" s="37">
        <v>1289.1010000000001</v>
      </c>
      <c r="BK47" s="37">
        <v>1280.462</v>
      </c>
      <c r="BL47" s="37">
        <v>1271.396</v>
      </c>
      <c r="BM47" s="37">
        <v>1261.8489999999999</v>
      </c>
      <c r="BN47" s="37">
        <v>1251.8240000000001</v>
      </c>
    </row>
    <row r="48" spans="1:66" x14ac:dyDescent="0.2">
      <c r="A48" s="2" t="s">
        <v>291</v>
      </c>
      <c r="B48" s="2" t="s">
        <v>292</v>
      </c>
      <c r="C48" s="11" t="s">
        <v>82</v>
      </c>
      <c r="D48" s="12" t="s">
        <v>697</v>
      </c>
      <c r="E48" s="35">
        <v>0.99999999064119705</v>
      </c>
      <c r="F48" s="36">
        <v>32.44</v>
      </c>
      <c r="G48" s="36">
        <v>33.097999999999999</v>
      </c>
      <c r="H48" s="36">
        <v>33.761000000000003</v>
      </c>
      <c r="I48" s="36">
        <v>34.441000000000003</v>
      </c>
      <c r="J48" s="36">
        <v>35.127000000000002</v>
      </c>
      <c r="K48" s="36">
        <v>35.805</v>
      </c>
      <c r="L48" s="36">
        <v>36.463000000000001</v>
      </c>
      <c r="M48" s="36">
        <v>37.121000000000002</v>
      </c>
      <c r="N48" s="36">
        <v>37.792000000000002</v>
      </c>
      <c r="O48" s="36">
        <v>38.454999999999998</v>
      </c>
      <c r="P48" s="36">
        <v>39.090000000000003</v>
      </c>
      <c r="Q48" s="36">
        <v>39.709000000000003</v>
      </c>
      <c r="R48" s="36">
        <v>40.325000000000003</v>
      </c>
      <c r="S48" s="36">
        <v>40.936999999999998</v>
      </c>
      <c r="T48" s="36">
        <v>41.542999999999999</v>
      </c>
      <c r="U48" s="36">
        <v>42.128999999999998</v>
      </c>
      <c r="V48" s="36">
        <v>42.691000000000003</v>
      </c>
      <c r="W48" s="36">
        <v>43.234999999999999</v>
      </c>
      <c r="X48" s="36">
        <v>43.759</v>
      </c>
      <c r="Y48" s="36">
        <v>44.271999999999998</v>
      </c>
      <c r="Z48" s="36">
        <v>44.777000000000001</v>
      </c>
      <c r="AA48" s="36">
        <v>45.26</v>
      </c>
      <c r="AB48" s="36">
        <v>45.716000000000001</v>
      </c>
      <c r="AC48" s="36">
        <v>46.152000000000001</v>
      </c>
      <c r="AD48" s="36">
        <v>46.564999999999998</v>
      </c>
      <c r="AE48" s="36">
        <v>46.97</v>
      </c>
      <c r="AF48" s="36">
        <v>47.438000000000002</v>
      </c>
      <c r="AG48" s="36">
        <v>48.131</v>
      </c>
      <c r="AH48" s="36">
        <v>49.024000000000001</v>
      </c>
      <c r="AI48" s="36">
        <v>49.908000000000001</v>
      </c>
      <c r="AJ48" s="36">
        <v>50.63</v>
      </c>
      <c r="AK48" s="36">
        <v>51.188000000000002</v>
      </c>
      <c r="AL48" s="36">
        <v>51.738</v>
      </c>
      <c r="AM48" s="36">
        <v>52.320999999999998</v>
      </c>
      <c r="AN48" s="36">
        <v>52.886000000000003</v>
      </c>
      <c r="AO48" s="36">
        <v>53.426000000000002</v>
      </c>
      <c r="AP48" s="37">
        <v>53.936</v>
      </c>
      <c r="AQ48" s="37">
        <v>54.421999999999997</v>
      </c>
      <c r="AR48" s="37">
        <v>54.884999999999998</v>
      </c>
      <c r="AS48" s="37">
        <v>55.323</v>
      </c>
      <c r="AT48" s="37">
        <v>55.735999999999997</v>
      </c>
      <c r="AU48" s="37">
        <v>56.125999999999998</v>
      </c>
      <c r="AV48" s="37">
        <v>56.49</v>
      </c>
      <c r="AW48" s="37">
        <v>56.832000000000001</v>
      </c>
      <c r="AX48" s="37">
        <v>57.152000000000001</v>
      </c>
      <c r="AY48" s="37">
        <v>57.445999999999998</v>
      </c>
      <c r="AZ48" s="37">
        <v>57.716999999999999</v>
      </c>
      <c r="BA48" s="37">
        <v>57.965000000000003</v>
      </c>
      <c r="BB48" s="37">
        <v>58.19</v>
      </c>
      <c r="BC48" s="37">
        <v>58.393999999999998</v>
      </c>
      <c r="BD48" s="37">
        <v>58.576000000000001</v>
      </c>
      <c r="BE48" s="37">
        <v>58.737000000000002</v>
      </c>
      <c r="BF48" s="37">
        <v>58.878</v>
      </c>
      <c r="BG48" s="37">
        <v>59</v>
      </c>
      <c r="BH48" s="37">
        <v>59.104999999999997</v>
      </c>
      <c r="BI48" s="37">
        <v>59.191000000000003</v>
      </c>
      <c r="BJ48" s="37">
        <v>59.26</v>
      </c>
      <c r="BK48" s="37">
        <v>59.313000000000002</v>
      </c>
      <c r="BL48" s="37">
        <v>59.350999999999999</v>
      </c>
      <c r="BM48" s="37">
        <v>59.375</v>
      </c>
      <c r="BN48" s="37">
        <v>59.384999999999998</v>
      </c>
    </row>
    <row r="49" spans="1:66" x14ac:dyDescent="0.2">
      <c r="A49" s="2" t="s">
        <v>293</v>
      </c>
      <c r="B49" s="2" t="s">
        <v>294</v>
      </c>
      <c r="C49" s="11" t="s">
        <v>210</v>
      </c>
      <c r="D49" s="12" t="s">
        <v>697</v>
      </c>
      <c r="E49" s="35">
        <v>0.99999943365077204</v>
      </c>
      <c r="F49" s="36">
        <v>0.44500000000000001</v>
      </c>
      <c r="G49" s="36">
        <v>0.45600000000000002</v>
      </c>
      <c r="H49" s="36">
        <v>0.46500000000000002</v>
      </c>
      <c r="I49" s="36">
        <v>0.47399999999999998</v>
      </c>
      <c r="J49" s="36">
        <v>0.48199999999999998</v>
      </c>
      <c r="K49" s="36">
        <v>0.49099999999999999</v>
      </c>
      <c r="L49" s="36">
        <v>0.499</v>
      </c>
      <c r="M49" s="36">
        <v>0.50800000000000001</v>
      </c>
      <c r="N49" s="36">
        <v>0.51700000000000002</v>
      </c>
      <c r="O49" s="36">
        <v>0.52600000000000002</v>
      </c>
      <c r="P49" s="36">
        <v>0.53600000000000003</v>
      </c>
      <c r="Q49" s="36">
        <v>0.54700000000000004</v>
      </c>
      <c r="R49" s="36">
        <v>0.55900000000000005</v>
      </c>
      <c r="S49" s="36">
        <v>0.56999999999999995</v>
      </c>
      <c r="T49" s="36">
        <v>0.58099999999999996</v>
      </c>
      <c r="U49" s="36">
        <v>0.59299999999999997</v>
      </c>
      <c r="V49" s="36">
        <v>0.60499999999999998</v>
      </c>
      <c r="W49" s="36">
        <v>0.61699999999999999</v>
      </c>
      <c r="X49" s="36">
        <v>0.629</v>
      </c>
      <c r="Y49" s="36">
        <v>0.64200000000000002</v>
      </c>
      <c r="Z49" s="36">
        <v>0.65500000000000003</v>
      </c>
      <c r="AA49" s="36">
        <v>0.66800000000000004</v>
      </c>
      <c r="AB49" s="36">
        <v>0.68200000000000005</v>
      </c>
      <c r="AC49" s="36">
        <v>0.69599999999999995</v>
      </c>
      <c r="AD49" s="36">
        <v>0.71199999999999997</v>
      </c>
      <c r="AE49" s="36">
        <v>0.72699999999999998</v>
      </c>
      <c r="AF49" s="36">
        <v>0.74199999999999999</v>
      </c>
      <c r="AG49" s="36">
        <v>0.75700000000000001</v>
      </c>
      <c r="AH49" s="36">
        <v>0.77200000000000002</v>
      </c>
      <c r="AI49" s="36">
        <v>0.78700000000000003</v>
      </c>
      <c r="AJ49" s="36">
        <v>0.80200000000000005</v>
      </c>
      <c r="AK49" s="36">
        <v>0.81799999999999995</v>
      </c>
      <c r="AL49" s="36">
        <v>0.83399999999999996</v>
      </c>
      <c r="AM49" s="36">
        <v>0.85</v>
      </c>
      <c r="AN49" s="36">
        <v>0.86699999999999999</v>
      </c>
      <c r="AO49" s="36">
        <v>0.88300000000000001</v>
      </c>
      <c r="AP49" s="37">
        <v>0.89900000000000002</v>
      </c>
      <c r="AQ49" s="37">
        <v>0.91500000000000004</v>
      </c>
      <c r="AR49" s="37">
        <v>0.93100000000000005</v>
      </c>
      <c r="AS49" s="37">
        <v>0.94799999999999995</v>
      </c>
      <c r="AT49" s="37">
        <v>0.96399999999999997</v>
      </c>
      <c r="AU49" s="37">
        <v>0.98099999999999998</v>
      </c>
      <c r="AV49" s="37">
        <v>0.997</v>
      </c>
      <c r="AW49" s="37">
        <v>1.014</v>
      </c>
      <c r="AX49" s="37">
        <v>1.0309999999999999</v>
      </c>
      <c r="AY49" s="37">
        <v>1.048</v>
      </c>
      <c r="AZ49" s="37">
        <v>1.0649999999999999</v>
      </c>
      <c r="BA49" s="37">
        <v>1.0820000000000001</v>
      </c>
      <c r="BB49" s="37">
        <v>1.099</v>
      </c>
      <c r="BC49" s="37">
        <v>1.1160000000000001</v>
      </c>
      <c r="BD49" s="37">
        <v>1.1339999999999999</v>
      </c>
      <c r="BE49" s="37">
        <v>1.151</v>
      </c>
      <c r="BF49" s="37">
        <v>1.169</v>
      </c>
      <c r="BG49" s="37">
        <v>1.1859999999999999</v>
      </c>
      <c r="BH49" s="37">
        <v>1.204</v>
      </c>
      <c r="BI49" s="37">
        <v>1.2210000000000001</v>
      </c>
      <c r="BJ49" s="37">
        <v>1.238</v>
      </c>
      <c r="BK49" s="37">
        <v>1.256</v>
      </c>
      <c r="BL49" s="37">
        <v>1.2729999999999999</v>
      </c>
      <c r="BM49" s="37">
        <v>1.29</v>
      </c>
      <c r="BN49" s="37">
        <v>1.3080000000000001</v>
      </c>
    </row>
    <row r="50" spans="1:66" x14ac:dyDescent="0.2">
      <c r="A50" s="2" t="s">
        <v>295</v>
      </c>
      <c r="B50" s="2" t="s">
        <v>296</v>
      </c>
      <c r="C50" s="11" t="s">
        <v>75</v>
      </c>
      <c r="D50" s="12" t="s">
        <v>697</v>
      </c>
      <c r="E50" s="35">
        <v>1</v>
      </c>
      <c r="F50" s="36">
        <v>36.683999999999997</v>
      </c>
      <c r="G50" s="36">
        <v>37.926000000000002</v>
      </c>
      <c r="H50" s="36">
        <v>39.228999999999999</v>
      </c>
      <c r="I50" s="36">
        <v>40.655999999999999</v>
      </c>
      <c r="J50" s="36">
        <v>42.627000000000002</v>
      </c>
      <c r="K50" s="36">
        <v>44.433999999999997</v>
      </c>
      <c r="L50" s="36">
        <v>45.295999999999999</v>
      </c>
      <c r="M50" s="36">
        <v>46.03</v>
      </c>
      <c r="N50" s="36">
        <v>47.298000000000002</v>
      </c>
      <c r="O50" s="36">
        <v>48.912999999999997</v>
      </c>
      <c r="P50" s="36">
        <v>50.506999999999998</v>
      </c>
      <c r="Q50" s="36">
        <v>52.133000000000003</v>
      </c>
      <c r="R50" s="36">
        <v>53.750999999999998</v>
      </c>
      <c r="S50" s="36">
        <v>55.344000000000001</v>
      </c>
      <c r="T50" s="36">
        <v>56.997999999999998</v>
      </c>
      <c r="U50" s="36">
        <v>58.776000000000003</v>
      </c>
      <c r="V50" s="36">
        <v>60.616</v>
      </c>
      <c r="W50" s="36">
        <v>62.478000000000002</v>
      </c>
      <c r="X50" s="36">
        <v>64.391000000000005</v>
      </c>
      <c r="Y50" s="36">
        <v>66.412000000000006</v>
      </c>
      <c r="Z50" s="36">
        <v>68.563000000000002</v>
      </c>
      <c r="AA50" s="36">
        <v>70.849000000000004</v>
      </c>
      <c r="AB50" s="36">
        <v>73.254999999999995</v>
      </c>
      <c r="AC50" s="36">
        <v>75.789000000000001</v>
      </c>
      <c r="AD50" s="36">
        <v>78.403000000000006</v>
      </c>
      <c r="AE50" s="36">
        <v>81.036000000000001</v>
      </c>
      <c r="AF50" s="36">
        <v>83.956000000000003</v>
      </c>
      <c r="AG50" s="36">
        <v>87.082999999999998</v>
      </c>
      <c r="AH50" s="36">
        <v>90.048000000000002</v>
      </c>
      <c r="AI50" s="36">
        <v>92.947000000000003</v>
      </c>
      <c r="AJ50" s="36">
        <v>95.99</v>
      </c>
      <c r="AK50" s="36">
        <v>99.149000000000001</v>
      </c>
      <c r="AL50" s="36">
        <v>102.39700000000001</v>
      </c>
      <c r="AM50" s="36">
        <v>105.79</v>
      </c>
      <c r="AN50" s="36">
        <v>109.276</v>
      </c>
      <c r="AO50" s="36">
        <v>112.83199999999999</v>
      </c>
      <c r="AP50" s="37">
        <v>116.452</v>
      </c>
      <c r="AQ50" s="37">
        <v>120.13</v>
      </c>
      <c r="AR50" s="37">
        <v>123.872</v>
      </c>
      <c r="AS50" s="37">
        <v>127.67400000000001</v>
      </c>
      <c r="AT50" s="37">
        <v>131.53200000000001</v>
      </c>
      <c r="AU50" s="37">
        <v>135.447</v>
      </c>
      <c r="AV50" s="37">
        <v>139.40899999999999</v>
      </c>
      <c r="AW50" s="37">
        <v>143.41399999999999</v>
      </c>
      <c r="AX50" s="37">
        <v>147.46799999999999</v>
      </c>
      <c r="AY50" s="37">
        <v>151.56</v>
      </c>
      <c r="AZ50" s="37">
        <v>155.68899999999999</v>
      </c>
      <c r="BA50" s="37">
        <v>159.84899999999999</v>
      </c>
      <c r="BB50" s="37">
        <v>164.04599999999999</v>
      </c>
      <c r="BC50" s="37">
        <v>168.297</v>
      </c>
      <c r="BD50" s="37">
        <v>172.596</v>
      </c>
      <c r="BE50" s="37">
        <v>176.946</v>
      </c>
      <c r="BF50" s="37">
        <v>181.35</v>
      </c>
      <c r="BG50" s="37">
        <v>185.80500000000001</v>
      </c>
      <c r="BH50" s="37">
        <v>190.31200000000001</v>
      </c>
      <c r="BI50" s="37">
        <v>194.86500000000001</v>
      </c>
      <c r="BJ50" s="37">
        <v>199.464</v>
      </c>
      <c r="BK50" s="37">
        <v>204.10599999999999</v>
      </c>
      <c r="BL50" s="37">
        <v>208.78399999999999</v>
      </c>
      <c r="BM50" s="37">
        <v>213.49799999999999</v>
      </c>
      <c r="BN50" s="37">
        <v>218.24600000000001</v>
      </c>
    </row>
    <row r="51" spans="1:66" x14ac:dyDescent="0.2">
      <c r="A51" s="2" t="s">
        <v>297</v>
      </c>
      <c r="B51" s="2" t="s">
        <v>298</v>
      </c>
      <c r="C51" s="11" t="s">
        <v>210</v>
      </c>
      <c r="D51" s="12" t="s">
        <v>697</v>
      </c>
      <c r="E51" s="35">
        <v>1</v>
      </c>
      <c r="F51" s="36">
        <v>2.3809999999999998</v>
      </c>
      <c r="G51" s="36">
        <v>2.4489999999999998</v>
      </c>
      <c r="H51" s="36">
        <v>2.5190000000000001</v>
      </c>
      <c r="I51" s="36">
        <v>2.5950000000000002</v>
      </c>
      <c r="J51" s="36">
        <v>2.673</v>
      </c>
      <c r="K51" s="36">
        <v>2.7490000000000001</v>
      </c>
      <c r="L51" s="36">
        <v>2.827</v>
      </c>
      <c r="M51" s="36">
        <v>2.8879999999999999</v>
      </c>
      <c r="N51" s="36">
        <v>2.952</v>
      </c>
      <c r="O51" s="36">
        <v>3.0329999999999999</v>
      </c>
      <c r="P51" s="36">
        <v>3.1509999999999998</v>
      </c>
      <c r="Q51" s="36">
        <v>3.2730000000000001</v>
      </c>
      <c r="R51" s="36">
        <v>3.351</v>
      </c>
      <c r="S51" s="36">
        <v>3.4460000000000002</v>
      </c>
      <c r="T51" s="36">
        <v>3.5659999999999998</v>
      </c>
      <c r="U51" s="36">
        <v>3.6960000000000002</v>
      </c>
      <c r="V51" s="36">
        <v>3.8370000000000002</v>
      </c>
      <c r="W51" s="36">
        <v>3.98</v>
      </c>
      <c r="X51" s="36">
        <v>4.1139999999999999</v>
      </c>
      <c r="Y51" s="36">
        <v>4.2809999999999997</v>
      </c>
      <c r="Z51" s="36">
        <v>4.4619999999999997</v>
      </c>
      <c r="AA51" s="36">
        <v>4.6100000000000003</v>
      </c>
      <c r="AB51" s="36">
        <v>4.74</v>
      </c>
      <c r="AC51" s="36">
        <v>4.8570000000000002</v>
      </c>
      <c r="AD51" s="36">
        <v>4.976</v>
      </c>
      <c r="AE51" s="36">
        <v>5.0979999999999999</v>
      </c>
      <c r="AF51" s="36">
        <v>5.2229999999999999</v>
      </c>
      <c r="AG51" s="36">
        <v>5.351</v>
      </c>
      <c r="AH51" s="36">
        <v>5.4829999999999997</v>
      </c>
      <c r="AI51" s="36">
        <v>5.617</v>
      </c>
      <c r="AJ51" s="36">
        <v>5.7530000000000001</v>
      </c>
      <c r="AK51" s="36">
        <v>5.8920000000000003</v>
      </c>
      <c r="AL51" s="36">
        <v>6.0350000000000001</v>
      </c>
      <c r="AM51" s="36">
        <v>6.1829999999999998</v>
      </c>
      <c r="AN51" s="36">
        <v>6.3330000000000002</v>
      </c>
      <c r="AO51" s="36">
        <v>6.484</v>
      </c>
      <c r="AP51" s="37">
        <v>6.6379999999999999</v>
      </c>
      <c r="AQ51" s="37">
        <v>6.7939999999999996</v>
      </c>
      <c r="AR51" s="37">
        <v>6.9539999999999997</v>
      </c>
      <c r="AS51" s="37">
        <v>7.1159999999999997</v>
      </c>
      <c r="AT51" s="37">
        <v>7.282</v>
      </c>
      <c r="AU51" s="37">
        <v>7.452</v>
      </c>
      <c r="AV51" s="37">
        <v>7.6260000000000003</v>
      </c>
      <c r="AW51" s="37">
        <v>7.8029999999999999</v>
      </c>
      <c r="AX51" s="37">
        <v>7.9809999999999999</v>
      </c>
      <c r="AY51" s="37">
        <v>8.1609999999999996</v>
      </c>
      <c r="AZ51" s="37">
        <v>8.3420000000000005</v>
      </c>
      <c r="BA51" s="37">
        <v>8.5250000000000004</v>
      </c>
      <c r="BB51" s="37">
        <v>8.7100000000000009</v>
      </c>
      <c r="BC51" s="37">
        <v>8.8960000000000008</v>
      </c>
      <c r="BD51" s="37">
        <v>9.0839999999999996</v>
      </c>
      <c r="BE51" s="37">
        <v>9.2750000000000004</v>
      </c>
      <c r="BF51" s="37">
        <v>9.4670000000000005</v>
      </c>
      <c r="BG51" s="37">
        <v>9.6590000000000007</v>
      </c>
      <c r="BH51" s="37">
        <v>9.8510000000000009</v>
      </c>
      <c r="BI51" s="37">
        <v>10.042</v>
      </c>
      <c r="BJ51" s="37">
        <v>10.234</v>
      </c>
      <c r="BK51" s="37">
        <v>10.428000000000001</v>
      </c>
      <c r="BL51" s="37">
        <v>10.621</v>
      </c>
      <c r="BM51" s="37">
        <v>10.814</v>
      </c>
      <c r="BN51" s="37">
        <v>11.006</v>
      </c>
    </row>
    <row r="52" spans="1:66" x14ac:dyDescent="0.2">
      <c r="A52" s="2" t="s">
        <v>299</v>
      </c>
      <c r="B52" s="2" t="s">
        <v>300</v>
      </c>
      <c r="C52" s="11" t="s">
        <v>79</v>
      </c>
      <c r="D52" s="12" t="s">
        <v>697</v>
      </c>
      <c r="E52" s="35">
        <v>1</v>
      </c>
      <c r="F52" s="36">
        <v>3.1219999999999999</v>
      </c>
      <c r="G52" s="36">
        <v>3.202</v>
      </c>
      <c r="H52" s="36">
        <v>3.2839999999999998</v>
      </c>
      <c r="I52" s="36">
        <v>3.367</v>
      </c>
      <c r="J52" s="36">
        <v>3.4510000000000001</v>
      </c>
      <c r="K52" s="36">
        <v>3.5350000000000001</v>
      </c>
      <c r="L52" s="36">
        <v>3.6190000000000002</v>
      </c>
      <c r="M52" s="36">
        <v>3.702</v>
      </c>
      <c r="N52" s="36">
        <v>3.7829999999999999</v>
      </c>
      <c r="O52" s="36">
        <v>3.8620000000000001</v>
      </c>
      <c r="P52" s="36">
        <v>3.9380000000000002</v>
      </c>
      <c r="Q52" s="36">
        <v>4.0090000000000003</v>
      </c>
      <c r="R52" s="36">
        <v>4.0759999999999996</v>
      </c>
      <c r="S52" s="36">
        <v>4.1390000000000002</v>
      </c>
      <c r="T52" s="36">
        <v>4.2</v>
      </c>
      <c r="U52" s="36">
        <v>4.2610000000000001</v>
      </c>
      <c r="V52" s="36">
        <v>4.3209999999999997</v>
      </c>
      <c r="W52" s="36">
        <v>4.38</v>
      </c>
      <c r="X52" s="36">
        <v>4.4400000000000004</v>
      </c>
      <c r="Y52" s="36">
        <v>4.5</v>
      </c>
      <c r="Z52" s="36">
        <v>4.556</v>
      </c>
      <c r="AA52" s="36">
        <v>4.6100000000000003</v>
      </c>
      <c r="AB52" s="36">
        <v>4.6639999999999997</v>
      </c>
      <c r="AC52" s="36">
        <v>4.7160000000000002</v>
      </c>
      <c r="AD52" s="36">
        <v>4.7670000000000003</v>
      </c>
      <c r="AE52" s="36">
        <v>4.8179999999999996</v>
      </c>
      <c r="AF52" s="36">
        <v>4.867</v>
      </c>
      <c r="AG52" s="36">
        <v>4.9130000000000003</v>
      </c>
      <c r="AH52" s="36">
        <v>4.9580000000000002</v>
      </c>
      <c r="AI52" s="36">
        <v>5</v>
      </c>
      <c r="AJ52" s="36">
        <v>5.0339999999999998</v>
      </c>
      <c r="AK52" s="36">
        <v>5.0599999999999996</v>
      </c>
      <c r="AL52" s="36">
        <v>5.0819999999999999</v>
      </c>
      <c r="AM52" s="36">
        <v>5.1059999999999999</v>
      </c>
      <c r="AN52" s="36">
        <v>5.13</v>
      </c>
      <c r="AO52" s="36">
        <v>5.1529999999999996</v>
      </c>
      <c r="AP52" s="37">
        <v>5.1749999999999998</v>
      </c>
      <c r="AQ52" s="37">
        <v>5.1959999999999997</v>
      </c>
      <c r="AR52" s="37">
        <v>5.2149999999999999</v>
      </c>
      <c r="AS52" s="37">
        <v>5.234</v>
      </c>
      <c r="AT52" s="37">
        <v>5.2510000000000003</v>
      </c>
      <c r="AU52" s="37">
        <v>5.2679999999999998</v>
      </c>
      <c r="AV52" s="37">
        <v>5.2839999999999998</v>
      </c>
      <c r="AW52" s="37">
        <v>5.2990000000000004</v>
      </c>
      <c r="AX52" s="37">
        <v>5.3120000000000003</v>
      </c>
      <c r="AY52" s="37">
        <v>5.3250000000000002</v>
      </c>
      <c r="AZ52" s="37">
        <v>5.3360000000000003</v>
      </c>
      <c r="BA52" s="37">
        <v>5.3460000000000001</v>
      </c>
      <c r="BB52" s="37">
        <v>5.3559999999999999</v>
      </c>
      <c r="BC52" s="37">
        <v>5.3630000000000004</v>
      </c>
      <c r="BD52" s="37">
        <v>5.37</v>
      </c>
      <c r="BE52" s="37">
        <v>5.375</v>
      </c>
      <c r="BF52" s="37">
        <v>5.3789999999999996</v>
      </c>
      <c r="BG52" s="37">
        <v>5.3810000000000002</v>
      </c>
      <c r="BH52" s="37">
        <v>5.3819999999999997</v>
      </c>
      <c r="BI52" s="37">
        <v>5.3810000000000002</v>
      </c>
      <c r="BJ52" s="37">
        <v>5.3789999999999996</v>
      </c>
      <c r="BK52" s="37">
        <v>5.375</v>
      </c>
      <c r="BL52" s="37">
        <v>5.37</v>
      </c>
      <c r="BM52" s="37">
        <v>5.3630000000000004</v>
      </c>
      <c r="BN52" s="37">
        <v>5.3540000000000001</v>
      </c>
    </row>
    <row r="53" spans="1:66" x14ac:dyDescent="0.2">
      <c r="A53" s="2" t="s">
        <v>301</v>
      </c>
      <c r="B53" s="2" t="s">
        <v>302</v>
      </c>
      <c r="C53" s="11" t="s">
        <v>79</v>
      </c>
      <c r="D53" s="12" t="s">
        <v>697</v>
      </c>
      <c r="E53" s="35">
        <v>1.0072865993097999</v>
      </c>
      <c r="F53" s="36">
        <v>4.7770000000000001</v>
      </c>
      <c r="G53" s="36">
        <v>4.6890000000000001</v>
      </c>
      <c r="H53" s="36">
        <v>4.5759999999999996</v>
      </c>
      <c r="I53" s="36">
        <v>4.5999999999999996</v>
      </c>
      <c r="J53" s="36">
        <v>4.6520000000000001</v>
      </c>
      <c r="K53" s="36">
        <v>4.62</v>
      </c>
      <c r="L53" s="36">
        <v>4.5570000000000004</v>
      </c>
      <c r="M53" s="36">
        <v>4.5350000000000001</v>
      </c>
      <c r="N53" s="36">
        <v>4.532</v>
      </c>
      <c r="O53" s="36">
        <v>4.5129999999999999</v>
      </c>
      <c r="P53" s="36">
        <v>4.468</v>
      </c>
      <c r="Q53" s="36">
        <v>4.3</v>
      </c>
      <c r="R53" s="36">
        <v>4.3019999999999996</v>
      </c>
      <c r="S53" s="36">
        <v>4.3029999999999999</v>
      </c>
      <c r="T53" s="36">
        <v>4.3049999999999997</v>
      </c>
      <c r="U53" s="36">
        <v>4.3099999999999996</v>
      </c>
      <c r="V53" s="36">
        <v>4.3109999999999999</v>
      </c>
      <c r="W53" s="36">
        <v>4.3099999999999996</v>
      </c>
      <c r="X53" s="36">
        <v>4.3099999999999996</v>
      </c>
      <c r="Y53" s="36">
        <v>4.3049999999999997</v>
      </c>
      <c r="Z53" s="36">
        <v>4.2949999999999999</v>
      </c>
      <c r="AA53" s="36">
        <v>4.2809999999999997</v>
      </c>
      <c r="AB53" s="36">
        <v>4.26</v>
      </c>
      <c r="AC53" s="36">
        <v>4.234</v>
      </c>
      <c r="AD53" s="36">
        <v>4.202</v>
      </c>
      <c r="AE53" s="36">
        <v>4.1520000000000001</v>
      </c>
      <c r="AF53" s="36">
        <v>4.1070000000000002</v>
      </c>
      <c r="AG53" s="36">
        <v>4.0410000000000004</v>
      </c>
      <c r="AH53" s="36">
        <v>3.9889999999999999</v>
      </c>
      <c r="AI53" s="36">
        <v>3.9489999999999998</v>
      </c>
      <c r="AJ53" s="36">
        <v>3.9140000000000001</v>
      </c>
      <c r="AK53" s="36">
        <v>3.879</v>
      </c>
      <c r="AL53" s="36">
        <v>3.8559999999999999</v>
      </c>
      <c r="AM53" s="36">
        <v>3.86</v>
      </c>
      <c r="AN53" s="36">
        <v>3.8660000000000001</v>
      </c>
      <c r="AO53" s="36">
        <v>3.8759999999999999</v>
      </c>
      <c r="AP53" s="37">
        <v>3.85</v>
      </c>
      <c r="AQ53" s="37">
        <v>3.8250000000000002</v>
      </c>
      <c r="AR53" s="37">
        <v>3.8010000000000002</v>
      </c>
      <c r="AS53" s="37">
        <v>3.7770000000000001</v>
      </c>
      <c r="AT53" s="37">
        <v>3.7530000000000001</v>
      </c>
      <c r="AU53" s="37">
        <v>3.7290000000000001</v>
      </c>
      <c r="AV53" s="37">
        <v>3.7040000000000002</v>
      </c>
      <c r="AW53" s="37">
        <v>3.68</v>
      </c>
      <c r="AX53" s="37">
        <v>3.657</v>
      </c>
      <c r="AY53" s="37">
        <v>3.633</v>
      </c>
      <c r="AZ53" s="37">
        <v>3.61</v>
      </c>
      <c r="BA53" s="37">
        <v>3.5870000000000002</v>
      </c>
      <c r="BB53" s="37">
        <v>3.5619999999999998</v>
      </c>
      <c r="BC53" s="37">
        <v>3.5379999999999998</v>
      </c>
      <c r="BD53" s="37">
        <v>3.5139999999999998</v>
      </c>
      <c r="BE53" s="37">
        <v>3.4889999999999999</v>
      </c>
      <c r="BF53" s="37">
        <v>3.464</v>
      </c>
      <c r="BG53" s="37">
        <v>3.4390000000000001</v>
      </c>
      <c r="BH53" s="37">
        <v>3.4129999999999998</v>
      </c>
      <c r="BI53" s="37">
        <v>3.387</v>
      </c>
      <c r="BJ53" s="37">
        <v>3.3620000000000001</v>
      </c>
      <c r="BK53" s="37">
        <v>3.3359999999999999</v>
      </c>
      <c r="BL53" s="37">
        <v>3.31</v>
      </c>
      <c r="BM53" s="37">
        <v>3.2839999999999998</v>
      </c>
      <c r="BN53" s="37">
        <v>3.258</v>
      </c>
    </row>
    <row r="54" spans="1:66" x14ac:dyDescent="0.2">
      <c r="A54" s="2" t="s">
        <v>304</v>
      </c>
      <c r="B54" s="2" t="s">
        <v>305</v>
      </c>
      <c r="C54" s="11" t="s">
        <v>82</v>
      </c>
      <c r="D54" s="12" t="s">
        <v>697</v>
      </c>
      <c r="E54" s="35">
        <v>0.99999995428447497</v>
      </c>
      <c r="F54" s="36">
        <v>10.632</v>
      </c>
      <c r="G54" s="36">
        <v>10.718</v>
      </c>
      <c r="H54" s="36">
        <v>10.786</v>
      </c>
      <c r="I54" s="36">
        <v>10.840999999999999</v>
      </c>
      <c r="J54" s="36">
        <v>10.885999999999999</v>
      </c>
      <c r="K54" s="36">
        <v>10.925000000000001</v>
      </c>
      <c r="L54" s="36">
        <v>10.962</v>
      </c>
      <c r="M54" s="36">
        <v>10.997999999999999</v>
      </c>
      <c r="N54" s="36">
        <v>11.035</v>
      </c>
      <c r="O54" s="36">
        <v>11.071999999999999</v>
      </c>
      <c r="P54" s="36">
        <v>11.109</v>
      </c>
      <c r="Q54" s="36">
        <v>11.144</v>
      </c>
      <c r="R54" s="36">
        <v>11.177</v>
      </c>
      <c r="S54" s="36">
        <v>11.209</v>
      </c>
      <c r="T54" s="36">
        <v>11.239000000000001</v>
      </c>
      <c r="U54" s="36">
        <v>11.263</v>
      </c>
      <c r="V54" s="36">
        <v>11.279</v>
      </c>
      <c r="W54" s="36">
        <v>11.287000000000001</v>
      </c>
      <c r="X54" s="36">
        <v>11.292</v>
      </c>
      <c r="Y54" s="36">
        <v>11.295</v>
      </c>
      <c r="Z54" s="36">
        <v>11.297000000000001</v>
      </c>
      <c r="AA54" s="36">
        <v>11.302</v>
      </c>
      <c r="AB54" s="36">
        <v>11.303000000000001</v>
      </c>
      <c r="AC54" s="36">
        <v>11.298</v>
      </c>
      <c r="AD54" s="36">
        <v>11.286</v>
      </c>
      <c r="AE54" s="36">
        <v>11.275</v>
      </c>
      <c r="AF54" s="36">
        <v>11.266</v>
      </c>
      <c r="AG54" s="36">
        <v>11.247999999999999</v>
      </c>
      <c r="AH54" s="36">
        <v>11.227</v>
      </c>
      <c r="AI54" s="36">
        <v>11.202999999999999</v>
      </c>
      <c r="AJ54" s="36">
        <v>11.176</v>
      </c>
      <c r="AK54" s="36">
        <v>11.122</v>
      </c>
      <c r="AL54" s="36">
        <v>11.06</v>
      </c>
      <c r="AM54" s="36">
        <v>11.02</v>
      </c>
      <c r="AN54" s="36">
        <v>10.98</v>
      </c>
      <c r="AO54" s="36">
        <v>10.936999999999999</v>
      </c>
      <c r="AP54" s="37">
        <v>10.893000000000001</v>
      </c>
      <c r="AQ54" s="37">
        <v>10.847</v>
      </c>
      <c r="AR54" s="37">
        <v>10.8</v>
      </c>
      <c r="AS54" s="37">
        <v>10.750999999999999</v>
      </c>
      <c r="AT54" s="37">
        <v>10.701000000000001</v>
      </c>
      <c r="AU54" s="37">
        <v>10.65</v>
      </c>
      <c r="AV54" s="37">
        <v>10.597</v>
      </c>
      <c r="AW54" s="37">
        <v>10.544</v>
      </c>
      <c r="AX54" s="37">
        <v>10.488</v>
      </c>
      <c r="AY54" s="37">
        <v>10.432</v>
      </c>
      <c r="AZ54" s="37">
        <v>10.374000000000001</v>
      </c>
      <c r="BA54" s="37">
        <v>10.314</v>
      </c>
      <c r="BB54" s="37">
        <v>10.253</v>
      </c>
      <c r="BC54" s="37">
        <v>10.19</v>
      </c>
      <c r="BD54" s="37">
        <v>10.125999999999999</v>
      </c>
      <c r="BE54" s="37">
        <v>10.058999999999999</v>
      </c>
      <c r="BF54" s="37">
        <v>9.9909999999999997</v>
      </c>
      <c r="BG54" s="37">
        <v>9.9209999999999994</v>
      </c>
      <c r="BH54" s="37">
        <v>9.8490000000000002</v>
      </c>
      <c r="BI54" s="37">
        <v>9.7750000000000004</v>
      </c>
      <c r="BJ54" s="37">
        <v>9.6999999999999993</v>
      </c>
      <c r="BK54" s="37">
        <v>9.6229999999999993</v>
      </c>
      <c r="BL54" s="37">
        <v>9.5440000000000005</v>
      </c>
      <c r="BM54" s="37">
        <v>9.4640000000000004</v>
      </c>
      <c r="BN54" s="37">
        <v>9.3819999999999997</v>
      </c>
    </row>
    <row r="55" spans="1:66" x14ac:dyDescent="0.2">
      <c r="A55" s="2" t="s">
        <v>307</v>
      </c>
      <c r="B55" s="2" t="s">
        <v>308</v>
      </c>
      <c r="C55" s="11" t="s">
        <v>79</v>
      </c>
      <c r="D55" s="12" t="s">
        <v>697</v>
      </c>
      <c r="E55" s="38">
        <v>0.84244717958671</v>
      </c>
      <c r="F55" s="36">
        <v>0.14499999999999999</v>
      </c>
      <c r="G55" s="36">
        <v>0.14399999999999999</v>
      </c>
      <c r="H55" s="36">
        <v>0.14399999999999999</v>
      </c>
      <c r="I55" s="36">
        <v>0.14399999999999999</v>
      </c>
      <c r="J55" s="36">
        <v>0.14499999999999999</v>
      </c>
      <c r="K55" s="36">
        <v>0.14499999999999999</v>
      </c>
      <c r="L55" s="36">
        <v>0.14599999999999999</v>
      </c>
      <c r="M55" s="36">
        <v>0.14699999999999999</v>
      </c>
      <c r="N55" s="36">
        <v>0.14399999999999999</v>
      </c>
      <c r="O55" s="36">
        <v>0.13900000000000001</v>
      </c>
      <c r="P55" s="36">
        <v>0.13400000000000001</v>
      </c>
      <c r="Q55" s="36">
        <v>0.129</v>
      </c>
      <c r="R55" s="36">
        <v>0.129</v>
      </c>
      <c r="S55" s="36">
        <v>0.13200000000000001</v>
      </c>
      <c r="T55" s="36">
        <v>0.13400000000000001</v>
      </c>
      <c r="U55" s="36">
        <v>0.13800000000000001</v>
      </c>
      <c r="V55" s="36">
        <v>0.14099999999999999</v>
      </c>
      <c r="W55" s="36">
        <v>0.14399999999999999</v>
      </c>
      <c r="X55" s="36">
        <v>0.14599999999999999</v>
      </c>
      <c r="Y55" s="36">
        <v>0.14699999999999999</v>
      </c>
      <c r="Z55" s="36">
        <v>0.14899999999999999</v>
      </c>
      <c r="AA55" s="36">
        <v>0.151</v>
      </c>
      <c r="AB55" s="36">
        <v>0.152</v>
      </c>
      <c r="AC55" s="36">
        <v>0.154</v>
      </c>
      <c r="AD55" s="36">
        <v>0.156</v>
      </c>
      <c r="AE55" s="36">
        <v>0.158</v>
      </c>
      <c r="AF55" s="36">
        <v>0.16</v>
      </c>
      <c r="AG55" s="36">
        <v>0.16</v>
      </c>
      <c r="AH55" s="36">
        <v>0.159</v>
      </c>
      <c r="AI55" s="36">
        <v>0.157</v>
      </c>
      <c r="AJ55" s="36">
        <v>0.155</v>
      </c>
      <c r="AK55" s="36">
        <v>0.154</v>
      </c>
      <c r="AL55" s="36">
        <v>0.153</v>
      </c>
      <c r="AM55" s="36">
        <v>0.155</v>
      </c>
      <c r="AN55" s="36">
        <v>0.156</v>
      </c>
      <c r="AO55" s="36">
        <v>0.156</v>
      </c>
      <c r="AP55" s="37">
        <v>0.156</v>
      </c>
      <c r="AQ55" s="37">
        <v>0.156</v>
      </c>
      <c r="AR55" s="37">
        <v>0.156</v>
      </c>
      <c r="AS55" s="37">
        <v>0.156</v>
      </c>
      <c r="AT55" s="37">
        <v>0.156</v>
      </c>
      <c r="AU55" s="37">
        <v>0.155</v>
      </c>
      <c r="AV55" s="37">
        <v>0.155</v>
      </c>
      <c r="AW55" s="37">
        <v>0.155</v>
      </c>
      <c r="AX55" s="37">
        <v>0.155</v>
      </c>
      <c r="AY55" s="37">
        <v>0.154</v>
      </c>
      <c r="AZ55" s="37">
        <v>0.154</v>
      </c>
      <c r="BA55" s="37">
        <v>0.153</v>
      </c>
      <c r="BB55" s="37">
        <v>0.153</v>
      </c>
      <c r="BC55" s="37">
        <v>0.152</v>
      </c>
      <c r="BD55" s="37">
        <v>0.152</v>
      </c>
      <c r="BE55" s="37">
        <v>0.151</v>
      </c>
      <c r="BF55" s="37">
        <v>0.151</v>
      </c>
      <c r="BG55" s="37">
        <v>0.15</v>
      </c>
      <c r="BH55" s="37">
        <v>0.15</v>
      </c>
      <c r="BI55" s="37">
        <v>0.14899999999999999</v>
      </c>
      <c r="BJ55" s="37">
        <v>0.14899999999999999</v>
      </c>
      <c r="BK55" s="37">
        <v>0.14799999999999999</v>
      </c>
      <c r="BL55" s="37">
        <v>0.14699999999999999</v>
      </c>
      <c r="BM55" s="37">
        <v>0.14699999999999999</v>
      </c>
      <c r="BN55" s="37">
        <v>0.14599999999999999</v>
      </c>
    </row>
    <row r="56" spans="1:66" x14ac:dyDescent="0.2">
      <c r="A56" s="2" t="s">
        <v>309</v>
      </c>
      <c r="B56" s="2" t="s">
        <v>310</v>
      </c>
      <c r="C56" s="11" t="s">
        <v>79</v>
      </c>
      <c r="D56" s="12" t="s">
        <v>697</v>
      </c>
      <c r="E56" s="35">
        <v>1</v>
      </c>
      <c r="F56" s="36">
        <v>0.78800000000000003</v>
      </c>
      <c r="G56" s="36">
        <v>0.79900000000000004</v>
      </c>
      <c r="H56" s="36">
        <v>0.81</v>
      </c>
      <c r="I56" s="36">
        <v>0.82599999999999996</v>
      </c>
      <c r="J56" s="36">
        <v>0.84499999999999997</v>
      </c>
      <c r="K56" s="36">
        <v>0.86299999999999999</v>
      </c>
      <c r="L56" s="36">
        <v>0.88</v>
      </c>
      <c r="M56" s="36">
        <v>0.89800000000000002</v>
      </c>
      <c r="N56" s="36">
        <v>0.91500000000000004</v>
      </c>
      <c r="O56" s="36">
        <v>0.93100000000000005</v>
      </c>
      <c r="P56" s="36">
        <v>0.94799999999999995</v>
      </c>
      <c r="Q56" s="36">
        <v>0.96399999999999997</v>
      </c>
      <c r="R56" s="36">
        <v>0.98099999999999998</v>
      </c>
      <c r="S56" s="36">
        <v>1</v>
      </c>
      <c r="T56" s="36">
        <v>1.018</v>
      </c>
      <c r="U56" s="36">
        <v>1.036</v>
      </c>
      <c r="V56" s="36">
        <v>1.054</v>
      </c>
      <c r="W56" s="36">
        <v>1.073</v>
      </c>
      <c r="X56" s="36">
        <v>1.091</v>
      </c>
      <c r="Y56" s="36">
        <v>1.109</v>
      </c>
      <c r="Z56" s="36">
        <v>1.1279999999999999</v>
      </c>
      <c r="AA56" s="36">
        <v>1.1459999999999999</v>
      </c>
      <c r="AB56" s="36">
        <v>1.165</v>
      </c>
      <c r="AC56" s="36">
        <v>1.1839999999999999</v>
      </c>
      <c r="AD56" s="36">
        <v>1.202</v>
      </c>
      <c r="AE56" s="36">
        <v>1.22</v>
      </c>
      <c r="AF56" s="36">
        <v>1.2370000000000001</v>
      </c>
      <c r="AG56" s="36">
        <v>1.254</v>
      </c>
      <c r="AH56" s="36">
        <v>1.2709999999999999</v>
      </c>
      <c r="AI56" s="36">
        <v>1.2869999999999999</v>
      </c>
      <c r="AJ56" s="36">
        <v>1.302</v>
      </c>
      <c r="AK56" s="36">
        <v>1.3169999999999999</v>
      </c>
      <c r="AL56" s="36">
        <v>1.331</v>
      </c>
      <c r="AM56" s="36">
        <v>1.345</v>
      </c>
      <c r="AN56" s="36">
        <v>1.3580000000000001</v>
      </c>
      <c r="AO56" s="36">
        <v>1.371</v>
      </c>
      <c r="AP56" s="37">
        <v>1.3819999999999999</v>
      </c>
      <c r="AQ56" s="37">
        <v>1.393</v>
      </c>
      <c r="AR56" s="37">
        <v>1.4039999999999999</v>
      </c>
      <c r="AS56" s="37">
        <v>1.413</v>
      </c>
      <c r="AT56" s="37">
        <v>1.4219999999999999</v>
      </c>
      <c r="AU56" s="37">
        <v>1.431</v>
      </c>
      <c r="AV56" s="37">
        <v>1.4390000000000001</v>
      </c>
      <c r="AW56" s="37">
        <v>1.446</v>
      </c>
      <c r="AX56" s="37">
        <v>1.4530000000000001</v>
      </c>
      <c r="AY56" s="37">
        <v>1.4590000000000001</v>
      </c>
      <c r="AZ56" s="37">
        <v>1.4650000000000001</v>
      </c>
      <c r="BA56" s="37">
        <v>1.4710000000000001</v>
      </c>
      <c r="BB56" s="37">
        <v>1.476</v>
      </c>
      <c r="BC56" s="37">
        <v>1.4810000000000001</v>
      </c>
      <c r="BD56" s="37">
        <v>1.4850000000000001</v>
      </c>
      <c r="BE56" s="37">
        <v>1.4890000000000001</v>
      </c>
      <c r="BF56" s="37">
        <v>1.492</v>
      </c>
      <c r="BG56" s="37">
        <v>1.4950000000000001</v>
      </c>
      <c r="BH56" s="37">
        <v>1.498</v>
      </c>
      <c r="BI56" s="37">
        <v>1.5</v>
      </c>
      <c r="BJ56" s="37">
        <v>1.502</v>
      </c>
      <c r="BK56" s="37">
        <v>1.504</v>
      </c>
      <c r="BL56" s="37">
        <v>1.506</v>
      </c>
      <c r="BM56" s="37">
        <v>1.5069999999999999</v>
      </c>
      <c r="BN56" s="37">
        <v>1.508</v>
      </c>
    </row>
    <row r="57" spans="1:66" x14ac:dyDescent="0.2">
      <c r="A57" s="2" t="s">
        <v>311</v>
      </c>
      <c r="B57" s="2" t="s">
        <v>312</v>
      </c>
      <c r="C57" s="11" t="s">
        <v>79</v>
      </c>
      <c r="D57" s="12" t="s">
        <v>697</v>
      </c>
      <c r="E57" s="35">
        <v>1.02616950065083</v>
      </c>
      <c r="F57" s="36">
        <v>10.333</v>
      </c>
      <c r="G57" s="36">
        <v>10.308999999999999</v>
      </c>
      <c r="H57" s="36">
        <v>10.319000000000001</v>
      </c>
      <c r="I57" s="36">
        <v>10.33</v>
      </c>
      <c r="J57" s="36">
        <v>10.334</v>
      </c>
      <c r="K57" s="36">
        <v>10.327</v>
      </c>
      <c r="L57" s="36">
        <v>10.315</v>
      </c>
      <c r="M57" s="36">
        <v>10.304</v>
      </c>
      <c r="N57" s="36">
        <v>10.294</v>
      </c>
      <c r="O57" s="36">
        <v>10.284000000000001</v>
      </c>
      <c r="P57" s="36">
        <v>10.255000000000001</v>
      </c>
      <c r="Q57" s="36">
        <v>10.217000000000001</v>
      </c>
      <c r="R57" s="36">
        <v>10.196999999999999</v>
      </c>
      <c r="S57" s="36">
        <v>10.194000000000001</v>
      </c>
      <c r="T57" s="36">
        <v>10.196999999999999</v>
      </c>
      <c r="U57" s="36">
        <v>10.211</v>
      </c>
      <c r="V57" s="36">
        <v>10.239000000000001</v>
      </c>
      <c r="W57" s="36">
        <v>10.298999999999999</v>
      </c>
      <c r="X57" s="36">
        <v>10.385</v>
      </c>
      <c r="Y57" s="36">
        <v>10.444000000000001</v>
      </c>
      <c r="Z57" s="36">
        <v>10.474</v>
      </c>
      <c r="AA57" s="36">
        <v>10.496</v>
      </c>
      <c r="AB57" s="36">
        <v>10.510999999999999</v>
      </c>
      <c r="AC57" s="36">
        <v>10.513999999999999</v>
      </c>
      <c r="AD57" s="36">
        <v>10.525</v>
      </c>
      <c r="AE57" s="36">
        <v>10.545999999999999</v>
      </c>
      <c r="AF57" s="36">
        <v>10.566000000000001</v>
      </c>
      <c r="AG57" s="36">
        <v>10.593999999999999</v>
      </c>
      <c r="AH57" s="36">
        <v>10.63</v>
      </c>
      <c r="AI57" s="36">
        <v>10.672000000000001</v>
      </c>
      <c r="AJ57" s="36">
        <v>10.698</v>
      </c>
      <c r="AK57" s="36">
        <v>10.506</v>
      </c>
      <c r="AL57" s="36">
        <v>10.672000000000001</v>
      </c>
      <c r="AM57" s="36">
        <v>10.864000000000001</v>
      </c>
      <c r="AN57" s="36">
        <v>10.904999999999999</v>
      </c>
      <c r="AO57" s="36">
        <v>10.887</v>
      </c>
      <c r="AP57" s="37">
        <v>10.803000000000001</v>
      </c>
      <c r="AQ57" s="37">
        <v>10.781000000000001</v>
      </c>
      <c r="AR57" s="37">
        <v>10.755000000000001</v>
      </c>
      <c r="AS57" s="37">
        <v>10.727</v>
      </c>
      <c r="AT57" s="37">
        <v>10.698</v>
      </c>
      <c r="AU57" s="37">
        <v>10.667</v>
      </c>
      <c r="AV57" s="37">
        <v>10.635</v>
      </c>
      <c r="AW57" s="37">
        <v>10.602</v>
      </c>
      <c r="AX57" s="37">
        <v>10.568</v>
      </c>
      <c r="AY57" s="37">
        <v>10.535</v>
      </c>
      <c r="AZ57" s="37">
        <v>10.500999999999999</v>
      </c>
      <c r="BA57" s="37">
        <v>10.468</v>
      </c>
      <c r="BB57" s="37">
        <v>10.435</v>
      </c>
      <c r="BC57" s="37">
        <v>10.403</v>
      </c>
      <c r="BD57" s="37">
        <v>10.372</v>
      </c>
      <c r="BE57" s="37">
        <v>10.340999999999999</v>
      </c>
      <c r="BF57" s="37">
        <v>10.311</v>
      </c>
      <c r="BG57" s="37">
        <v>10.282</v>
      </c>
      <c r="BH57" s="37">
        <v>10.254</v>
      </c>
      <c r="BI57" s="37">
        <v>10.226000000000001</v>
      </c>
      <c r="BJ57" s="37">
        <v>10.198</v>
      </c>
      <c r="BK57" s="37">
        <v>10.169</v>
      </c>
      <c r="BL57" s="37">
        <v>10.141</v>
      </c>
      <c r="BM57" s="37">
        <v>10.112</v>
      </c>
      <c r="BN57" s="37">
        <v>10.083</v>
      </c>
    </row>
    <row r="58" spans="1:66" x14ac:dyDescent="0.2">
      <c r="A58" s="2" t="s">
        <v>313</v>
      </c>
      <c r="B58" s="2" t="s">
        <v>314</v>
      </c>
      <c r="C58" s="11" t="s">
        <v>210</v>
      </c>
      <c r="D58" s="12" t="s">
        <v>697</v>
      </c>
      <c r="E58" s="35">
        <v>1.0000000152851201</v>
      </c>
      <c r="F58" s="36">
        <v>12.19</v>
      </c>
      <c r="G58" s="36">
        <v>12.683999999999999</v>
      </c>
      <c r="H58" s="36">
        <v>13.2</v>
      </c>
      <c r="I58" s="36">
        <v>13.736000000000001</v>
      </c>
      <c r="J58" s="36">
        <v>14.287000000000001</v>
      </c>
      <c r="K58" s="36">
        <v>14.856</v>
      </c>
      <c r="L58" s="36">
        <v>15.442</v>
      </c>
      <c r="M58" s="36">
        <v>16.047000000000001</v>
      </c>
      <c r="N58" s="36">
        <v>16.664000000000001</v>
      </c>
      <c r="O58" s="36">
        <v>17.216000000000001</v>
      </c>
      <c r="P58" s="36">
        <v>17.699000000000002</v>
      </c>
      <c r="Q58" s="36">
        <v>18.178999999999998</v>
      </c>
      <c r="R58" s="36">
        <v>18.655000000000001</v>
      </c>
      <c r="S58" s="36">
        <v>19.126000000000001</v>
      </c>
      <c r="T58" s="36">
        <v>19.594999999999999</v>
      </c>
      <c r="U58" s="36">
        <v>20.068000000000001</v>
      </c>
      <c r="V58" s="36">
        <v>20.547000000000001</v>
      </c>
      <c r="W58" s="36">
        <v>21.030999999999999</v>
      </c>
      <c r="X58" s="36">
        <v>21.513999999999999</v>
      </c>
      <c r="Y58" s="36">
        <v>21.998000000000001</v>
      </c>
      <c r="Z58" s="36">
        <v>22.488</v>
      </c>
      <c r="AA58" s="36">
        <v>22.981999999999999</v>
      </c>
      <c r="AB58" s="36">
        <v>23.466999999999999</v>
      </c>
      <c r="AC58" s="36">
        <v>23.94</v>
      </c>
      <c r="AD58" s="36">
        <v>24.527000000000001</v>
      </c>
      <c r="AE58" s="36">
        <v>25.245999999999999</v>
      </c>
      <c r="AF58" s="36">
        <v>25.989000000000001</v>
      </c>
      <c r="AG58" s="36">
        <v>26.733000000000001</v>
      </c>
      <c r="AH58" s="36">
        <v>27.463999999999999</v>
      </c>
      <c r="AI58" s="36">
        <v>28.193000000000001</v>
      </c>
      <c r="AJ58" s="36">
        <v>28.914999999999999</v>
      </c>
      <c r="AK58" s="36">
        <v>29.64</v>
      </c>
      <c r="AL58" s="36">
        <v>30.395</v>
      </c>
      <c r="AM58" s="36">
        <v>31.166</v>
      </c>
      <c r="AN58" s="36">
        <v>31.934000000000001</v>
      </c>
      <c r="AO58" s="36">
        <v>32.712000000000003</v>
      </c>
      <c r="AP58" s="37">
        <v>33.494</v>
      </c>
      <c r="AQ58" s="37">
        <v>34.280999999999999</v>
      </c>
      <c r="AR58" s="37">
        <v>35.076999999999998</v>
      </c>
      <c r="AS58" s="37">
        <v>35.883000000000003</v>
      </c>
      <c r="AT58" s="37">
        <v>36.698999999999998</v>
      </c>
      <c r="AU58" s="37">
        <v>37.529000000000003</v>
      </c>
      <c r="AV58" s="37">
        <v>38.377000000000002</v>
      </c>
      <c r="AW58" s="37">
        <v>39.244</v>
      </c>
      <c r="AX58" s="37">
        <v>40.133000000000003</v>
      </c>
      <c r="AY58" s="37">
        <v>41.033999999999999</v>
      </c>
      <c r="AZ58" s="37">
        <v>41.948</v>
      </c>
      <c r="BA58" s="37">
        <v>42.88</v>
      </c>
      <c r="BB58" s="37">
        <v>43.823999999999998</v>
      </c>
      <c r="BC58" s="37">
        <v>44.779000000000003</v>
      </c>
      <c r="BD58" s="37">
        <v>45.744</v>
      </c>
      <c r="BE58" s="37">
        <v>46.716999999999999</v>
      </c>
      <c r="BF58" s="37">
        <v>47.701999999999998</v>
      </c>
      <c r="BG58" s="37">
        <v>48.701000000000001</v>
      </c>
      <c r="BH58" s="37">
        <v>49.709000000000003</v>
      </c>
      <c r="BI58" s="37">
        <v>50.716000000000001</v>
      </c>
      <c r="BJ58" s="37">
        <v>51.718000000000004</v>
      </c>
      <c r="BK58" s="37">
        <v>52.720999999999997</v>
      </c>
      <c r="BL58" s="37">
        <v>53.731000000000002</v>
      </c>
      <c r="BM58" s="37">
        <v>54.738999999999997</v>
      </c>
      <c r="BN58" s="37">
        <v>55.747</v>
      </c>
    </row>
    <row r="59" spans="1:66" x14ac:dyDescent="0.2">
      <c r="A59" s="2" t="s">
        <v>315</v>
      </c>
      <c r="B59" s="2" t="s">
        <v>316</v>
      </c>
      <c r="C59" s="11" t="s">
        <v>79</v>
      </c>
      <c r="D59" s="12" t="s">
        <v>697</v>
      </c>
      <c r="E59" s="35">
        <v>1.00110986959282</v>
      </c>
      <c r="F59" s="36">
        <v>5.141</v>
      </c>
      <c r="G59" s="36">
        <v>5.1539999999999999</v>
      </c>
      <c r="H59" s="36">
        <v>5.1710000000000003</v>
      </c>
      <c r="I59" s="36">
        <v>5.1890000000000001</v>
      </c>
      <c r="J59" s="36">
        <v>5.2060000000000004</v>
      </c>
      <c r="K59" s="36">
        <v>5.2329999999999997</v>
      </c>
      <c r="L59" s="36">
        <v>5.2629999999999999</v>
      </c>
      <c r="M59" s="36">
        <v>5.2850000000000001</v>
      </c>
      <c r="N59" s="36">
        <v>5.3040000000000003</v>
      </c>
      <c r="O59" s="36">
        <v>5.3220000000000001</v>
      </c>
      <c r="P59" s="36">
        <v>5.34</v>
      </c>
      <c r="Q59" s="36">
        <v>5.359</v>
      </c>
      <c r="R59" s="36">
        <v>5.3760000000000003</v>
      </c>
      <c r="S59" s="36">
        <v>5.391</v>
      </c>
      <c r="T59" s="36">
        <v>5.4050000000000002</v>
      </c>
      <c r="U59" s="36">
        <v>5.4189999999999996</v>
      </c>
      <c r="V59" s="36">
        <v>5.4370000000000003</v>
      </c>
      <c r="W59" s="36">
        <v>5.4610000000000003</v>
      </c>
      <c r="X59" s="36">
        <v>5.4939999999999998</v>
      </c>
      <c r="Y59" s="36">
        <v>5.5229999999999997</v>
      </c>
      <c r="Z59" s="36">
        <v>5.548</v>
      </c>
      <c r="AA59" s="36">
        <v>5.5709999999999997</v>
      </c>
      <c r="AB59" s="36">
        <v>5.5919999999999996</v>
      </c>
      <c r="AC59" s="36">
        <v>5.6150000000000002</v>
      </c>
      <c r="AD59" s="36">
        <v>5.6429999999999998</v>
      </c>
      <c r="AE59" s="36">
        <v>5.6829999999999998</v>
      </c>
      <c r="AF59" s="36">
        <v>5.7279999999999998</v>
      </c>
      <c r="AG59" s="36">
        <v>5.7649999999999997</v>
      </c>
      <c r="AH59" s="36">
        <v>5.7939999999999996</v>
      </c>
      <c r="AI59" s="36">
        <v>5.8140000000000001</v>
      </c>
      <c r="AJ59" s="36">
        <v>5.8310000000000004</v>
      </c>
      <c r="AK59" s="36">
        <v>5.8570000000000002</v>
      </c>
      <c r="AL59" s="36">
        <v>5.9029999999999996</v>
      </c>
      <c r="AM59" s="36">
        <v>5.9470000000000001</v>
      </c>
      <c r="AN59" s="36">
        <v>5.9770000000000003</v>
      </c>
      <c r="AO59" s="36">
        <v>6.0090000000000003</v>
      </c>
      <c r="AP59" s="37">
        <v>6.03</v>
      </c>
      <c r="AQ59" s="37">
        <v>6.048</v>
      </c>
      <c r="AR59" s="37">
        <v>6.0640000000000001</v>
      </c>
      <c r="AS59" s="37">
        <v>6.077</v>
      </c>
      <c r="AT59" s="37">
        <v>6.0890000000000004</v>
      </c>
      <c r="AU59" s="37">
        <v>6.0990000000000002</v>
      </c>
      <c r="AV59" s="37">
        <v>6.1070000000000002</v>
      </c>
      <c r="AW59" s="37">
        <v>6.1139999999999999</v>
      </c>
      <c r="AX59" s="37">
        <v>6.1210000000000004</v>
      </c>
      <c r="AY59" s="37">
        <v>6.1269999999999998</v>
      </c>
      <c r="AZ59" s="37">
        <v>6.1310000000000002</v>
      </c>
      <c r="BA59" s="37">
        <v>6.1349999999999998</v>
      </c>
      <c r="BB59" s="37">
        <v>6.1379999999999999</v>
      </c>
      <c r="BC59" s="37">
        <v>6.14</v>
      </c>
      <c r="BD59" s="37">
        <v>6.141</v>
      </c>
      <c r="BE59" s="37">
        <v>6.1420000000000003</v>
      </c>
      <c r="BF59" s="37">
        <v>6.1429999999999998</v>
      </c>
      <c r="BG59" s="37">
        <v>6.1420000000000003</v>
      </c>
      <c r="BH59" s="37">
        <v>6.1420000000000003</v>
      </c>
      <c r="BI59" s="37">
        <v>6.141</v>
      </c>
      <c r="BJ59" s="37">
        <v>6.14</v>
      </c>
      <c r="BK59" s="37">
        <v>6.1390000000000002</v>
      </c>
      <c r="BL59" s="37">
        <v>6.1369999999999996</v>
      </c>
      <c r="BM59" s="37">
        <v>6.1349999999999998</v>
      </c>
      <c r="BN59" s="37">
        <v>6.1319999999999997</v>
      </c>
    </row>
    <row r="60" spans="1:66" x14ac:dyDescent="0.2">
      <c r="A60" s="2" t="s">
        <v>317</v>
      </c>
      <c r="B60" s="2" t="s">
        <v>318</v>
      </c>
      <c r="C60" s="11" t="s">
        <v>210</v>
      </c>
      <c r="D60" s="12" t="s">
        <v>697</v>
      </c>
      <c r="E60" s="35">
        <v>0.99999957772998604</v>
      </c>
      <c r="F60" s="36">
        <v>0.57999999999999996</v>
      </c>
      <c r="G60" s="36">
        <v>0.63100000000000001</v>
      </c>
      <c r="H60" s="36">
        <v>0.626</v>
      </c>
      <c r="I60" s="36">
        <v>0.61399999999999999</v>
      </c>
      <c r="J60" s="36">
        <v>0.627</v>
      </c>
      <c r="K60" s="36">
        <v>0.63300000000000001</v>
      </c>
      <c r="L60" s="36">
        <v>0.64800000000000002</v>
      </c>
      <c r="M60" s="36">
        <v>0.67200000000000004</v>
      </c>
      <c r="N60" s="36">
        <v>0.69899999999999995</v>
      </c>
      <c r="O60" s="36">
        <v>0.72399999999999998</v>
      </c>
      <c r="P60" s="36">
        <v>0.747</v>
      </c>
      <c r="Q60" s="36">
        <v>0.77100000000000002</v>
      </c>
      <c r="R60" s="36">
        <v>0.79600000000000004</v>
      </c>
      <c r="S60" s="36">
        <v>0.81399999999999995</v>
      </c>
      <c r="T60" s="36">
        <v>0.82599999999999996</v>
      </c>
      <c r="U60" s="36">
        <v>0.83899999999999997</v>
      </c>
      <c r="V60" s="36">
        <v>0.85599999999999998</v>
      </c>
      <c r="W60" s="36">
        <v>0.875</v>
      </c>
      <c r="X60" s="36">
        <v>0.89300000000000002</v>
      </c>
      <c r="Y60" s="36">
        <v>0.91200000000000003</v>
      </c>
      <c r="Z60" s="36">
        <v>0.93</v>
      </c>
      <c r="AA60" s="36">
        <v>0.94899999999999995</v>
      </c>
      <c r="AB60" s="36">
        <v>0.96699999999999997</v>
      </c>
      <c r="AC60" s="36">
        <v>0.98499999999999999</v>
      </c>
      <c r="AD60" s="36">
        <v>1.0029999999999999</v>
      </c>
      <c r="AE60" s="36">
        <v>1.02</v>
      </c>
      <c r="AF60" s="36">
        <v>1.038</v>
      </c>
      <c r="AG60" s="36">
        <v>1.0549999999999999</v>
      </c>
      <c r="AH60" s="36">
        <v>1.0720000000000001</v>
      </c>
      <c r="AI60" s="36">
        <v>1.089</v>
      </c>
      <c r="AJ60" s="36">
        <v>1.105</v>
      </c>
      <c r="AK60" s="36">
        <v>1.121</v>
      </c>
      <c r="AL60" s="36">
        <v>1.137</v>
      </c>
      <c r="AM60" s="36">
        <v>1.153</v>
      </c>
      <c r="AN60" s="36">
        <v>1.169</v>
      </c>
      <c r="AO60" s="36">
        <v>1.1839999999999999</v>
      </c>
      <c r="AP60" s="37">
        <v>1.1990000000000001</v>
      </c>
      <c r="AQ60" s="37">
        <v>1.2150000000000001</v>
      </c>
      <c r="AR60" s="37">
        <v>1.2310000000000001</v>
      </c>
      <c r="AS60" s="37">
        <v>1.2470000000000001</v>
      </c>
      <c r="AT60" s="37">
        <v>1.2629999999999999</v>
      </c>
      <c r="AU60" s="37">
        <v>1.278</v>
      </c>
      <c r="AV60" s="37">
        <v>1.2929999999999999</v>
      </c>
      <c r="AW60" s="37">
        <v>1.3080000000000001</v>
      </c>
      <c r="AX60" s="37">
        <v>1.3220000000000001</v>
      </c>
      <c r="AY60" s="37">
        <v>1.335</v>
      </c>
      <c r="AZ60" s="37">
        <v>1.349</v>
      </c>
      <c r="BA60" s="37">
        <v>1.363</v>
      </c>
      <c r="BB60" s="37">
        <v>1.3779999999999999</v>
      </c>
      <c r="BC60" s="37">
        <v>1.3919999999999999</v>
      </c>
      <c r="BD60" s="37">
        <v>1.407</v>
      </c>
      <c r="BE60" s="37">
        <v>1.4219999999999999</v>
      </c>
      <c r="BF60" s="37">
        <v>1.4359999999999999</v>
      </c>
      <c r="BG60" s="37">
        <v>1.45</v>
      </c>
      <c r="BH60" s="37">
        <v>1.462</v>
      </c>
      <c r="BI60" s="37">
        <v>1.474</v>
      </c>
      <c r="BJ60" s="37">
        <v>1.486</v>
      </c>
      <c r="BK60" s="37">
        <v>1.498</v>
      </c>
      <c r="BL60" s="37">
        <v>1.5089999999999999</v>
      </c>
      <c r="BM60" s="37">
        <v>1.52</v>
      </c>
      <c r="BN60" s="37">
        <v>1.5309999999999999</v>
      </c>
    </row>
    <row r="61" spans="1:66" x14ac:dyDescent="0.2">
      <c r="A61" s="2" t="s">
        <v>319</v>
      </c>
      <c r="B61" s="2" t="s">
        <v>320</v>
      </c>
      <c r="C61" s="11" t="s">
        <v>82</v>
      </c>
      <c r="D61" s="12" t="s">
        <v>697</v>
      </c>
      <c r="E61" s="35">
        <v>0.99999240946388201</v>
      </c>
      <c r="F61" s="36">
        <v>7.0000000000000007E-2</v>
      </c>
      <c r="G61" s="36">
        <v>6.9000000000000006E-2</v>
      </c>
      <c r="H61" s="36">
        <v>6.9000000000000006E-2</v>
      </c>
      <c r="I61" s="36">
        <v>6.9000000000000006E-2</v>
      </c>
      <c r="J61" s="36">
        <v>6.9000000000000006E-2</v>
      </c>
      <c r="K61" s="36">
        <v>6.9000000000000006E-2</v>
      </c>
      <c r="L61" s="36">
        <v>6.9000000000000006E-2</v>
      </c>
      <c r="M61" s="36">
        <v>6.9000000000000006E-2</v>
      </c>
      <c r="N61" s="36">
        <v>6.9000000000000006E-2</v>
      </c>
      <c r="O61" s="36">
        <v>6.9000000000000006E-2</v>
      </c>
      <c r="P61" s="36">
        <v>6.9000000000000006E-2</v>
      </c>
      <c r="Q61" s="36">
        <v>6.8000000000000005E-2</v>
      </c>
      <c r="R61" s="36">
        <v>6.8000000000000005E-2</v>
      </c>
      <c r="S61" s="36">
        <v>6.9000000000000006E-2</v>
      </c>
      <c r="T61" s="36">
        <v>6.9000000000000006E-2</v>
      </c>
      <c r="U61" s="36">
        <v>6.9000000000000006E-2</v>
      </c>
      <c r="V61" s="36">
        <v>6.9000000000000006E-2</v>
      </c>
      <c r="W61" s="36">
        <v>6.9000000000000006E-2</v>
      </c>
      <c r="X61" s="36">
        <v>6.9000000000000006E-2</v>
      </c>
      <c r="Y61" s="36">
        <v>6.9000000000000006E-2</v>
      </c>
      <c r="Z61" s="36">
        <v>6.9000000000000006E-2</v>
      </c>
      <c r="AA61" s="36">
        <v>6.9000000000000006E-2</v>
      </c>
      <c r="AB61" s="36">
        <v>6.9000000000000006E-2</v>
      </c>
      <c r="AC61" s="36">
        <v>7.0000000000000007E-2</v>
      </c>
      <c r="AD61" s="36">
        <v>7.0000000000000007E-2</v>
      </c>
      <c r="AE61" s="36">
        <v>7.0000000000000007E-2</v>
      </c>
      <c r="AF61" s="36">
        <v>7.0000000000000007E-2</v>
      </c>
      <c r="AG61" s="36">
        <v>6.8000000000000005E-2</v>
      </c>
      <c r="AH61" s="36">
        <v>6.8000000000000005E-2</v>
      </c>
      <c r="AI61" s="36">
        <v>6.8000000000000005E-2</v>
      </c>
      <c r="AJ61" s="36">
        <v>6.8000000000000005E-2</v>
      </c>
      <c r="AK61" s="36">
        <v>6.7000000000000004E-2</v>
      </c>
      <c r="AL61" s="36">
        <v>6.7000000000000004E-2</v>
      </c>
      <c r="AM61" s="36">
        <v>6.7000000000000004E-2</v>
      </c>
      <c r="AN61" s="36">
        <v>6.6000000000000003E-2</v>
      </c>
      <c r="AO61" s="36">
        <v>6.6000000000000003E-2</v>
      </c>
      <c r="AP61" s="37">
        <v>6.6000000000000003E-2</v>
      </c>
      <c r="AQ61" s="37">
        <v>6.5000000000000002E-2</v>
      </c>
      <c r="AR61" s="37">
        <v>6.5000000000000002E-2</v>
      </c>
      <c r="AS61" s="37">
        <v>6.4000000000000001E-2</v>
      </c>
      <c r="AT61" s="37">
        <v>6.4000000000000001E-2</v>
      </c>
      <c r="AU61" s="37">
        <v>6.4000000000000001E-2</v>
      </c>
      <c r="AV61" s="37">
        <v>6.4000000000000001E-2</v>
      </c>
      <c r="AW61" s="37">
        <v>6.4000000000000001E-2</v>
      </c>
      <c r="AX61" s="37">
        <v>6.4000000000000001E-2</v>
      </c>
      <c r="AY61" s="37">
        <v>6.4000000000000001E-2</v>
      </c>
      <c r="AZ61" s="37">
        <v>6.4000000000000001E-2</v>
      </c>
      <c r="BA61" s="37">
        <v>6.4000000000000001E-2</v>
      </c>
      <c r="BB61" s="37">
        <v>6.4000000000000001E-2</v>
      </c>
      <c r="BC61" s="37">
        <v>6.4000000000000001E-2</v>
      </c>
      <c r="BD61" s="37">
        <v>6.4000000000000001E-2</v>
      </c>
      <c r="BE61" s="37">
        <v>6.4000000000000001E-2</v>
      </c>
      <c r="BF61" s="37">
        <v>6.4000000000000001E-2</v>
      </c>
      <c r="BG61" s="37">
        <v>6.4000000000000001E-2</v>
      </c>
      <c r="BH61" s="37">
        <v>6.4000000000000001E-2</v>
      </c>
      <c r="BI61" s="37">
        <v>6.4000000000000001E-2</v>
      </c>
      <c r="BJ61" s="37">
        <v>6.4000000000000001E-2</v>
      </c>
      <c r="BK61" s="37">
        <v>6.4000000000000001E-2</v>
      </c>
      <c r="BL61" s="37">
        <v>6.3E-2</v>
      </c>
      <c r="BM61" s="37">
        <v>6.3E-2</v>
      </c>
      <c r="BN61" s="37">
        <v>6.3E-2</v>
      </c>
    </row>
    <row r="62" spans="1:66" x14ac:dyDescent="0.2">
      <c r="A62" s="2" t="s">
        <v>321</v>
      </c>
      <c r="B62" s="2" t="s">
        <v>322</v>
      </c>
      <c r="C62" s="11" t="s">
        <v>82</v>
      </c>
      <c r="D62" s="12" t="s">
        <v>697</v>
      </c>
      <c r="E62" s="35">
        <v>1</v>
      </c>
      <c r="F62" s="36">
        <v>7.1509999999999998</v>
      </c>
      <c r="G62" s="36">
        <v>7.3</v>
      </c>
      <c r="H62" s="36">
        <v>7.4470000000000001</v>
      </c>
      <c r="I62" s="36">
        <v>7.5949999999999998</v>
      </c>
      <c r="J62" s="36">
        <v>7.742</v>
      </c>
      <c r="K62" s="36">
        <v>7.8879999999999999</v>
      </c>
      <c r="L62" s="36">
        <v>8.0329999999999995</v>
      </c>
      <c r="M62" s="36">
        <v>8.1739999999999995</v>
      </c>
      <c r="N62" s="36">
        <v>8.31</v>
      </c>
      <c r="O62" s="36">
        <v>8.4459999999999997</v>
      </c>
      <c r="P62" s="36">
        <v>8.5839999999999996</v>
      </c>
      <c r="Q62" s="36">
        <v>8.7200000000000006</v>
      </c>
      <c r="R62" s="36">
        <v>8.8520000000000003</v>
      </c>
      <c r="S62" s="36">
        <v>8.9809999999999999</v>
      </c>
      <c r="T62" s="36">
        <v>9.1050000000000004</v>
      </c>
      <c r="U62" s="36">
        <v>9.2249999999999996</v>
      </c>
      <c r="V62" s="36">
        <v>9.3409999999999993</v>
      </c>
      <c r="W62" s="36">
        <v>9.4559999999999995</v>
      </c>
      <c r="X62" s="36">
        <v>9.5730000000000004</v>
      </c>
      <c r="Y62" s="36">
        <v>9.6950000000000003</v>
      </c>
      <c r="Z62" s="36">
        <v>9.82</v>
      </c>
      <c r="AA62" s="36">
        <v>9.9459999999999997</v>
      </c>
      <c r="AB62" s="36">
        <v>10.07</v>
      </c>
      <c r="AC62" s="36">
        <v>10.194000000000001</v>
      </c>
      <c r="AD62" s="36">
        <v>10.316000000000001</v>
      </c>
      <c r="AE62" s="36">
        <v>10.435</v>
      </c>
      <c r="AF62" s="36">
        <v>10.551</v>
      </c>
      <c r="AG62" s="36">
        <v>10.667</v>
      </c>
      <c r="AH62" s="36">
        <v>10.782</v>
      </c>
      <c r="AI62" s="36">
        <v>10.894</v>
      </c>
      <c r="AJ62" s="36">
        <v>11.007999999999999</v>
      </c>
      <c r="AK62" s="36">
        <v>11.122999999999999</v>
      </c>
      <c r="AL62" s="36">
        <v>11.231</v>
      </c>
      <c r="AM62" s="36">
        <v>11.331</v>
      </c>
      <c r="AN62" s="36">
        <v>11.428000000000001</v>
      </c>
      <c r="AO62" s="36">
        <v>11.52</v>
      </c>
      <c r="AP62" s="37">
        <v>11.61</v>
      </c>
      <c r="AQ62" s="37">
        <v>11.696</v>
      </c>
      <c r="AR62" s="37">
        <v>11.78</v>
      </c>
      <c r="AS62" s="37">
        <v>11.861000000000001</v>
      </c>
      <c r="AT62" s="37">
        <v>11.939</v>
      </c>
      <c r="AU62" s="37">
        <v>12.013999999999999</v>
      </c>
      <c r="AV62" s="37">
        <v>12.087</v>
      </c>
      <c r="AW62" s="37">
        <v>12.157</v>
      </c>
      <c r="AX62" s="37">
        <v>12.224</v>
      </c>
      <c r="AY62" s="37">
        <v>12.289</v>
      </c>
      <c r="AZ62" s="37">
        <v>12.352</v>
      </c>
      <c r="BA62" s="37">
        <v>12.413</v>
      </c>
      <c r="BB62" s="37">
        <v>12.471</v>
      </c>
      <c r="BC62" s="37">
        <v>12.526</v>
      </c>
      <c r="BD62" s="37">
        <v>12.579000000000001</v>
      </c>
      <c r="BE62" s="37">
        <v>12.631</v>
      </c>
      <c r="BF62" s="37">
        <v>12.68</v>
      </c>
      <c r="BG62" s="37">
        <v>12.727</v>
      </c>
      <c r="BH62" s="37">
        <v>12.773</v>
      </c>
      <c r="BI62" s="37">
        <v>12.816000000000001</v>
      </c>
      <c r="BJ62" s="37">
        <v>12.856999999999999</v>
      </c>
      <c r="BK62" s="37">
        <v>12.895</v>
      </c>
      <c r="BL62" s="37">
        <v>12.930999999999999</v>
      </c>
      <c r="BM62" s="37">
        <v>12.965</v>
      </c>
      <c r="BN62" s="37">
        <v>12.996</v>
      </c>
    </row>
    <row r="63" spans="1:66" x14ac:dyDescent="0.2">
      <c r="A63" s="2" t="s">
        <v>323</v>
      </c>
      <c r="B63" s="2" t="s">
        <v>324</v>
      </c>
      <c r="C63" s="11" t="s">
        <v>82</v>
      </c>
      <c r="D63" s="12" t="s">
        <v>697</v>
      </c>
      <c r="E63" s="35">
        <v>0.999999999999999</v>
      </c>
      <c r="F63" s="36">
        <v>10.474</v>
      </c>
      <c r="G63" s="36">
        <v>10.702</v>
      </c>
      <c r="H63" s="36">
        <v>10.93</v>
      </c>
      <c r="I63" s="36">
        <v>11.154</v>
      </c>
      <c r="J63" s="36">
        <v>11.372</v>
      </c>
      <c r="K63" s="36">
        <v>11.590999999999999</v>
      </c>
      <c r="L63" s="36">
        <v>11.811</v>
      </c>
      <c r="M63" s="36">
        <v>12.031000000000001</v>
      </c>
      <c r="N63" s="36">
        <v>12.250999999999999</v>
      </c>
      <c r="O63" s="36">
        <v>12.471</v>
      </c>
      <c r="P63" s="36">
        <v>12.689</v>
      </c>
      <c r="Q63" s="36">
        <v>12.911</v>
      </c>
      <c r="R63" s="36">
        <v>13.138</v>
      </c>
      <c r="S63" s="36">
        <v>13.372</v>
      </c>
      <c r="T63" s="36">
        <v>13.609</v>
      </c>
      <c r="U63" s="36">
        <v>13.846</v>
      </c>
      <c r="V63" s="36">
        <v>14.086</v>
      </c>
      <c r="W63" s="36">
        <v>14.329000000000001</v>
      </c>
      <c r="X63" s="36">
        <v>14.574999999999999</v>
      </c>
      <c r="Y63" s="36">
        <v>14.826000000000001</v>
      </c>
      <c r="Z63" s="36">
        <v>15.077</v>
      </c>
      <c r="AA63" s="36">
        <v>15.326000000000001</v>
      </c>
      <c r="AB63" s="36">
        <v>15.571999999999999</v>
      </c>
      <c r="AC63" s="36">
        <v>15.807</v>
      </c>
      <c r="AD63" s="36">
        <v>16.035</v>
      </c>
      <c r="AE63" s="36">
        <v>16.265999999999998</v>
      </c>
      <c r="AF63" s="36">
        <v>16.504999999999999</v>
      </c>
      <c r="AG63" s="36">
        <v>16.760000000000002</v>
      </c>
      <c r="AH63" s="36">
        <v>17.05</v>
      </c>
      <c r="AI63" s="36">
        <v>17.34</v>
      </c>
      <c r="AJ63" s="36">
        <v>17.545999999999999</v>
      </c>
      <c r="AK63" s="36">
        <v>17.681999999999999</v>
      </c>
      <c r="AL63" s="36">
        <v>17.824000000000002</v>
      </c>
      <c r="AM63" s="36">
        <v>17.98</v>
      </c>
      <c r="AN63" s="36">
        <v>18.135000000000002</v>
      </c>
      <c r="AO63" s="36">
        <v>18.29</v>
      </c>
      <c r="AP63" s="37">
        <v>18.445</v>
      </c>
      <c r="AQ63" s="37">
        <v>18.600000000000001</v>
      </c>
      <c r="AR63" s="37">
        <v>18.757000000000001</v>
      </c>
      <c r="AS63" s="37">
        <v>18.914000000000001</v>
      </c>
      <c r="AT63" s="37">
        <v>19.07</v>
      </c>
      <c r="AU63" s="37">
        <v>19.222999999999999</v>
      </c>
      <c r="AV63" s="37">
        <v>19.372</v>
      </c>
      <c r="AW63" s="37">
        <v>19.518999999999998</v>
      </c>
      <c r="AX63" s="37">
        <v>19.661000000000001</v>
      </c>
      <c r="AY63" s="37">
        <v>19.8</v>
      </c>
      <c r="AZ63" s="37">
        <v>19.934999999999999</v>
      </c>
      <c r="BA63" s="37">
        <v>20.065999999999999</v>
      </c>
      <c r="BB63" s="37">
        <v>20.193999999999999</v>
      </c>
      <c r="BC63" s="37">
        <v>20.315999999999999</v>
      </c>
      <c r="BD63" s="37">
        <v>20.434000000000001</v>
      </c>
      <c r="BE63" s="37">
        <v>20.547000000000001</v>
      </c>
      <c r="BF63" s="37">
        <v>20.655999999999999</v>
      </c>
      <c r="BG63" s="37">
        <v>20.759</v>
      </c>
      <c r="BH63" s="37">
        <v>20.856999999999999</v>
      </c>
      <c r="BI63" s="37">
        <v>20.951000000000001</v>
      </c>
      <c r="BJ63" s="37">
        <v>21.039000000000001</v>
      </c>
      <c r="BK63" s="37">
        <v>21.120999999999999</v>
      </c>
      <c r="BL63" s="37">
        <v>21.199000000000002</v>
      </c>
      <c r="BM63" s="37">
        <v>21.271000000000001</v>
      </c>
      <c r="BN63" s="37">
        <v>21.337</v>
      </c>
    </row>
    <row r="64" spans="1:66" x14ac:dyDescent="0.2">
      <c r="A64" s="2" t="s">
        <v>325</v>
      </c>
      <c r="B64" s="2" t="s">
        <v>326</v>
      </c>
      <c r="C64" s="11" t="s">
        <v>210</v>
      </c>
      <c r="D64" s="12" t="s">
        <v>697</v>
      </c>
      <c r="E64" s="35">
        <v>1.0000000042241901</v>
      </c>
      <c r="F64" s="36">
        <v>58.396999999999998</v>
      </c>
      <c r="G64" s="36">
        <v>60.029000000000003</v>
      </c>
      <c r="H64" s="36">
        <v>61.481000000000002</v>
      </c>
      <c r="I64" s="36">
        <v>62.915999999999997</v>
      </c>
      <c r="J64" s="36">
        <v>64.286000000000001</v>
      </c>
      <c r="K64" s="36">
        <v>65.653000000000006</v>
      </c>
      <c r="L64" s="36">
        <v>67.028000000000006</v>
      </c>
      <c r="M64" s="36">
        <v>68.432000000000002</v>
      </c>
      <c r="N64" s="36">
        <v>69.942999999999998</v>
      </c>
      <c r="O64" s="36">
        <v>71.521000000000001</v>
      </c>
      <c r="P64" s="36">
        <v>73.082999999999998</v>
      </c>
      <c r="Q64" s="36">
        <v>74.652000000000001</v>
      </c>
      <c r="R64" s="36">
        <v>76.239000000000004</v>
      </c>
      <c r="S64" s="36">
        <v>77.853999999999999</v>
      </c>
      <c r="T64" s="36">
        <v>79.477000000000004</v>
      </c>
      <c r="U64" s="36">
        <v>81.100999999999999</v>
      </c>
      <c r="V64" s="36">
        <v>82.7</v>
      </c>
      <c r="W64" s="36">
        <v>84.275999999999996</v>
      </c>
      <c r="X64" s="36">
        <v>85.864999999999995</v>
      </c>
      <c r="Y64" s="36">
        <v>87.501999999999995</v>
      </c>
      <c r="Z64" s="36">
        <v>89.195999999999998</v>
      </c>
      <c r="AA64" s="36">
        <v>91.093000000000004</v>
      </c>
      <c r="AB64" s="36">
        <v>93.161000000000001</v>
      </c>
      <c r="AC64" s="36">
        <v>95.334000000000003</v>
      </c>
      <c r="AD64" s="36">
        <v>97.528999999999996</v>
      </c>
      <c r="AE64" s="36">
        <v>99.596999999999994</v>
      </c>
      <c r="AF64" s="36">
        <v>101.645</v>
      </c>
      <c r="AG64" s="36">
        <v>103.696</v>
      </c>
      <c r="AH64" s="36">
        <v>105.682</v>
      </c>
      <c r="AI64" s="36">
        <v>107.553</v>
      </c>
      <c r="AJ64" s="36">
        <v>109.315</v>
      </c>
      <c r="AK64" s="36">
        <v>110.95699999999999</v>
      </c>
      <c r="AL64" s="36">
        <v>112.61799999999999</v>
      </c>
      <c r="AM64" s="36">
        <v>114.536</v>
      </c>
      <c r="AN64" s="36">
        <v>116.538</v>
      </c>
      <c r="AO64" s="36">
        <v>118.366</v>
      </c>
      <c r="AP64" s="37">
        <v>120.101</v>
      </c>
      <c r="AQ64" s="37">
        <v>121.848</v>
      </c>
      <c r="AR64" s="37">
        <v>123.608</v>
      </c>
      <c r="AS64" s="37">
        <v>125.373</v>
      </c>
      <c r="AT64" s="37">
        <v>127.139</v>
      </c>
      <c r="AU64" s="37">
        <v>128.91200000000001</v>
      </c>
      <c r="AV64" s="37">
        <v>130.69499999999999</v>
      </c>
      <c r="AW64" s="37">
        <v>132.48599999999999</v>
      </c>
      <c r="AX64" s="37">
        <v>134.28800000000001</v>
      </c>
      <c r="AY64" s="37">
        <v>136.09700000000001</v>
      </c>
      <c r="AZ64" s="37">
        <v>137.91300000000001</v>
      </c>
      <c r="BA64" s="37">
        <v>139.739</v>
      </c>
      <c r="BB64" s="37">
        <v>141.566</v>
      </c>
      <c r="BC64" s="37">
        <v>143.393</v>
      </c>
      <c r="BD64" s="37">
        <v>145.214</v>
      </c>
      <c r="BE64" s="37">
        <v>147.01900000000001</v>
      </c>
      <c r="BF64" s="37">
        <v>148.80099999999999</v>
      </c>
      <c r="BG64" s="37">
        <v>150.548</v>
      </c>
      <c r="BH64" s="37">
        <v>152.255</v>
      </c>
      <c r="BI64" s="37">
        <v>153.91900000000001</v>
      </c>
      <c r="BJ64" s="37">
        <v>155.536</v>
      </c>
      <c r="BK64" s="37">
        <v>157.114</v>
      </c>
      <c r="BL64" s="37">
        <v>158.65700000000001</v>
      </c>
      <c r="BM64" s="37">
        <v>160.16200000000001</v>
      </c>
      <c r="BN64" s="37">
        <v>161.63</v>
      </c>
    </row>
    <row r="65" spans="1:66" x14ac:dyDescent="0.2">
      <c r="A65" s="2" t="s">
        <v>328</v>
      </c>
      <c r="B65" s="2" t="s">
        <v>329</v>
      </c>
      <c r="C65" s="11" t="s">
        <v>82</v>
      </c>
      <c r="D65" s="12" t="s">
        <v>697</v>
      </c>
      <c r="E65" s="35">
        <v>1</v>
      </c>
      <c r="F65" s="36">
        <v>5.4</v>
      </c>
      <c r="G65" s="36">
        <v>5.4950000000000001</v>
      </c>
      <c r="H65" s="36">
        <v>5.5860000000000003</v>
      </c>
      <c r="I65" s="36">
        <v>5.66</v>
      </c>
      <c r="J65" s="36">
        <v>5.7140000000000004</v>
      </c>
      <c r="K65" s="36">
        <v>5.7619999999999996</v>
      </c>
      <c r="L65" s="36">
        <v>5.8049999999999997</v>
      </c>
      <c r="M65" s="36">
        <v>5.8449999999999998</v>
      </c>
      <c r="N65" s="36">
        <v>5.8810000000000002</v>
      </c>
      <c r="O65" s="36">
        <v>5.9139999999999997</v>
      </c>
      <c r="P65" s="36">
        <v>5.9429999999999996</v>
      </c>
      <c r="Q65" s="36">
        <v>5.968</v>
      </c>
      <c r="R65" s="36">
        <v>5.9870000000000001</v>
      </c>
      <c r="S65" s="36">
        <v>5.9989999999999997</v>
      </c>
      <c r="T65" s="36">
        <v>6.0049999999999999</v>
      </c>
      <c r="U65" s="36">
        <v>6.0060000000000002</v>
      </c>
      <c r="V65" s="36">
        <v>6.0019999999999998</v>
      </c>
      <c r="W65" s="36">
        <v>6.01</v>
      </c>
      <c r="X65" s="36">
        <v>6.0289999999999999</v>
      </c>
      <c r="Y65" s="36">
        <v>6.048</v>
      </c>
      <c r="Z65" s="36">
        <v>6.0679999999999996</v>
      </c>
      <c r="AA65" s="36">
        <v>6.09</v>
      </c>
      <c r="AB65" s="36">
        <v>6.1139999999999999</v>
      </c>
      <c r="AC65" s="36">
        <v>6.1390000000000002</v>
      </c>
      <c r="AD65" s="36">
        <v>6.1630000000000003</v>
      </c>
      <c r="AE65" s="36">
        <v>6.1840000000000002</v>
      </c>
      <c r="AF65" s="36">
        <v>6.2009999999999996</v>
      </c>
      <c r="AG65" s="36">
        <v>6.2140000000000004</v>
      </c>
      <c r="AH65" s="36">
        <v>6.22</v>
      </c>
      <c r="AI65" s="36">
        <v>6.2220000000000004</v>
      </c>
      <c r="AJ65" s="36">
        <v>6.2350000000000003</v>
      </c>
      <c r="AK65" s="36">
        <v>6.2560000000000002</v>
      </c>
      <c r="AL65" s="36">
        <v>6.28</v>
      </c>
      <c r="AM65" s="36">
        <v>6.31</v>
      </c>
      <c r="AN65" s="36">
        <v>6.3380000000000001</v>
      </c>
      <c r="AO65" s="36">
        <v>6.3659999999999997</v>
      </c>
      <c r="AP65" s="37">
        <v>6.391</v>
      </c>
      <c r="AQ65" s="37">
        <v>6.4160000000000004</v>
      </c>
      <c r="AR65" s="37">
        <v>6.4409999999999998</v>
      </c>
      <c r="AS65" s="37">
        <v>6.4640000000000004</v>
      </c>
      <c r="AT65" s="37">
        <v>6.4859999999999998</v>
      </c>
      <c r="AU65" s="37">
        <v>6.5060000000000002</v>
      </c>
      <c r="AV65" s="37">
        <v>6.5259999999999998</v>
      </c>
      <c r="AW65" s="37">
        <v>6.5449999999999999</v>
      </c>
      <c r="AX65" s="37">
        <v>6.5620000000000003</v>
      </c>
      <c r="AY65" s="37">
        <v>6.5780000000000003</v>
      </c>
      <c r="AZ65" s="37">
        <v>6.593</v>
      </c>
      <c r="BA65" s="37">
        <v>6.6070000000000002</v>
      </c>
      <c r="BB65" s="37">
        <v>6.62</v>
      </c>
      <c r="BC65" s="37">
        <v>6.6310000000000002</v>
      </c>
      <c r="BD65" s="37">
        <v>6.641</v>
      </c>
      <c r="BE65" s="37">
        <v>6.649</v>
      </c>
      <c r="BF65" s="37">
        <v>6.6559999999999997</v>
      </c>
      <c r="BG65" s="37">
        <v>6.6619999999999999</v>
      </c>
      <c r="BH65" s="37">
        <v>6.6660000000000004</v>
      </c>
      <c r="BI65" s="37">
        <v>6.6680000000000001</v>
      </c>
      <c r="BJ65" s="37">
        <v>6.6689999999999996</v>
      </c>
      <c r="BK65" s="37">
        <v>6.67</v>
      </c>
      <c r="BL65" s="37">
        <v>6.6689999999999996</v>
      </c>
      <c r="BM65" s="37">
        <v>6.6669999999999998</v>
      </c>
      <c r="BN65" s="37">
        <v>6.6630000000000003</v>
      </c>
    </row>
    <row r="66" spans="1:66" x14ac:dyDescent="0.2">
      <c r="A66" s="2" t="s">
        <v>330</v>
      </c>
      <c r="B66" s="2" t="s">
        <v>331</v>
      </c>
      <c r="C66" s="11" t="s">
        <v>82</v>
      </c>
      <c r="D66" s="12" t="s">
        <v>697</v>
      </c>
      <c r="E66" s="35">
        <v>1</v>
      </c>
      <c r="F66" s="36">
        <v>0.47399999999999998</v>
      </c>
      <c r="G66" s="36">
        <v>0.49199999999999999</v>
      </c>
      <c r="H66" s="36">
        <v>0.51100000000000001</v>
      </c>
      <c r="I66" s="36">
        <v>0.53</v>
      </c>
      <c r="J66" s="36">
        <v>0.55000000000000004</v>
      </c>
      <c r="K66" s="36">
        <v>0.57099999999999995</v>
      </c>
      <c r="L66" s="36">
        <v>0.59299999999999997</v>
      </c>
      <c r="M66" s="36">
        <v>0.61699999999999999</v>
      </c>
      <c r="N66" s="36">
        <v>0.64100000000000001</v>
      </c>
      <c r="O66" s="36">
        <v>0.66700000000000004</v>
      </c>
      <c r="P66" s="36">
        <v>0.70299999999999996</v>
      </c>
      <c r="Q66" s="36">
        <v>0.75</v>
      </c>
      <c r="R66" s="36">
        <v>0.79800000000000004</v>
      </c>
      <c r="S66" s="36">
        <v>0.84799999999999998</v>
      </c>
      <c r="T66" s="36">
        <v>0.9</v>
      </c>
      <c r="U66" s="36">
        <v>0.94699999999999995</v>
      </c>
      <c r="V66" s="36">
        <v>0.99</v>
      </c>
      <c r="W66" s="36">
        <v>1.036</v>
      </c>
      <c r="X66" s="36">
        <v>1.085</v>
      </c>
      <c r="Y66" s="36">
        <v>1.1359999999999999</v>
      </c>
      <c r="Z66" s="36">
        <v>1.1890000000000001</v>
      </c>
      <c r="AA66" s="36">
        <v>1.242</v>
      </c>
      <c r="AB66" s="36">
        <v>1.2929999999999999</v>
      </c>
      <c r="AC66" s="36">
        <v>1.3460000000000001</v>
      </c>
      <c r="AD66" s="36">
        <v>1.4</v>
      </c>
      <c r="AE66" s="36">
        <v>1.454</v>
      </c>
      <c r="AF66" s="36">
        <v>1.508</v>
      </c>
      <c r="AG66" s="36">
        <v>1.5620000000000001</v>
      </c>
      <c r="AH66" s="36">
        <v>1.6160000000000001</v>
      </c>
      <c r="AI66" s="36">
        <v>1.67</v>
      </c>
      <c r="AJ66" s="36">
        <v>1.716</v>
      </c>
      <c r="AK66" s="36">
        <v>1.7589999999999999</v>
      </c>
      <c r="AL66" s="36">
        <v>1.804</v>
      </c>
      <c r="AM66" s="36">
        <v>1.8480000000000001</v>
      </c>
      <c r="AN66" s="36">
        <v>1.893</v>
      </c>
      <c r="AO66" s="36">
        <v>1.9379999999999999</v>
      </c>
      <c r="AP66" s="37">
        <v>1.984</v>
      </c>
      <c r="AQ66" s="37">
        <v>2.0310000000000001</v>
      </c>
      <c r="AR66" s="37">
        <v>2.077</v>
      </c>
      <c r="AS66" s="37">
        <v>2.1240000000000001</v>
      </c>
      <c r="AT66" s="37">
        <v>2.17</v>
      </c>
      <c r="AU66" s="37">
        <v>2.218</v>
      </c>
      <c r="AV66" s="37">
        <v>2.2669999999999999</v>
      </c>
      <c r="AW66" s="37">
        <v>2.3159999999999998</v>
      </c>
      <c r="AX66" s="37">
        <v>2.3650000000000002</v>
      </c>
      <c r="AY66" s="37">
        <v>2.4140000000000001</v>
      </c>
      <c r="AZ66" s="37">
        <v>2.464</v>
      </c>
      <c r="BA66" s="37">
        <v>2.5139999999999998</v>
      </c>
      <c r="BB66" s="37">
        <v>2.5649999999999999</v>
      </c>
      <c r="BC66" s="37">
        <v>2.6150000000000002</v>
      </c>
      <c r="BD66" s="37">
        <v>2.6659999999999999</v>
      </c>
      <c r="BE66" s="37">
        <v>2.7149999999999999</v>
      </c>
      <c r="BF66" s="37">
        <v>2.7650000000000001</v>
      </c>
      <c r="BG66" s="37">
        <v>2.8140000000000001</v>
      </c>
      <c r="BH66" s="37">
        <v>2.863</v>
      </c>
      <c r="BI66" s="37">
        <v>2.911</v>
      </c>
      <c r="BJ66" s="37">
        <v>2.9590000000000001</v>
      </c>
      <c r="BK66" s="37">
        <v>3.0059999999999998</v>
      </c>
      <c r="BL66" s="37">
        <v>3.0510000000000002</v>
      </c>
      <c r="BM66" s="37">
        <v>3.0979999999999999</v>
      </c>
      <c r="BN66" s="37">
        <v>3.1440000000000001</v>
      </c>
    </row>
    <row r="67" spans="1:66" x14ac:dyDescent="0.2">
      <c r="A67" s="2" t="s">
        <v>333</v>
      </c>
      <c r="B67" s="2" t="s">
        <v>334</v>
      </c>
      <c r="C67" s="11" t="s">
        <v>75</v>
      </c>
      <c r="D67" s="12" t="s">
        <v>697</v>
      </c>
      <c r="E67" s="35">
        <v>1</v>
      </c>
      <c r="F67" s="36">
        <v>2.0329999999999999</v>
      </c>
      <c r="G67" s="36">
        <v>1.92</v>
      </c>
      <c r="H67" s="36">
        <v>1.7989999999999999</v>
      </c>
      <c r="I67" s="36">
        <v>1.8560000000000001</v>
      </c>
      <c r="J67" s="36">
        <v>1.9139999999999999</v>
      </c>
      <c r="K67" s="36">
        <v>2.0249999999999999</v>
      </c>
      <c r="L67" s="36">
        <v>2.1280000000000001</v>
      </c>
      <c r="M67" s="36">
        <v>2.1520000000000001</v>
      </c>
      <c r="N67" s="36">
        <v>2.1800000000000002</v>
      </c>
      <c r="O67" s="36">
        <v>2.2130000000000001</v>
      </c>
      <c r="P67" s="36">
        <v>2.2469999999999999</v>
      </c>
      <c r="Q67" s="36">
        <v>2.3119999999999998</v>
      </c>
      <c r="R67" s="36">
        <v>2.3929999999999998</v>
      </c>
      <c r="S67" s="36">
        <v>2.4940000000000002</v>
      </c>
      <c r="T67" s="36">
        <v>2.5979999999999999</v>
      </c>
      <c r="U67" s="36">
        <v>2.661</v>
      </c>
      <c r="V67" s="36">
        <v>2.7040000000000002</v>
      </c>
      <c r="W67" s="36">
        <v>2.7429999999999999</v>
      </c>
      <c r="X67" s="36">
        <v>2.8159999999999998</v>
      </c>
      <c r="Y67" s="36">
        <v>2.8879999999999999</v>
      </c>
      <c r="Z67" s="36">
        <v>2.9449999999999998</v>
      </c>
      <c r="AA67" s="36">
        <v>2.9980000000000002</v>
      </c>
      <c r="AB67" s="36">
        <v>3.0369999999999999</v>
      </c>
      <c r="AC67" s="36">
        <v>3.0739999999999998</v>
      </c>
      <c r="AD67" s="36">
        <v>3.0950000000000002</v>
      </c>
      <c r="AE67" s="36">
        <v>3.1059999999999999</v>
      </c>
      <c r="AF67" s="36">
        <v>3.125</v>
      </c>
      <c r="AG67" s="36">
        <v>3.15</v>
      </c>
      <c r="AH67" s="36">
        <v>3.1930000000000001</v>
      </c>
      <c r="AI67" s="36">
        <v>3.24</v>
      </c>
      <c r="AJ67" s="36">
        <v>3.2909999999999999</v>
      </c>
      <c r="AK67" s="36">
        <v>3.35</v>
      </c>
      <c r="AL67" s="36">
        <v>3.4089999999999998</v>
      </c>
      <c r="AM67" s="36">
        <v>3.47</v>
      </c>
      <c r="AN67" s="36">
        <v>3.536</v>
      </c>
      <c r="AO67" s="36">
        <v>3.6070000000000002</v>
      </c>
      <c r="AP67" s="37">
        <v>3.6829999999999998</v>
      </c>
      <c r="AQ67" s="37">
        <v>3.76</v>
      </c>
      <c r="AR67" s="37">
        <v>3.84</v>
      </c>
      <c r="AS67" s="37">
        <v>3.92</v>
      </c>
      <c r="AT67" s="37">
        <v>4.0030000000000001</v>
      </c>
      <c r="AU67" s="37">
        <v>4.085</v>
      </c>
      <c r="AV67" s="37">
        <v>4.1669999999999998</v>
      </c>
      <c r="AW67" s="37">
        <v>4.25</v>
      </c>
      <c r="AX67" s="37">
        <v>4.335</v>
      </c>
      <c r="AY67" s="37">
        <v>4.4210000000000003</v>
      </c>
      <c r="AZ67" s="37">
        <v>4.51</v>
      </c>
      <c r="BA67" s="37">
        <v>4.6020000000000003</v>
      </c>
      <c r="BB67" s="37">
        <v>4.6920000000000002</v>
      </c>
      <c r="BC67" s="37">
        <v>4.78</v>
      </c>
      <c r="BD67" s="37">
        <v>4.8689999999999998</v>
      </c>
      <c r="BE67" s="37">
        <v>4.9539999999999997</v>
      </c>
      <c r="BF67" s="37">
        <v>5.0389999999999997</v>
      </c>
      <c r="BG67" s="37">
        <v>5.1239999999999997</v>
      </c>
      <c r="BH67" s="37">
        <v>5.2080000000000002</v>
      </c>
      <c r="BI67" s="37">
        <v>5.2930000000000001</v>
      </c>
      <c r="BJ67" s="37">
        <v>5.3760000000000003</v>
      </c>
      <c r="BK67" s="37">
        <v>5.4569999999999999</v>
      </c>
      <c r="BL67" s="37">
        <v>5.5380000000000003</v>
      </c>
      <c r="BM67" s="37">
        <v>5.617</v>
      </c>
      <c r="BN67" s="37">
        <v>5.6959999999999997</v>
      </c>
    </row>
    <row r="68" spans="1:66" x14ac:dyDescent="0.2">
      <c r="A68" s="2" t="s">
        <v>335</v>
      </c>
      <c r="B68" s="2" t="s">
        <v>336</v>
      </c>
      <c r="C68" s="11" t="s">
        <v>79</v>
      </c>
      <c r="D68" s="12" t="s">
        <v>697</v>
      </c>
      <c r="E68" s="35">
        <v>1.01654699486398</v>
      </c>
      <c r="F68" s="36">
        <v>1.569</v>
      </c>
      <c r="G68" s="36">
        <v>1.5609999999999999</v>
      </c>
      <c r="H68" s="36">
        <v>1.5329999999999999</v>
      </c>
      <c r="I68" s="36">
        <v>1.494</v>
      </c>
      <c r="J68" s="36">
        <v>1.4630000000000001</v>
      </c>
      <c r="K68" s="36">
        <v>1.4370000000000001</v>
      </c>
      <c r="L68" s="36">
        <v>1.4159999999999999</v>
      </c>
      <c r="M68" s="36">
        <v>1.4</v>
      </c>
      <c r="N68" s="36">
        <v>1.3859999999999999</v>
      </c>
      <c r="O68" s="36">
        <v>1.39</v>
      </c>
      <c r="P68" s="36">
        <v>1.397</v>
      </c>
      <c r="Q68" s="36">
        <v>1.3879999999999999</v>
      </c>
      <c r="R68" s="36">
        <v>1.379</v>
      </c>
      <c r="S68" s="36">
        <v>1.371</v>
      </c>
      <c r="T68" s="36">
        <v>1.363</v>
      </c>
      <c r="U68" s="36">
        <v>1.355</v>
      </c>
      <c r="V68" s="36">
        <v>1.347</v>
      </c>
      <c r="W68" s="36">
        <v>1.341</v>
      </c>
      <c r="X68" s="36">
        <v>1.337</v>
      </c>
      <c r="Y68" s="36">
        <v>1.335</v>
      </c>
      <c r="Z68" s="36">
        <v>1.331</v>
      </c>
      <c r="AA68" s="36">
        <v>1.327</v>
      </c>
      <c r="AB68" s="36">
        <v>1.323</v>
      </c>
      <c r="AC68" s="36">
        <v>1.3180000000000001</v>
      </c>
      <c r="AD68" s="36">
        <v>1.3149999999999999</v>
      </c>
      <c r="AE68" s="36">
        <v>1.3149999999999999</v>
      </c>
      <c r="AF68" s="36">
        <v>1.3160000000000001</v>
      </c>
      <c r="AG68" s="36">
        <v>1.3169999999999999</v>
      </c>
      <c r="AH68" s="36">
        <v>1.3220000000000001</v>
      </c>
      <c r="AI68" s="36">
        <v>1.327</v>
      </c>
      <c r="AJ68" s="36">
        <v>1.33</v>
      </c>
      <c r="AK68" s="36">
        <v>1.331</v>
      </c>
      <c r="AL68" s="36">
        <v>1.349</v>
      </c>
      <c r="AM68" s="36">
        <v>1.37</v>
      </c>
      <c r="AN68" s="36">
        <v>1.3720000000000001</v>
      </c>
      <c r="AO68" s="36">
        <v>1.3660000000000001</v>
      </c>
      <c r="AP68" s="37">
        <v>1.353</v>
      </c>
      <c r="AQ68" s="37">
        <v>1.3460000000000001</v>
      </c>
      <c r="AR68" s="37">
        <v>1.339</v>
      </c>
      <c r="AS68" s="37">
        <v>1.331</v>
      </c>
      <c r="AT68" s="37">
        <v>1.3240000000000001</v>
      </c>
      <c r="AU68" s="37">
        <v>1.3169999999999999</v>
      </c>
      <c r="AV68" s="37">
        <v>1.31</v>
      </c>
      <c r="AW68" s="37">
        <v>1.3029999999999999</v>
      </c>
      <c r="AX68" s="37">
        <v>1.296</v>
      </c>
      <c r="AY68" s="37">
        <v>1.2889999999999999</v>
      </c>
      <c r="AZ68" s="37">
        <v>1.2829999999999999</v>
      </c>
      <c r="BA68" s="37">
        <v>1.276</v>
      </c>
      <c r="BB68" s="37">
        <v>1.27</v>
      </c>
      <c r="BC68" s="37">
        <v>1.2629999999999999</v>
      </c>
      <c r="BD68" s="37">
        <v>1.2569999999999999</v>
      </c>
      <c r="BE68" s="37">
        <v>1.2509999999999999</v>
      </c>
      <c r="BF68" s="37">
        <v>1.2450000000000001</v>
      </c>
      <c r="BG68" s="37">
        <v>1.2390000000000001</v>
      </c>
      <c r="BH68" s="37">
        <v>1.232</v>
      </c>
      <c r="BI68" s="37">
        <v>1.226</v>
      </c>
      <c r="BJ68" s="37">
        <v>1.22</v>
      </c>
      <c r="BK68" s="37">
        <v>1.2130000000000001</v>
      </c>
      <c r="BL68" s="37">
        <v>1.2070000000000001</v>
      </c>
      <c r="BM68" s="37">
        <v>1.2</v>
      </c>
      <c r="BN68" s="37">
        <v>1.194</v>
      </c>
    </row>
    <row r="69" spans="1:66" x14ac:dyDescent="0.2">
      <c r="A69" s="2" t="s">
        <v>337</v>
      </c>
      <c r="B69" s="2" t="s">
        <v>338</v>
      </c>
      <c r="C69" s="11" t="s">
        <v>210</v>
      </c>
      <c r="D69" s="12" t="s">
        <v>697</v>
      </c>
      <c r="E69" s="35">
        <v>1</v>
      </c>
      <c r="F69" s="36">
        <v>0.872</v>
      </c>
      <c r="G69" s="36">
        <v>0.90800000000000003</v>
      </c>
      <c r="H69" s="36">
        <v>0.94299999999999995</v>
      </c>
      <c r="I69" s="36">
        <v>0.97099999999999997</v>
      </c>
      <c r="J69" s="36">
        <v>0.97099999999999997</v>
      </c>
      <c r="K69" s="36">
        <v>0.97</v>
      </c>
      <c r="L69" s="36">
        <v>0.99</v>
      </c>
      <c r="M69" s="36">
        <v>1.0069999999999999</v>
      </c>
      <c r="N69" s="36">
        <v>1.02</v>
      </c>
      <c r="O69" s="36">
        <v>1.0309999999999999</v>
      </c>
      <c r="P69" s="36">
        <v>1.0409999999999999</v>
      </c>
      <c r="Q69" s="36">
        <v>1.0509999999999999</v>
      </c>
      <c r="R69" s="36">
        <v>1.0589999999999999</v>
      </c>
      <c r="S69" s="36">
        <v>1.0669999999999999</v>
      </c>
      <c r="T69" s="36">
        <v>1.073</v>
      </c>
      <c r="U69" s="36">
        <v>1.079</v>
      </c>
      <c r="V69" s="36">
        <v>1.0840000000000001</v>
      </c>
      <c r="W69" s="36">
        <v>1.091</v>
      </c>
      <c r="X69" s="36">
        <v>1.0980000000000001</v>
      </c>
      <c r="Y69" s="36">
        <v>1.105</v>
      </c>
      <c r="Z69" s="36">
        <v>1.1120000000000001</v>
      </c>
      <c r="AA69" s="36">
        <v>1.1180000000000001</v>
      </c>
      <c r="AB69" s="36">
        <v>1.1240000000000001</v>
      </c>
      <c r="AC69" s="36">
        <v>1.1299999999999999</v>
      </c>
      <c r="AD69" s="36">
        <v>1.1359999999999999</v>
      </c>
      <c r="AE69" s="36">
        <v>1.143</v>
      </c>
      <c r="AF69" s="36">
        <v>1.1499999999999999</v>
      </c>
      <c r="AG69" s="36">
        <v>1.1579999999999999</v>
      </c>
      <c r="AH69" s="36">
        <v>1.169</v>
      </c>
      <c r="AI69" s="36">
        <v>1.18</v>
      </c>
      <c r="AJ69" s="36">
        <v>1.1930000000000001</v>
      </c>
      <c r="AK69" s="36">
        <v>1.2070000000000001</v>
      </c>
      <c r="AL69" s="36">
        <v>1.2190000000000001</v>
      </c>
      <c r="AM69" s="36">
        <v>1.2310000000000001</v>
      </c>
      <c r="AN69" s="36">
        <v>1.2430000000000001</v>
      </c>
      <c r="AO69" s="36">
        <v>1.256</v>
      </c>
      <c r="AP69" s="37">
        <v>1.27</v>
      </c>
      <c r="AQ69" s="37">
        <v>1.2829999999999999</v>
      </c>
      <c r="AR69" s="37">
        <v>1.296</v>
      </c>
      <c r="AS69" s="37">
        <v>1.3080000000000001</v>
      </c>
      <c r="AT69" s="37">
        <v>1.321</v>
      </c>
      <c r="AU69" s="37">
        <v>1.333</v>
      </c>
      <c r="AV69" s="37">
        <v>1.345</v>
      </c>
      <c r="AW69" s="37">
        <v>1.357</v>
      </c>
      <c r="AX69" s="37">
        <v>1.3680000000000001</v>
      </c>
      <c r="AY69" s="37">
        <v>1.379</v>
      </c>
      <c r="AZ69" s="37">
        <v>1.39</v>
      </c>
      <c r="BA69" s="37">
        <v>1.4</v>
      </c>
      <c r="BB69" s="37">
        <v>1.411</v>
      </c>
      <c r="BC69" s="37">
        <v>1.42</v>
      </c>
      <c r="BD69" s="37">
        <v>1.43</v>
      </c>
      <c r="BE69" s="37">
        <v>1.4390000000000001</v>
      </c>
      <c r="BF69" s="37">
        <v>1.448</v>
      </c>
      <c r="BG69" s="37">
        <v>1.456</v>
      </c>
      <c r="BH69" s="37">
        <v>1.464</v>
      </c>
      <c r="BI69" s="37">
        <v>1.472</v>
      </c>
      <c r="BJ69" s="37">
        <v>1.48</v>
      </c>
      <c r="BK69" s="37">
        <v>1.486</v>
      </c>
      <c r="BL69" s="37">
        <v>1.4930000000000001</v>
      </c>
      <c r="BM69" s="37">
        <v>1.4990000000000001</v>
      </c>
      <c r="BN69" s="37">
        <v>1.5049999999999999</v>
      </c>
    </row>
    <row r="70" spans="1:66" x14ac:dyDescent="0.2">
      <c r="A70" s="2" t="s">
        <v>339</v>
      </c>
      <c r="B70" s="2" t="s">
        <v>340</v>
      </c>
      <c r="C70" s="11" t="s">
        <v>75</v>
      </c>
      <c r="D70" s="12" t="s">
        <v>697</v>
      </c>
      <c r="E70" s="35">
        <v>1.0000000036908001</v>
      </c>
      <c r="F70" s="36">
        <v>47.61</v>
      </c>
      <c r="G70" s="36">
        <v>49.716999999999999</v>
      </c>
      <c r="H70" s="36">
        <v>51.853999999999999</v>
      </c>
      <c r="I70" s="36">
        <v>53.709000000000003</v>
      </c>
      <c r="J70" s="36">
        <v>55.612000000000002</v>
      </c>
      <c r="K70" s="36">
        <v>57.536999999999999</v>
      </c>
      <c r="L70" s="36">
        <v>59.468000000000004</v>
      </c>
      <c r="M70" s="36">
        <v>61.405000000000001</v>
      </c>
      <c r="N70" s="36">
        <v>63.363999999999997</v>
      </c>
      <c r="O70" s="36">
        <v>65.375</v>
      </c>
      <c r="P70" s="36">
        <v>67.411000000000001</v>
      </c>
      <c r="Q70" s="36">
        <v>69.488</v>
      </c>
      <c r="R70" s="36">
        <v>71.635999999999996</v>
      </c>
      <c r="S70" s="36">
        <v>73.832999999999998</v>
      </c>
      <c r="T70" s="36">
        <v>76.076999999999998</v>
      </c>
      <c r="U70" s="36">
        <v>78.367000000000004</v>
      </c>
      <c r="V70" s="36">
        <v>80.703000000000003</v>
      </c>
      <c r="W70" s="36">
        <v>83.102999999999994</v>
      </c>
      <c r="X70" s="36">
        <v>85.543999999999997</v>
      </c>
      <c r="Y70" s="36">
        <v>88.007999999999996</v>
      </c>
      <c r="Z70" s="36">
        <v>90.539000000000001</v>
      </c>
      <c r="AA70" s="36">
        <v>93.15</v>
      </c>
      <c r="AB70" s="36">
        <v>95.799000000000007</v>
      </c>
      <c r="AC70" s="36">
        <v>98.438999999999993</v>
      </c>
      <c r="AD70" s="36">
        <v>101.116</v>
      </c>
      <c r="AE70" s="36">
        <v>103.867</v>
      </c>
      <c r="AF70" s="36">
        <v>106.718</v>
      </c>
      <c r="AG70" s="36">
        <v>109.666</v>
      </c>
      <c r="AH70" s="36">
        <v>112.664</v>
      </c>
      <c r="AI70" s="36">
        <v>115.73699999999999</v>
      </c>
      <c r="AJ70" s="36">
        <v>118.91800000000001</v>
      </c>
      <c r="AK70" s="36">
        <v>122.139</v>
      </c>
      <c r="AL70" s="36">
        <v>125.384</v>
      </c>
      <c r="AM70" s="36">
        <v>128.69200000000001</v>
      </c>
      <c r="AN70" s="36">
        <v>132.06</v>
      </c>
      <c r="AO70" s="36">
        <v>135.47200000000001</v>
      </c>
      <c r="AP70" s="37">
        <v>138.90199999999999</v>
      </c>
      <c r="AQ70" s="37">
        <v>142.36500000000001</v>
      </c>
      <c r="AR70" s="37">
        <v>145.84100000000001</v>
      </c>
      <c r="AS70" s="37">
        <v>149.33600000000001</v>
      </c>
      <c r="AT70" s="37">
        <v>152.85499999999999</v>
      </c>
      <c r="AU70" s="37">
        <v>156.38200000000001</v>
      </c>
      <c r="AV70" s="37">
        <v>159.92400000000001</v>
      </c>
      <c r="AW70" s="37">
        <v>163.453</v>
      </c>
      <c r="AX70" s="37">
        <v>166.97900000000001</v>
      </c>
      <c r="AY70" s="37">
        <v>170.53299999999999</v>
      </c>
      <c r="AZ70" s="37">
        <v>174.09800000000001</v>
      </c>
      <c r="BA70" s="37">
        <v>177.661</v>
      </c>
      <c r="BB70" s="37">
        <v>181.23599999999999</v>
      </c>
      <c r="BC70" s="37">
        <v>184.83500000000001</v>
      </c>
      <c r="BD70" s="37">
        <v>188.45099999999999</v>
      </c>
      <c r="BE70" s="37">
        <v>192.06899999999999</v>
      </c>
      <c r="BF70" s="37">
        <v>195.69499999999999</v>
      </c>
      <c r="BG70" s="37">
        <v>199.34800000000001</v>
      </c>
      <c r="BH70" s="37">
        <v>203.01400000000001</v>
      </c>
      <c r="BI70" s="37">
        <v>206.67400000000001</v>
      </c>
      <c r="BJ70" s="37">
        <v>210.33799999999999</v>
      </c>
      <c r="BK70" s="37">
        <v>214.024</v>
      </c>
      <c r="BL70" s="37">
        <v>217.71</v>
      </c>
      <c r="BM70" s="37">
        <v>221.37700000000001</v>
      </c>
      <c r="BN70" s="37">
        <v>225.02199999999999</v>
      </c>
    </row>
    <row r="71" spans="1:66" x14ac:dyDescent="0.2">
      <c r="A71" s="2" t="s">
        <v>342</v>
      </c>
      <c r="B71" s="2" t="s">
        <v>343</v>
      </c>
      <c r="C71" s="11" t="s">
        <v>79</v>
      </c>
      <c r="D71" s="12" t="s">
        <v>697</v>
      </c>
      <c r="E71" s="35">
        <v>0.980330883994179</v>
      </c>
      <c r="F71" s="36">
        <v>4.8000000000000001E-2</v>
      </c>
      <c r="G71" s="36">
        <v>4.7E-2</v>
      </c>
      <c r="H71" s="36">
        <v>4.7E-2</v>
      </c>
      <c r="I71" s="36">
        <v>4.5999999999999999E-2</v>
      </c>
      <c r="J71" s="36">
        <v>4.4999999999999998E-2</v>
      </c>
      <c r="K71" s="36">
        <v>4.3999999999999997E-2</v>
      </c>
      <c r="L71" s="36">
        <v>4.3999999999999997E-2</v>
      </c>
      <c r="M71" s="36">
        <v>4.3999999999999997E-2</v>
      </c>
      <c r="N71" s="36">
        <v>4.4999999999999998E-2</v>
      </c>
      <c r="O71" s="36">
        <v>4.4999999999999998E-2</v>
      </c>
      <c r="P71" s="36">
        <v>4.5999999999999999E-2</v>
      </c>
      <c r="Q71" s="36">
        <v>4.7E-2</v>
      </c>
      <c r="R71" s="36">
        <v>4.7E-2</v>
      </c>
      <c r="S71" s="36">
        <v>4.8000000000000001E-2</v>
      </c>
      <c r="T71" s="36">
        <v>4.8000000000000001E-2</v>
      </c>
      <c r="U71" s="36">
        <v>4.8000000000000001E-2</v>
      </c>
      <c r="V71" s="36">
        <v>4.8000000000000001E-2</v>
      </c>
      <c r="W71" s="36">
        <v>4.8000000000000001E-2</v>
      </c>
      <c r="X71" s="36">
        <v>4.9000000000000002E-2</v>
      </c>
      <c r="Y71" s="36">
        <v>4.9000000000000002E-2</v>
      </c>
      <c r="Z71" s="36">
        <v>4.9000000000000002E-2</v>
      </c>
      <c r="AA71" s="36">
        <v>4.9000000000000002E-2</v>
      </c>
      <c r="AB71" s="36">
        <v>4.8000000000000001E-2</v>
      </c>
      <c r="AC71" s="36">
        <v>4.8000000000000001E-2</v>
      </c>
      <c r="AD71" s="36">
        <v>4.8000000000000001E-2</v>
      </c>
      <c r="AE71" s="36">
        <v>4.9000000000000002E-2</v>
      </c>
      <c r="AF71" s="36">
        <v>4.9000000000000002E-2</v>
      </c>
      <c r="AG71" s="36">
        <v>0.05</v>
      </c>
      <c r="AH71" s="36">
        <v>5.0999999999999997E-2</v>
      </c>
      <c r="AI71" s="36">
        <v>5.1999999999999998E-2</v>
      </c>
      <c r="AJ71" s="36">
        <v>5.2999999999999999E-2</v>
      </c>
      <c r="AK71" s="36">
        <v>5.2999999999999999E-2</v>
      </c>
      <c r="AL71" s="36">
        <v>5.3999999999999999E-2</v>
      </c>
      <c r="AM71" s="36">
        <v>5.3999999999999999E-2</v>
      </c>
      <c r="AN71" s="36">
        <v>5.5E-2</v>
      </c>
      <c r="AO71" s="36">
        <v>5.5E-2</v>
      </c>
      <c r="AP71" s="37">
        <v>5.5E-2</v>
      </c>
      <c r="AQ71" s="37">
        <v>5.6000000000000001E-2</v>
      </c>
      <c r="AR71" s="37">
        <v>5.6000000000000001E-2</v>
      </c>
      <c r="AS71" s="37">
        <v>5.7000000000000002E-2</v>
      </c>
      <c r="AT71" s="37">
        <v>5.7000000000000002E-2</v>
      </c>
      <c r="AU71" s="37">
        <v>5.7000000000000002E-2</v>
      </c>
      <c r="AV71" s="37">
        <v>5.8000000000000003E-2</v>
      </c>
      <c r="AW71" s="37">
        <v>5.8000000000000003E-2</v>
      </c>
      <c r="AX71" s="37">
        <v>5.8000000000000003E-2</v>
      </c>
      <c r="AY71" s="37">
        <v>5.8999999999999997E-2</v>
      </c>
      <c r="AZ71" s="37">
        <v>5.8999999999999997E-2</v>
      </c>
      <c r="BA71" s="37">
        <v>5.8999999999999997E-2</v>
      </c>
      <c r="BB71" s="37">
        <v>5.8999999999999997E-2</v>
      </c>
      <c r="BC71" s="37">
        <v>0.06</v>
      </c>
      <c r="BD71" s="37">
        <v>0.06</v>
      </c>
      <c r="BE71" s="37">
        <v>0.06</v>
      </c>
      <c r="BF71" s="37">
        <v>0.06</v>
      </c>
      <c r="BG71" s="37">
        <v>0.06</v>
      </c>
      <c r="BH71" s="37">
        <v>6.0999999999999999E-2</v>
      </c>
      <c r="BI71" s="37">
        <v>6.0999999999999999E-2</v>
      </c>
      <c r="BJ71" s="37">
        <v>6.0999999999999999E-2</v>
      </c>
      <c r="BK71" s="37">
        <v>6.0999999999999999E-2</v>
      </c>
      <c r="BL71" s="37">
        <v>6.0999999999999999E-2</v>
      </c>
      <c r="BM71" s="37">
        <v>6.2E-2</v>
      </c>
      <c r="BN71" s="37">
        <v>6.2E-2</v>
      </c>
    </row>
    <row r="72" spans="1:66" x14ac:dyDescent="0.2">
      <c r="A72" s="2" t="s">
        <v>345</v>
      </c>
      <c r="B72" s="2" t="s">
        <v>346</v>
      </c>
      <c r="C72" s="11" t="s">
        <v>82</v>
      </c>
      <c r="D72" s="12" t="s">
        <v>697</v>
      </c>
      <c r="E72" s="35">
        <v>0.99999946418304797</v>
      </c>
      <c r="F72" s="36">
        <v>0.77300000000000002</v>
      </c>
      <c r="G72" s="36">
        <v>0.78</v>
      </c>
      <c r="H72" s="36">
        <v>0.78500000000000003</v>
      </c>
      <c r="I72" s="36">
        <v>0.79</v>
      </c>
      <c r="J72" s="36">
        <v>0.79500000000000004</v>
      </c>
      <c r="K72" s="36">
        <v>0.79900000000000004</v>
      </c>
      <c r="L72" s="36">
        <v>0.80400000000000005</v>
      </c>
      <c r="M72" s="36">
        <v>0.81200000000000006</v>
      </c>
      <c r="N72" s="36">
        <v>0.82199999999999995</v>
      </c>
      <c r="O72" s="36">
        <v>0.83199999999999996</v>
      </c>
      <c r="P72" s="36">
        <v>0.84099999999999997</v>
      </c>
      <c r="Q72" s="36">
        <v>0.85</v>
      </c>
      <c r="R72" s="36">
        <v>0.85799999999999998</v>
      </c>
      <c r="S72" s="36">
        <v>0.86599999999999999</v>
      </c>
      <c r="T72" s="36">
        <v>0.874</v>
      </c>
      <c r="U72" s="36">
        <v>0.88200000000000001</v>
      </c>
      <c r="V72" s="36">
        <v>0.89</v>
      </c>
      <c r="W72" s="36">
        <v>0.89800000000000002</v>
      </c>
      <c r="X72" s="36">
        <v>0.90300000000000002</v>
      </c>
      <c r="Y72" s="36">
        <v>0.90700000000000003</v>
      </c>
      <c r="Z72" s="36">
        <v>0.91</v>
      </c>
      <c r="AA72" s="36">
        <v>0.91300000000000003</v>
      </c>
      <c r="AB72" s="36">
        <v>0.91500000000000004</v>
      </c>
      <c r="AC72" s="36">
        <v>0.91600000000000004</v>
      </c>
      <c r="AD72" s="36">
        <v>0.91800000000000004</v>
      </c>
      <c r="AE72" s="36">
        <v>0.91900000000000004</v>
      </c>
      <c r="AF72" s="36">
        <v>0.91900000000000004</v>
      </c>
      <c r="AG72" s="36">
        <v>0.91900000000000004</v>
      </c>
      <c r="AH72" s="36">
        <v>0.91700000000000004</v>
      </c>
      <c r="AI72" s="36">
        <v>0.91500000000000004</v>
      </c>
      <c r="AJ72" s="36">
        <v>0.91500000000000004</v>
      </c>
      <c r="AK72" s="36">
        <v>0.91700000000000004</v>
      </c>
      <c r="AL72" s="36">
        <v>0.91900000000000004</v>
      </c>
      <c r="AM72" s="36">
        <v>0.92400000000000004</v>
      </c>
      <c r="AN72" s="36">
        <v>0.92900000000000005</v>
      </c>
      <c r="AO72" s="36">
        <v>0.93300000000000005</v>
      </c>
      <c r="AP72" s="37">
        <v>0.93700000000000006</v>
      </c>
      <c r="AQ72" s="37">
        <v>0.94099999999999995</v>
      </c>
      <c r="AR72" s="37">
        <v>0.94499999999999995</v>
      </c>
      <c r="AS72" s="37">
        <v>0.94899999999999995</v>
      </c>
      <c r="AT72" s="37">
        <v>0.95299999999999996</v>
      </c>
      <c r="AU72" s="37">
        <v>0.95699999999999996</v>
      </c>
      <c r="AV72" s="37">
        <v>0.96</v>
      </c>
      <c r="AW72" s="37">
        <v>0.96299999999999997</v>
      </c>
      <c r="AX72" s="37">
        <v>0.96699999999999997</v>
      </c>
      <c r="AY72" s="37">
        <v>0.97</v>
      </c>
      <c r="AZ72" s="37">
        <v>0.97299999999999998</v>
      </c>
      <c r="BA72" s="37">
        <v>0.97599999999999998</v>
      </c>
      <c r="BB72" s="37">
        <v>0.97899999999999998</v>
      </c>
      <c r="BC72" s="37">
        <v>0.98099999999999998</v>
      </c>
      <c r="BD72" s="37">
        <v>0.98399999999999999</v>
      </c>
      <c r="BE72" s="37">
        <v>0.98599999999999999</v>
      </c>
      <c r="BF72" s="37">
        <v>0.98899999999999999</v>
      </c>
      <c r="BG72" s="37">
        <v>0.99099999999999999</v>
      </c>
      <c r="BH72" s="37">
        <v>0.99299999999999999</v>
      </c>
      <c r="BI72" s="37">
        <v>0.99399999999999999</v>
      </c>
      <c r="BJ72" s="37">
        <v>0.996</v>
      </c>
      <c r="BK72" s="37">
        <v>0.997</v>
      </c>
      <c r="BL72" s="37">
        <v>0.999</v>
      </c>
      <c r="BM72" s="37">
        <v>1</v>
      </c>
      <c r="BN72" s="37">
        <v>1</v>
      </c>
    </row>
    <row r="73" spans="1:66" x14ac:dyDescent="0.2">
      <c r="A73" s="2" t="s">
        <v>347</v>
      </c>
      <c r="B73" s="2" t="s">
        <v>348</v>
      </c>
      <c r="C73" s="11" t="s">
        <v>79</v>
      </c>
      <c r="D73" s="12" t="s">
        <v>697</v>
      </c>
      <c r="E73" s="35">
        <v>1.00410904251654</v>
      </c>
      <c r="F73" s="36">
        <v>4.9859999999999998</v>
      </c>
      <c r="G73" s="36">
        <v>5.0140000000000002</v>
      </c>
      <c r="H73" s="36">
        <v>5.0419999999999998</v>
      </c>
      <c r="I73" s="36">
        <v>5.0659999999999998</v>
      </c>
      <c r="J73" s="36">
        <v>5.0880000000000001</v>
      </c>
      <c r="K73" s="36">
        <v>5.1079999999999997</v>
      </c>
      <c r="L73" s="36">
        <v>5.125</v>
      </c>
      <c r="M73" s="36">
        <v>5.14</v>
      </c>
      <c r="N73" s="36">
        <v>5.1529999999999996</v>
      </c>
      <c r="O73" s="36">
        <v>5.165</v>
      </c>
      <c r="P73" s="36">
        <v>5.1760000000000002</v>
      </c>
      <c r="Q73" s="36">
        <v>5.1879999999999997</v>
      </c>
      <c r="R73" s="36">
        <v>5.2009999999999996</v>
      </c>
      <c r="S73" s="36">
        <v>5.2130000000000001</v>
      </c>
      <c r="T73" s="36">
        <v>5.2279999999999998</v>
      </c>
      <c r="U73" s="36">
        <v>5.2460000000000004</v>
      </c>
      <c r="V73" s="36">
        <v>5.266</v>
      </c>
      <c r="W73" s="36">
        <v>5.2889999999999997</v>
      </c>
      <c r="X73" s="36">
        <v>5.3129999999999997</v>
      </c>
      <c r="Y73" s="36">
        <v>5.3390000000000004</v>
      </c>
      <c r="Z73" s="36">
        <v>5.3630000000000004</v>
      </c>
      <c r="AA73" s="36">
        <v>5.3879999999999999</v>
      </c>
      <c r="AB73" s="36">
        <v>5.4139999999999997</v>
      </c>
      <c r="AC73" s="36">
        <v>5.4390000000000001</v>
      </c>
      <c r="AD73" s="36">
        <v>5.4619999999999997</v>
      </c>
      <c r="AE73" s="36">
        <v>5.48</v>
      </c>
      <c r="AF73" s="36">
        <v>5.4950000000000001</v>
      </c>
      <c r="AG73" s="36">
        <v>5.508</v>
      </c>
      <c r="AH73" s="36">
        <v>5.516</v>
      </c>
      <c r="AI73" s="36">
        <v>5.5220000000000002</v>
      </c>
      <c r="AJ73" s="36">
        <v>5.53</v>
      </c>
      <c r="AK73" s="36">
        <v>5.5410000000000004</v>
      </c>
      <c r="AL73" s="36">
        <v>5.556</v>
      </c>
      <c r="AM73" s="36">
        <v>5.5839999999999996</v>
      </c>
      <c r="AN73" s="36">
        <v>5.62</v>
      </c>
      <c r="AO73" s="36">
        <v>5.6459999999999999</v>
      </c>
      <c r="AP73" s="37">
        <v>5.6449999999999996</v>
      </c>
      <c r="AQ73" s="37">
        <v>5.6390000000000002</v>
      </c>
      <c r="AR73" s="37">
        <v>5.6319999999999997</v>
      </c>
      <c r="AS73" s="37">
        <v>5.6239999999999997</v>
      </c>
      <c r="AT73" s="37">
        <v>5.6150000000000002</v>
      </c>
      <c r="AU73" s="37">
        <v>5.6059999999999999</v>
      </c>
      <c r="AV73" s="37">
        <v>5.5960000000000001</v>
      </c>
      <c r="AW73" s="37">
        <v>5.585</v>
      </c>
      <c r="AX73" s="37">
        <v>5.5750000000000002</v>
      </c>
      <c r="AY73" s="37">
        <v>5.5629999999999997</v>
      </c>
      <c r="AZ73" s="37">
        <v>5.5519999999999996</v>
      </c>
      <c r="BA73" s="37">
        <v>5.54</v>
      </c>
      <c r="BB73" s="37">
        <v>5.5279999999999996</v>
      </c>
      <c r="BC73" s="37">
        <v>5.5149999999999997</v>
      </c>
      <c r="BD73" s="37">
        <v>5.5030000000000001</v>
      </c>
      <c r="BE73" s="37">
        <v>5.4909999999999997</v>
      </c>
      <c r="BF73" s="37">
        <v>5.4779999999999998</v>
      </c>
      <c r="BG73" s="37">
        <v>5.4660000000000002</v>
      </c>
      <c r="BH73" s="37">
        <v>5.4530000000000003</v>
      </c>
      <c r="BI73" s="37">
        <v>5.4409999999999998</v>
      </c>
      <c r="BJ73" s="37">
        <v>5.4279999999999999</v>
      </c>
      <c r="BK73" s="37">
        <v>5.415</v>
      </c>
      <c r="BL73" s="37">
        <v>5.4009999999999998</v>
      </c>
      <c r="BM73" s="37">
        <v>5.3879999999999999</v>
      </c>
      <c r="BN73" s="37">
        <v>5.3739999999999997</v>
      </c>
    </row>
    <row r="74" spans="1:66" x14ac:dyDescent="0.2">
      <c r="A74" s="2" t="s">
        <v>349</v>
      </c>
      <c r="B74" s="2" t="s">
        <v>350</v>
      </c>
      <c r="C74" s="11" t="s">
        <v>79</v>
      </c>
      <c r="D74" s="12" t="s">
        <v>697</v>
      </c>
      <c r="E74" s="35">
        <v>1.0310503753934399</v>
      </c>
      <c r="F74" s="36">
        <v>58.261000000000003</v>
      </c>
      <c r="G74" s="36">
        <v>58.554000000000002</v>
      </c>
      <c r="H74" s="36">
        <v>58.847000000000001</v>
      </c>
      <c r="I74" s="36">
        <v>59.103000000000002</v>
      </c>
      <c r="J74" s="36">
        <v>59.325000000000003</v>
      </c>
      <c r="K74" s="36">
        <v>59.540999999999997</v>
      </c>
      <c r="L74" s="36">
        <v>59.755000000000003</v>
      </c>
      <c r="M74" s="36">
        <v>59.968000000000004</v>
      </c>
      <c r="N74" s="36">
        <v>60.191000000000003</v>
      </c>
      <c r="O74" s="36">
        <v>60.502000000000002</v>
      </c>
      <c r="P74" s="36">
        <v>60.918999999999997</v>
      </c>
      <c r="Q74" s="36">
        <v>61.363999999999997</v>
      </c>
      <c r="R74" s="36">
        <v>61.811999999999998</v>
      </c>
      <c r="S74" s="36">
        <v>62.25</v>
      </c>
      <c r="T74" s="36">
        <v>62.707999999999998</v>
      </c>
      <c r="U74" s="36">
        <v>63.180999999999997</v>
      </c>
      <c r="V74" s="36">
        <v>63.622</v>
      </c>
      <c r="W74" s="36">
        <v>64.016999999999996</v>
      </c>
      <c r="X74" s="36">
        <v>64.375</v>
      </c>
      <c r="Y74" s="36">
        <v>64.706000000000003</v>
      </c>
      <c r="Z74" s="36">
        <v>65.025999999999996</v>
      </c>
      <c r="AA74" s="36">
        <v>65.340999999999994</v>
      </c>
      <c r="AB74" s="36">
        <v>65.658000000000001</v>
      </c>
      <c r="AC74" s="36">
        <v>65.998000000000005</v>
      </c>
      <c r="AD74" s="36">
        <v>66.311999999999998</v>
      </c>
      <c r="AE74" s="36">
        <v>66.548000000000002</v>
      </c>
      <c r="AF74" s="36">
        <v>66.724000000000004</v>
      </c>
      <c r="AG74" s="36">
        <v>66.918000000000006</v>
      </c>
      <c r="AH74" s="36">
        <v>67.158000000000001</v>
      </c>
      <c r="AI74" s="36">
        <v>67.382000000000005</v>
      </c>
      <c r="AJ74" s="36">
        <v>67.600999999999999</v>
      </c>
      <c r="AK74" s="36">
        <v>67.843000000000004</v>
      </c>
      <c r="AL74" s="36">
        <v>68.183999999999997</v>
      </c>
      <c r="AM74" s="36">
        <v>68.372</v>
      </c>
      <c r="AN74" s="36">
        <v>68.552000000000007</v>
      </c>
      <c r="AO74" s="36">
        <v>68.72</v>
      </c>
      <c r="AP74" s="37">
        <v>68.819000000000003</v>
      </c>
      <c r="AQ74" s="37">
        <v>68.914000000000001</v>
      </c>
      <c r="AR74" s="37">
        <v>69.007000000000005</v>
      </c>
      <c r="AS74" s="37">
        <v>69.099000000000004</v>
      </c>
      <c r="AT74" s="37">
        <v>69.191000000000003</v>
      </c>
      <c r="AU74" s="37">
        <v>69.281000000000006</v>
      </c>
      <c r="AV74" s="37">
        <v>69.370999999999995</v>
      </c>
      <c r="AW74" s="37">
        <v>69.460999999999999</v>
      </c>
      <c r="AX74" s="37">
        <v>69.552999999999997</v>
      </c>
      <c r="AY74" s="37">
        <v>69.644999999999996</v>
      </c>
      <c r="AZ74" s="37">
        <v>69.734999999999999</v>
      </c>
      <c r="BA74" s="37">
        <v>69.823999999999998</v>
      </c>
      <c r="BB74" s="37">
        <v>69.906999999999996</v>
      </c>
      <c r="BC74" s="37">
        <v>69.980999999999995</v>
      </c>
      <c r="BD74" s="37">
        <v>70.048000000000002</v>
      </c>
      <c r="BE74" s="37">
        <v>70.114000000000004</v>
      </c>
      <c r="BF74" s="37">
        <v>70.177000000000007</v>
      </c>
      <c r="BG74" s="37">
        <v>70.230999999999995</v>
      </c>
      <c r="BH74" s="37">
        <v>70.272999999999996</v>
      </c>
      <c r="BI74" s="37">
        <v>70.308000000000007</v>
      </c>
      <c r="BJ74" s="37">
        <v>70.332999999999998</v>
      </c>
      <c r="BK74" s="37">
        <v>70.347999999999999</v>
      </c>
      <c r="BL74" s="37">
        <v>70.353999999999999</v>
      </c>
      <c r="BM74" s="37">
        <v>70.349999999999994</v>
      </c>
      <c r="BN74" s="37">
        <v>70.337999999999994</v>
      </c>
    </row>
    <row r="75" spans="1:66" x14ac:dyDescent="0.2">
      <c r="A75" s="2" t="s">
        <v>351</v>
      </c>
      <c r="B75" s="2" t="s">
        <v>352</v>
      </c>
      <c r="C75" s="11" t="s">
        <v>79</v>
      </c>
      <c r="D75" s="12" t="s">
        <v>697</v>
      </c>
      <c r="E75" s="35">
        <v>1</v>
      </c>
      <c r="F75" s="36">
        <v>0.20399999999999999</v>
      </c>
      <c r="G75" s="36">
        <v>0.20799999999999999</v>
      </c>
      <c r="H75" s="36">
        <v>0.21199999999999999</v>
      </c>
      <c r="I75" s="36">
        <v>0.215</v>
      </c>
      <c r="J75" s="36">
        <v>0.219</v>
      </c>
      <c r="K75" s="36">
        <v>0.222</v>
      </c>
      <c r="L75" s="36">
        <v>0.22500000000000001</v>
      </c>
      <c r="M75" s="36">
        <v>0.22900000000000001</v>
      </c>
      <c r="N75" s="36">
        <v>0.23300000000000001</v>
      </c>
      <c r="O75" s="36">
        <v>0.23699999999999999</v>
      </c>
      <c r="P75" s="36">
        <v>0.24</v>
      </c>
      <c r="Q75" s="36">
        <v>0.24399999999999999</v>
      </c>
      <c r="R75" s="36">
        <v>0.248</v>
      </c>
      <c r="S75" s="36">
        <v>0.252</v>
      </c>
      <c r="T75" s="36">
        <v>0.25600000000000001</v>
      </c>
      <c r="U75" s="36">
        <v>0.26</v>
      </c>
      <c r="V75" s="36">
        <v>0.26300000000000001</v>
      </c>
      <c r="W75" s="36">
        <v>0.26600000000000001</v>
      </c>
      <c r="X75" s="36">
        <v>0.26800000000000002</v>
      </c>
      <c r="Y75" s="36">
        <v>0.26900000000000002</v>
      </c>
      <c r="Z75" s="36">
        <v>0.27100000000000002</v>
      </c>
      <c r="AA75" s="36">
        <v>0.27200000000000002</v>
      </c>
      <c r="AB75" s="36">
        <v>0.27300000000000002</v>
      </c>
      <c r="AC75" s="36">
        <v>0.27500000000000002</v>
      </c>
      <c r="AD75" s="36">
        <v>0.27600000000000002</v>
      </c>
      <c r="AE75" s="36">
        <v>0.27800000000000002</v>
      </c>
      <c r="AF75" s="36">
        <v>0.27900000000000003</v>
      </c>
      <c r="AG75" s="36">
        <v>0.28000000000000003</v>
      </c>
      <c r="AH75" s="36">
        <v>0.28000000000000003</v>
      </c>
      <c r="AI75" s="36">
        <v>0.27900000000000003</v>
      </c>
      <c r="AJ75" s="36">
        <v>0.27900000000000003</v>
      </c>
      <c r="AK75" s="36">
        <v>0.28000000000000003</v>
      </c>
      <c r="AL75" s="36">
        <v>0.28000000000000003</v>
      </c>
      <c r="AM75" s="36">
        <v>0.28100000000000003</v>
      </c>
      <c r="AN75" s="36">
        <v>0.28199999999999997</v>
      </c>
      <c r="AO75" s="36">
        <v>0.28199999999999997</v>
      </c>
      <c r="AP75" s="37">
        <v>0.28299999999999997</v>
      </c>
      <c r="AQ75" s="37">
        <v>0.28399999999999997</v>
      </c>
      <c r="AR75" s="37">
        <v>0.28399999999999997</v>
      </c>
      <c r="AS75" s="37">
        <v>0.28499999999999998</v>
      </c>
      <c r="AT75" s="37">
        <v>0.28599999999999998</v>
      </c>
      <c r="AU75" s="37">
        <v>0.28599999999999998</v>
      </c>
      <c r="AV75" s="37">
        <v>0.28699999999999998</v>
      </c>
      <c r="AW75" s="37">
        <v>0.28699999999999998</v>
      </c>
      <c r="AX75" s="37">
        <v>0.28799999999999998</v>
      </c>
      <c r="AY75" s="37">
        <v>0.28799999999999998</v>
      </c>
      <c r="AZ75" s="37">
        <v>0.28799999999999998</v>
      </c>
      <c r="BA75" s="37">
        <v>0.28899999999999998</v>
      </c>
      <c r="BB75" s="37">
        <v>0.28899999999999998</v>
      </c>
      <c r="BC75" s="37">
        <v>0.28899999999999998</v>
      </c>
      <c r="BD75" s="37">
        <v>0.28899999999999998</v>
      </c>
      <c r="BE75" s="37">
        <v>0.28899999999999998</v>
      </c>
      <c r="BF75" s="37">
        <v>0.28899999999999998</v>
      </c>
      <c r="BG75" s="37">
        <v>0.28899999999999998</v>
      </c>
      <c r="BH75" s="37">
        <v>0.28799999999999998</v>
      </c>
      <c r="BI75" s="37">
        <v>0.28799999999999998</v>
      </c>
      <c r="BJ75" s="37">
        <v>0.28799999999999998</v>
      </c>
      <c r="BK75" s="37">
        <v>0.28699999999999998</v>
      </c>
      <c r="BL75" s="37">
        <v>0.28599999999999998</v>
      </c>
      <c r="BM75" s="37">
        <v>0.28599999999999998</v>
      </c>
      <c r="BN75" s="37">
        <v>0.28499999999999998</v>
      </c>
    </row>
    <row r="76" spans="1:66" x14ac:dyDescent="0.2">
      <c r="A76" s="2" t="s">
        <v>353</v>
      </c>
      <c r="B76" s="2" t="s">
        <v>354</v>
      </c>
      <c r="C76" s="11" t="s">
        <v>82</v>
      </c>
      <c r="D76" s="12" t="s">
        <v>697</v>
      </c>
      <c r="E76" s="35">
        <v>1.00000019281721</v>
      </c>
      <c r="F76" s="36">
        <v>0.98399999999999999</v>
      </c>
      <c r="G76" s="36">
        <v>1.0109999999999999</v>
      </c>
      <c r="H76" s="36">
        <v>1.038</v>
      </c>
      <c r="I76" s="36">
        <v>1.0660000000000001</v>
      </c>
      <c r="J76" s="36">
        <v>1.095</v>
      </c>
      <c r="K76" s="36">
        <v>1.123</v>
      </c>
      <c r="L76" s="36">
        <v>1.1519999999999999</v>
      </c>
      <c r="M76" s="36">
        <v>1.181</v>
      </c>
      <c r="N76" s="36">
        <v>1.212</v>
      </c>
      <c r="O76" s="36">
        <v>1.2430000000000001</v>
      </c>
      <c r="P76" s="36">
        <v>1.276</v>
      </c>
      <c r="Q76" s="36">
        <v>1.31</v>
      </c>
      <c r="R76" s="36">
        <v>1.345</v>
      </c>
      <c r="S76" s="36">
        <v>1.3819999999999999</v>
      </c>
      <c r="T76" s="36">
        <v>1.4219999999999999</v>
      </c>
      <c r="U76" s="36">
        <v>1.4630000000000001</v>
      </c>
      <c r="V76" s="36">
        <v>1.508</v>
      </c>
      <c r="W76" s="36">
        <v>1.556</v>
      </c>
      <c r="X76" s="36">
        <v>1.607</v>
      </c>
      <c r="Y76" s="36">
        <v>1.6619999999999999</v>
      </c>
      <c r="Z76" s="36">
        <v>1.72</v>
      </c>
      <c r="AA76" s="36">
        <v>1.782</v>
      </c>
      <c r="AB76" s="36">
        <v>1.847</v>
      </c>
      <c r="AC76" s="36">
        <v>1.913</v>
      </c>
      <c r="AD76" s="36">
        <v>1.978</v>
      </c>
      <c r="AE76" s="36">
        <v>2.0409999999999999</v>
      </c>
      <c r="AF76" s="36">
        <v>2.1</v>
      </c>
      <c r="AG76" s="36">
        <v>2.157</v>
      </c>
      <c r="AH76" s="36">
        <v>2.2120000000000002</v>
      </c>
      <c r="AI76" s="36">
        <v>2.2679999999999998</v>
      </c>
      <c r="AJ76" s="36">
        <v>2.323</v>
      </c>
      <c r="AK76" s="36">
        <v>2.3769999999999998</v>
      </c>
      <c r="AL76" s="36">
        <v>2.431</v>
      </c>
      <c r="AM76" s="36">
        <v>2.4849999999999999</v>
      </c>
      <c r="AN76" s="36">
        <v>2.5390000000000001</v>
      </c>
      <c r="AO76" s="36">
        <v>2.593</v>
      </c>
      <c r="AP76" s="37">
        <v>2.6469999999999998</v>
      </c>
      <c r="AQ76" s="37">
        <v>2.702</v>
      </c>
      <c r="AR76" s="37">
        <v>2.7559999999999998</v>
      </c>
      <c r="AS76" s="37">
        <v>2.8109999999999999</v>
      </c>
      <c r="AT76" s="37">
        <v>2.867</v>
      </c>
      <c r="AU76" s="37">
        <v>2.923</v>
      </c>
      <c r="AV76" s="37">
        <v>2.9790000000000001</v>
      </c>
      <c r="AW76" s="37">
        <v>3.036</v>
      </c>
      <c r="AX76" s="37">
        <v>3.093</v>
      </c>
      <c r="AY76" s="37">
        <v>3.1509999999999998</v>
      </c>
      <c r="AZ76" s="37">
        <v>3.2109999999999999</v>
      </c>
      <c r="BA76" s="37">
        <v>3.27</v>
      </c>
      <c r="BB76" s="37">
        <v>3.331</v>
      </c>
      <c r="BC76" s="37">
        <v>3.391</v>
      </c>
      <c r="BD76" s="37">
        <v>3.4529999999999998</v>
      </c>
      <c r="BE76" s="37">
        <v>3.5150000000000001</v>
      </c>
      <c r="BF76" s="37">
        <v>3.5779999999999998</v>
      </c>
      <c r="BG76" s="37">
        <v>3.641</v>
      </c>
      <c r="BH76" s="37">
        <v>3.7040000000000002</v>
      </c>
      <c r="BI76" s="37">
        <v>3.7669999999999999</v>
      </c>
      <c r="BJ76" s="37">
        <v>3.831</v>
      </c>
      <c r="BK76" s="37">
        <v>3.895</v>
      </c>
      <c r="BL76" s="37">
        <v>3.9580000000000002</v>
      </c>
      <c r="BM76" s="37">
        <v>4.0209999999999999</v>
      </c>
      <c r="BN76" s="37">
        <v>4.085</v>
      </c>
    </row>
    <row r="77" spans="1:66" x14ac:dyDescent="0.2">
      <c r="A77" s="2" t="s">
        <v>355</v>
      </c>
      <c r="B77" s="2" t="s">
        <v>356</v>
      </c>
      <c r="C77" s="11" t="s">
        <v>75</v>
      </c>
      <c r="D77" s="12" t="s">
        <v>697</v>
      </c>
      <c r="E77" s="35">
        <v>1</v>
      </c>
      <c r="F77" s="36">
        <v>1.0549999999999999</v>
      </c>
      <c r="G77" s="36">
        <v>1.1000000000000001</v>
      </c>
      <c r="H77" s="36">
        <v>1.1459999999999999</v>
      </c>
      <c r="I77" s="36">
        <v>1.1879999999999999</v>
      </c>
      <c r="J77" s="36">
        <v>1.2270000000000001</v>
      </c>
      <c r="K77" s="36">
        <v>1.264</v>
      </c>
      <c r="L77" s="36">
        <v>1.3009999999999999</v>
      </c>
      <c r="M77" s="36">
        <v>1.339</v>
      </c>
      <c r="N77" s="36">
        <v>1.377</v>
      </c>
      <c r="O77" s="36">
        <v>1.4159999999999999</v>
      </c>
      <c r="P77" s="36">
        <v>1.4550000000000001</v>
      </c>
      <c r="Q77" s="36">
        <v>1.4950000000000001</v>
      </c>
      <c r="R77" s="36">
        <v>1.536</v>
      </c>
      <c r="S77" s="36">
        <v>1.5780000000000001</v>
      </c>
      <c r="T77" s="36">
        <v>1.621</v>
      </c>
      <c r="U77" s="36">
        <v>1.667</v>
      </c>
      <c r="V77" s="36">
        <v>1.7150000000000001</v>
      </c>
      <c r="W77" s="36">
        <v>1.766</v>
      </c>
      <c r="X77" s="36">
        <v>1.8180000000000001</v>
      </c>
      <c r="Y77" s="36">
        <v>1.871</v>
      </c>
      <c r="Z77" s="36">
        <v>1.927</v>
      </c>
      <c r="AA77" s="36">
        <v>1.984</v>
      </c>
      <c r="AB77" s="36">
        <v>2.0430000000000001</v>
      </c>
      <c r="AC77" s="36">
        <v>2.1040000000000001</v>
      </c>
      <c r="AD77" s="36">
        <v>2.165</v>
      </c>
      <c r="AE77" s="36">
        <v>2.2250000000000001</v>
      </c>
      <c r="AF77" s="36">
        <v>2.2839999999999998</v>
      </c>
      <c r="AG77" s="36">
        <v>2.3420000000000001</v>
      </c>
      <c r="AH77" s="36">
        <v>2.4</v>
      </c>
      <c r="AI77" s="36">
        <v>2.4569999999999999</v>
      </c>
      <c r="AJ77" s="36">
        <v>2.516</v>
      </c>
      <c r="AK77" s="36">
        <v>2.5760000000000001</v>
      </c>
      <c r="AL77" s="36">
        <v>2.6360000000000001</v>
      </c>
      <c r="AM77" s="36">
        <v>2.698</v>
      </c>
      <c r="AN77" s="36">
        <v>2.76</v>
      </c>
      <c r="AO77" s="36">
        <v>2.8220000000000001</v>
      </c>
      <c r="AP77" s="37">
        <v>2.8839999999999999</v>
      </c>
      <c r="AQ77" s="37">
        <v>2.9460000000000002</v>
      </c>
      <c r="AR77" s="37">
        <v>3.008</v>
      </c>
      <c r="AS77" s="37">
        <v>3.069</v>
      </c>
      <c r="AT77" s="37">
        <v>3.13</v>
      </c>
      <c r="AU77" s="37">
        <v>3.1909999999999998</v>
      </c>
      <c r="AV77" s="37">
        <v>3.2519999999999998</v>
      </c>
      <c r="AW77" s="37">
        <v>3.3130000000000002</v>
      </c>
      <c r="AX77" s="37">
        <v>3.3730000000000002</v>
      </c>
      <c r="AY77" s="37">
        <v>3.4329999999999998</v>
      </c>
      <c r="AZ77" s="37">
        <v>3.4940000000000002</v>
      </c>
      <c r="BA77" s="37">
        <v>3.5539999999999998</v>
      </c>
      <c r="BB77" s="37">
        <v>3.6139999999999999</v>
      </c>
      <c r="BC77" s="37">
        <v>3.673</v>
      </c>
      <c r="BD77" s="37">
        <v>3.7330000000000001</v>
      </c>
      <c r="BE77" s="37">
        <v>3.7919999999999998</v>
      </c>
      <c r="BF77" s="37">
        <v>3.851</v>
      </c>
      <c r="BG77" s="37">
        <v>3.9089999999999998</v>
      </c>
      <c r="BH77" s="37">
        <v>3.9670000000000001</v>
      </c>
      <c r="BI77" s="37">
        <v>4.024</v>
      </c>
      <c r="BJ77" s="37">
        <v>4.0810000000000004</v>
      </c>
      <c r="BK77" s="37">
        <v>4.1369999999999996</v>
      </c>
      <c r="BL77" s="37">
        <v>4.1929999999999996</v>
      </c>
      <c r="BM77" s="37">
        <v>4.2480000000000002</v>
      </c>
      <c r="BN77" s="37">
        <v>4.3019999999999996</v>
      </c>
    </row>
    <row r="78" spans="1:66" x14ac:dyDescent="0.2">
      <c r="A78" s="2" t="s">
        <v>357</v>
      </c>
      <c r="B78" s="2" t="s">
        <v>358</v>
      </c>
      <c r="C78" s="11" t="s">
        <v>82</v>
      </c>
      <c r="D78" s="12" t="s">
        <v>697</v>
      </c>
      <c r="E78" s="35">
        <v>1.03391283354931</v>
      </c>
      <c r="F78" s="36">
        <v>4.8019999999999996</v>
      </c>
      <c r="G78" s="36">
        <v>4.8360000000000003</v>
      </c>
      <c r="H78" s="36">
        <v>4.8730000000000002</v>
      </c>
      <c r="I78" s="36">
        <v>4.9109999999999996</v>
      </c>
      <c r="J78" s="36">
        <v>4.8360000000000003</v>
      </c>
      <c r="K78" s="36">
        <v>4.6580000000000004</v>
      </c>
      <c r="L78" s="36">
        <v>4.492</v>
      </c>
      <c r="M78" s="36">
        <v>4.3499999999999996</v>
      </c>
      <c r="N78" s="36">
        <v>4.2439999999999998</v>
      </c>
      <c r="O78" s="36">
        <v>4.157</v>
      </c>
      <c r="P78" s="36">
        <v>4.077</v>
      </c>
      <c r="Q78" s="36">
        <v>4.0140000000000002</v>
      </c>
      <c r="R78" s="36">
        <v>3.9790000000000001</v>
      </c>
      <c r="S78" s="36">
        <v>3.952</v>
      </c>
      <c r="T78" s="36">
        <v>3.927</v>
      </c>
      <c r="U78" s="36">
        <v>3.9020000000000001</v>
      </c>
      <c r="V78" s="36">
        <v>3.88</v>
      </c>
      <c r="W78" s="36">
        <v>3.86</v>
      </c>
      <c r="X78" s="36">
        <v>3.8479999999999999</v>
      </c>
      <c r="Y78" s="36">
        <v>3.8140000000000001</v>
      </c>
      <c r="Z78" s="36">
        <v>3.7869999999999999</v>
      </c>
      <c r="AA78" s="36">
        <v>3.7559999999999998</v>
      </c>
      <c r="AB78" s="36">
        <v>3.7290000000000001</v>
      </c>
      <c r="AC78" s="36">
        <v>3.718</v>
      </c>
      <c r="AD78" s="36">
        <v>3.7189999999999999</v>
      </c>
      <c r="AE78" s="36">
        <v>3.7250000000000001</v>
      </c>
      <c r="AF78" s="36">
        <v>3.7280000000000002</v>
      </c>
      <c r="AG78" s="36">
        <v>3.7280000000000002</v>
      </c>
      <c r="AH78" s="36">
        <v>3.7269999999999999</v>
      </c>
      <c r="AI78" s="36">
        <v>3.72</v>
      </c>
      <c r="AJ78" s="36">
        <v>3.7229999999999999</v>
      </c>
      <c r="AK78" s="36">
        <v>3.7090000000000001</v>
      </c>
      <c r="AL78" s="36">
        <v>3.7130000000000001</v>
      </c>
      <c r="AM78" s="36">
        <v>3.7149999999999999</v>
      </c>
      <c r="AN78" s="36">
        <v>3.8130000000000002</v>
      </c>
      <c r="AO78" s="36">
        <v>3.9359999999999999</v>
      </c>
      <c r="AP78" s="37">
        <v>3.9340000000000002</v>
      </c>
      <c r="AQ78" s="37">
        <v>3.931</v>
      </c>
      <c r="AR78" s="37">
        <v>3.9279999999999999</v>
      </c>
      <c r="AS78" s="37">
        <v>3.9239999999999999</v>
      </c>
      <c r="AT78" s="37">
        <v>3.919</v>
      </c>
      <c r="AU78" s="37">
        <v>3.9140000000000001</v>
      </c>
      <c r="AV78" s="37">
        <v>3.9089999999999998</v>
      </c>
      <c r="AW78" s="37">
        <v>3.9039999999999999</v>
      </c>
      <c r="AX78" s="37">
        <v>3.8980000000000001</v>
      </c>
      <c r="AY78" s="37">
        <v>3.8919999999999999</v>
      </c>
      <c r="AZ78" s="37">
        <v>3.8849999999999998</v>
      </c>
      <c r="BA78" s="37">
        <v>3.8780000000000001</v>
      </c>
      <c r="BB78" s="37">
        <v>3.8719999999999999</v>
      </c>
      <c r="BC78" s="37">
        <v>3.8660000000000001</v>
      </c>
      <c r="BD78" s="37">
        <v>3.859</v>
      </c>
      <c r="BE78" s="37">
        <v>3.8530000000000002</v>
      </c>
      <c r="BF78" s="37">
        <v>3.8479999999999999</v>
      </c>
      <c r="BG78" s="37">
        <v>3.8420000000000001</v>
      </c>
      <c r="BH78" s="37">
        <v>3.8359999999999999</v>
      </c>
      <c r="BI78" s="37">
        <v>3.83</v>
      </c>
      <c r="BJ78" s="37">
        <v>3.8220000000000001</v>
      </c>
      <c r="BK78" s="37">
        <v>3.8140000000000001</v>
      </c>
      <c r="BL78" s="37">
        <v>3.8050000000000002</v>
      </c>
      <c r="BM78" s="37">
        <v>3.7970000000000002</v>
      </c>
      <c r="BN78" s="37">
        <v>3.7879999999999998</v>
      </c>
    </row>
    <row r="79" spans="1:66" x14ac:dyDescent="0.2">
      <c r="A79" s="2" t="s">
        <v>360</v>
      </c>
      <c r="B79" s="2" t="s">
        <v>361</v>
      </c>
      <c r="C79" s="11" t="s">
        <v>79</v>
      </c>
      <c r="D79" s="12" t="s">
        <v>697</v>
      </c>
      <c r="E79" s="35">
        <v>0.99305590267422195</v>
      </c>
      <c r="F79" s="36">
        <v>79.433000000000007</v>
      </c>
      <c r="G79" s="36">
        <v>80.013999999999996</v>
      </c>
      <c r="H79" s="36">
        <v>80.625</v>
      </c>
      <c r="I79" s="36">
        <v>81.156000000000006</v>
      </c>
      <c r="J79" s="36">
        <v>81.438000000000002</v>
      </c>
      <c r="K79" s="36">
        <v>81.677999999999997</v>
      </c>
      <c r="L79" s="36">
        <v>81.915000000000006</v>
      </c>
      <c r="M79" s="36">
        <v>82.034999999999997</v>
      </c>
      <c r="N79" s="36">
        <v>82.046999999999997</v>
      </c>
      <c r="O79" s="36">
        <v>82.1</v>
      </c>
      <c r="P79" s="36">
        <v>82.212000000000003</v>
      </c>
      <c r="Q79" s="36">
        <v>82.35</v>
      </c>
      <c r="R79" s="36">
        <v>82.488</v>
      </c>
      <c r="S79" s="36">
        <v>82.534000000000006</v>
      </c>
      <c r="T79" s="36">
        <v>82.516000000000005</v>
      </c>
      <c r="U79" s="36">
        <v>82.468999999999994</v>
      </c>
      <c r="V79" s="36">
        <v>82.376000000000005</v>
      </c>
      <c r="W79" s="36">
        <v>82.266000000000005</v>
      </c>
      <c r="X79" s="36">
        <v>82.11</v>
      </c>
      <c r="Y79" s="36">
        <v>81.902000000000001</v>
      </c>
      <c r="Z79" s="36">
        <v>81.777000000000001</v>
      </c>
      <c r="AA79" s="36">
        <v>80.275000000000006</v>
      </c>
      <c r="AB79" s="36">
        <v>80.426000000000002</v>
      </c>
      <c r="AC79" s="36">
        <v>80.646000000000001</v>
      </c>
      <c r="AD79" s="36">
        <v>80.983000000000004</v>
      </c>
      <c r="AE79" s="36">
        <v>81.686999999999998</v>
      </c>
      <c r="AF79" s="36">
        <v>82.349000000000004</v>
      </c>
      <c r="AG79" s="36">
        <v>82.656999999999996</v>
      </c>
      <c r="AH79" s="36">
        <v>82.906000000000006</v>
      </c>
      <c r="AI79" s="36">
        <v>83.093000000000004</v>
      </c>
      <c r="AJ79" s="36">
        <v>83.161000000000001</v>
      </c>
      <c r="AK79" s="36">
        <v>83.195999999999998</v>
      </c>
      <c r="AL79" s="36">
        <v>83.177999999999997</v>
      </c>
      <c r="AM79" s="36">
        <v>83.287000000000006</v>
      </c>
      <c r="AN79" s="36">
        <v>83.516999999999996</v>
      </c>
      <c r="AO79" s="36">
        <v>83.491</v>
      </c>
      <c r="AP79" s="37">
        <v>83.063000000000002</v>
      </c>
      <c r="AQ79" s="37">
        <v>82.863</v>
      </c>
      <c r="AR79" s="37">
        <v>82.650999999999996</v>
      </c>
      <c r="AS79" s="37">
        <v>82.429000000000002</v>
      </c>
      <c r="AT79" s="37">
        <v>82.206000000000003</v>
      </c>
      <c r="AU79" s="37">
        <v>81.978999999999999</v>
      </c>
      <c r="AV79" s="37">
        <v>81.751999999999995</v>
      </c>
      <c r="AW79" s="37">
        <v>81.53</v>
      </c>
      <c r="AX79" s="37">
        <v>81.313999999999993</v>
      </c>
      <c r="AY79" s="37">
        <v>81.102999999999994</v>
      </c>
      <c r="AZ79" s="37">
        <v>80.878</v>
      </c>
      <c r="BA79" s="37">
        <v>80.653000000000006</v>
      </c>
      <c r="BB79" s="37">
        <v>80.432000000000002</v>
      </c>
      <c r="BC79" s="37">
        <v>80.209000000000003</v>
      </c>
      <c r="BD79" s="37">
        <v>79.992000000000004</v>
      </c>
      <c r="BE79" s="37">
        <v>79.787999999999997</v>
      </c>
      <c r="BF79" s="37">
        <v>79.593000000000004</v>
      </c>
      <c r="BG79" s="37">
        <v>79.387</v>
      </c>
      <c r="BH79" s="37">
        <v>79.165999999999997</v>
      </c>
      <c r="BI79" s="37">
        <v>78.94</v>
      </c>
      <c r="BJ79" s="37">
        <v>78.713999999999999</v>
      </c>
      <c r="BK79" s="37">
        <v>78.484999999999999</v>
      </c>
      <c r="BL79" s="37">
        <v>78.244</v>
      </c>
      <c r="BM79" s="37">
        <v>77.995000000000005</v>
      </c>
      <c r="BN79" s="37">
        <v>77.751000000000005</v>
      </c>
    </row>
    <row r="80" spans="1:66" x14ac:dyDescent="0.2">
      <c r="A80" s="2" t="s">
        <v>362</v>
      </c>
      <c r="B80" s="2" t="s">
        <v>363</v>
      </c>
      <c r="C80" s="11" t="s">
        <v>210</v>
      </c>
      <c r="D80" s="12" t="s">
        <v>697</v>
      </c>
      <c r="E80" s="35">
        <v>0.999999985740471</v>
      </c>
      <c r="F80" s="36">
        <v>15.395</v>
      </c>
      <c r="G80" s="36">
        <v>15.787000000000001</v>
      </c>
      <c r="H80" s="36">
        <v>16.184999999999999</v>
      </c>
      <c r="I80" s="36">
        <v>16.59</v>
      </c>
      <c r="J80" s="36">
        <v>16.992999999999999</v>
      </c>
      <c r="K80" s="36">
        <v>17.399000000000001</v>
      </c>
      <c r="L80" s="36">
        <v>17.809999999999999</v>
      </c>
      <c r="M80" s="36">
        <v>18.239000000000001</v>
      </c>
      <c r="N80" s="36">
        <v>18.687999999999999</v>
      </c>
      <c r="O80" s="36">
        <v>19.149999999999999</v>
      </c>
      <c r="P80" s="36">
        <v>19.637</v>
      </c>
      <c r="Q80" s="36">
        <v>20.167000000000002</v>
      </c>
      <c r="R80" s="36">
        <v>20.728999999999999</v>
      </c>
      <c r="S80" s="36">
        <v>21.297000000000001</v>
      </c>
      <c r="T80" s="36">
        <v>21.867999999999999</v>
      </c>
      <c r="U80" s="36">
        <v>22.449000000000002</v>
      </c>
      <c r="V80" s="36">
        <v>23.041</v>
      </c>
      <c r="W80" s="36">
        <v>23.641999999999999</v>
      </c>
      <c r="X80" s="36">
        <v>24.25</v>
      </c>
      <c r="Y80" s="36">
        <v>24.863</v>
      </c>
      <c r="Z80" s="36">
        <v>25.475000000000001</v>
      </c>
      <c r="AA80" s="36">
        <v>26.094999999999999</v>
      </c>
      <c r="AB80" s="36">
        <v>26.734000000000002</v>
      </c>
      <c r="AC80" s="36">
        <v>27.385999999999999</v>
      </c>
      <c r="AD80" s="36">
        <v>28.042000000000002</v>
      </c>
      <c r="AE80" s="36">
        <v>28.696000000000002</v>
      </c>
      <c r="AF80" s="36">
        <v>29.356999999999999</v>
      </c>
      <c r="AG80" s="36">
        <v>30.007999999999999</v>
      </c>
      <c r="AH80" s="36">
        <v>30.638000000000002</v>
      </c>
      <c r="AI80" s="36">
        <v>31.259</v>
      </c>
      <c r="AJ80" s="36">
        <v>31.888000000000002</v>
      </c>
      <c r="AK80" s="36">
        <v>32.518999999999998</v>
      </c>
      <c r="AL80" s="36">
        <v>33.149000000000001</v>
      </c>
      <c r="AM80" s="36">
        <v>33.787999999999997</v>
      </c>
      <c r="AN80" s="36">
        <v>34.427</v>
      </c>
      <c r="AO80" s="36">
        <v>35.064</v>
      </c>
      <c r="AP80" s="37">
        <v>35.698</v>
      </c>
      <c r="AQ80" s="37">
        <v>36.328000000000003</v>
      </c>
      <c r="AR80" s="37">
        <v>36.959000000000003</v>
      </c>
      <c r="AS80" s="37">
        <v>37.590000000000003</v>
      </c>
      <c r="AT80" s="37">
        <v>38.222000000000001</v>
      </c>
      <c r="AU80" s="37">
        <v>38.856999999999999</v>
      </c>
      <c r="AV80" s="37">
        <v>39.493000000000002</v>
      </c>
      <c r="AW80" s="37">
        <v>40.133000000000003</v>
      </c>
      <c r="AX80" s="37">
        <v>40.774000000000001</v>
      </c>
      <c r="AY80" s="37">
        <v>41.412999999999997</v>
      </c>
      <c r="AZ80" s="37">
        <v>42.046999999999997</v>
      </c>
      <c r="BA80" s="37">
        <v>42.682000000000002</v>
      </c>
      <c r="BB80" s="37">
        <v>43.314999999999998</v>
      </c>
      <c r="BC80" s="37">
        <v>43.942999999999998</v>
      </c>
      <c r="BD80" s="37">
        <v>44.567999999999998</v>
      </c>
      <c r="BE80" s="37">
        <v>45.191000000000003</v>
      </c>
      <c r="BF80" s="37">
        <v>45.808999999999997</v>
      </c>
      <c r="BG80" s="37">
        <v>46.421999999999997</v>
      </c>
      <c r="BH80" s="37">
        <v>47.03</v>
      </c>
      <c r="BI80" s="37">
        <v>47.634</v>
      </c>
      <c r="BJ80" s="37">
        <v>48.231999999999999</v>
      </c>
      <c r="BK80" s="37">
        <v>48.823</v>
      </c>
      <c r="BL80" s="37">
        <v>49.408999999999999</v>
      </c>
      <c r="BM80" s="37">
        <v>49.984000000000002</v>
      </c>
      <c r="BN80" s="37">
        <v>50.552999999999997</v>
      </c>
    </row>
    <row r="81" spans="1:66" x14ac:dyDescent="0.2">
      <c r="A81" s="2" t="s">
        <v>364</v>
      </c>
      <c r="B81" s="2" t="s">
        <v>365</v>
      </c>
      <c r="C81" s="11" t="s">
        <v>79</v>
      </c>
      <c r="D81" s="12" t="s">
        <v>697</v>
      </c>
      <c r="E81" s="35">
        <v>1</v>
      </c>
      <c r="F81" s="36">
        <v>2.7E-2</v>
      </c>
      <c r="G81" s="36">
        <v>2.7E-2</v>
      </c>
      <c r="H81" s="36">
        <v>2.7E-2</v>
      </c>
      <c r="I81" s="36">
        <v>2.7E-2</v>
      </c>
      <c r="J81" s="36">
        <v>2.7E-2</v>
      </c>
      <c r="K81" s="36">
        <v>2.7E-2</v>
      </c>
      <c r="L81" s="36">
        <v>2.7E-2</v>
      </c>
      <c r="M81" s="36">
        <v>2.8000000000000001E-2</v>
      </c>
      <c r="N81" s="36">
        <v>2.8000000000000001E-2</v>
      </c>
      <c r="O81" s="36">
        <v>2.8000000000000001E-2</v>
      </c>
      <c r="P81" s="36">
        <v>2.8000000000000001E-2</v>
      </c>
      <c r="Q81" s="36">
        <v>2.8000000000000001E-2</v>
      </c>
      <c r="R81" s="36">
        <v>2.8000000000000001E-2</v>
      </c>
      <c r="S81" s="36">
        <v>2.8000000000000001E-2</v>
      </c>
      <c r="T81" s="36">
        <v>2.9000000000000001E-2</v>
      </c>
      <c r="U81" s="36">
        <v>2.9000000000000001E-2</v>
      </c>
      <c r="V81" s="36">
        <v>0.03</v>
      </c>
      <c r="W81" s="36">
        <v>0.03</v>
      </c>
      <c r="X81" s="36">
        <v>0.03</v>
      </c>
      <c r="Y81" s="36">
        <v>3.1E-2</v>
      </c>
      <c r="Z81" s="36">
        <v>3.1E-2</v>
      </c>
      <c r="AA81" s="36">
        <v>3.2000000000000001E-2</v>
      </c>
      <c r="AB81" s="36">
        <v>3.2000000000000001E-2</v>
      </c>
      <c r="AC81" s="36">
        <v>3.2000000000000001E-2</v>
      </c>
      <c r="AD81" s="36">
        <v>3.3000000000000002E-2</v>
      </c>
      <c r="AE81" s="36">
        <v>3.3000000000000002E-2</v>
      </c>
      <c r="AF81" s="36">
        <v>3.4000000000000002E-2</v>
      </c>
      <c r="AG81" s="36">
        <v>3.4000000000000002E-2</v>
      </c>
      <c r="AH81" s="36">
        <v>3.5000000000000003E-2</v>
      </c>
      <c r="AI81" s="36">
        <v>3.5000000000000003E-2</v>
      </c>
      <c r="AJ81" s="36">
        <v>3.5999999999999997E-2</v>
      </c>
      <c r="AK81" s="36">
        <v>3.6999999999999998E-2</v>
      </c>
      <c r="AL81" s="36">
        <v>3.7999999999999999E-2</v>
      </c>
      <c r="AM81" s="36">
        <v>3.7999999999999999E-2</v>
      </c>
      <c r="AN81" s="36">
        <v>3.9E-2</v>
      </c>
      <c r="AO81" s="36">
        <v>0.04</v>
      </c>
      <c r="AP81" s="37">
        <v>4.1000000000000002E-2</v>
      </c>
      <c r="AQ81" s="37">
        <v>4.2000000000000003E-2</v>
      </c>
      <c r="AR81" s="37">
        <v>4.2000000000000003E-2</v>
      </c>
      <c r="AS81" s="37">
        <v>4.2999999999999997E-2</v>
      </c>
      <c r="AT81" s="37">
        <v>4.2999999999999997E-2</v>
      </c>
      <c r="AU81" s="37">
        <v>4.3999999999999997E-2</v>
      </c>
      <c r="AV81" s="37">
        <v>4.4999999999999998E-2</v>
      </c>
      <c r="AW81" s="37">
        <v>4.4999999999999998E-2</v>
      </c>
      <c r="AX81" s="37">
        <v>4.5999999999999999E-2</v>
      </c>
      <c r="AY81" s="37">
        <v>4.5999999999999999E-2</v>
      </c>
      <c r="AZ81" s="37">
        <v>4.5999999999999999E-2</v>
      </c>
      <c r="BA81" s="37">
        <v>4.7E-2</v>
      </c>
      <c r="BB81" s="37">
        <v>4.7E-2</v>
      </c>
      <c r="BC81" s="37">
        <v>4.8000000000000001E-2</v>
      </c>
      <c r="BD81" s="37">
        <v>4.8000000000000001E-2</v>
      </c>
      <c r="BE81" s="37">
        <v>4.8000000000000001E-2</v>
      </c>
      <c r="BF81" s="37">
        <v>4.8000000000000001E-2</v>
      </c>
      <c r="BG81" s="37">
        <v>4.9000000000000002E-2</v>
      </c>
      <c r="BH81" s="37">
        <v>4.9000000000000002E-2</v>
      </c>
      <c r="BI81" s="37">
        <v>4.9000000000000002E-2</v>
      </c>
      <c r="BJ81" s="37">
        <v>4.9000000000000002E-2</v>
      </c>
      <c r="BK81" s="37">
        <v>4.9000000000000002E-2</v>
      </c>
      <c r="BL81" s="37">
        <v>0.05</v>
      </c>
      <c r="BM81" s="37">
        <v>0.05</v>
      </c>
      <c r="BN81" s="37">
        <v>0.05</v>
      </c>
    </row>
    <row r="82" spans="1:66" x14ac:dyDescent="0.2">
      <c r="A82" s="2" t="s">
        <v>366</v>
      </c>
      <c r="B82" s="2" t="s">
        <v>367</v>
      </c>
      <c r="C82" s="11" t="s">
        <v>79</v>
      </c>
      <c r="D82" s="12" t="s">
        <v>697</v>
      </c>
      <c r="E82" s="35">
        <v>1.04780409835369</v>
      </c>
      <c r="F82" s="36">
        <v>10.196999999999999</v>
      </c>
      <c r="G82" s="36">
        <v>10.32</v>
      </c>
      <c r="H82" s="36">
        <v>10.398999999999999</v>
      </c>
      <c r="I82" s="36">
        <v>10.46</v>
      </c>
      <c r="J82" s="36">
        <v>10.513</v>
      </c>
      <c r="K82" s="36">
        <v>10.561999999999999</v>
      </c>
      <c r="L82" s="36">
        <v>10.609</v>
      </c>
      <c r="M82" s="36">
        <v>10.661</v>
      </c>
      <c r="N82" s="36">
        <v>10.721</v>
      </c>
      <c r="O82" s="36">
        <v>10.762</v>
      </c>
      <c r="P82" s="36">
        <v>10.805999999999999</v>
      </c>
      <c r="Q82" s="36">
        <v>10.862</v>
      </c>
      <c r="R82" s="36">
        <v>10.901999999999999</v>
      </c>
      <c r="S82" s="36">
        <v>10.928000000000001</v>
      </c>
      <c r="T82" s="36">
        <v>10.955</v>
      </c>
      <c r="U82" s="36">
        <v>10.987</v>
      </c>
      <c r="V82" s="36">
        <v>11.02</v>
      </c>
      <c r="W82" s="36">
        <v>11.048</v>
      </c>
      <c r="X82" s="36">
        <v>11.077999999999999</v>
      </c>
      <c r="Y82" s="36">
        <v>11.106999999999999</v>
      </c>
      <c r="Z82" s="36">
        <v>11.121</v>
      </c>
      <c r="AA82" s="36">
        <v>11.105</v>
      </c>
      <c r="AB82" s="36">
        <v>11.045</v>
      </c>
      <c r="AC82" s="36">
        <v>10.965</v>
      </c>
      <c r="AD82" s="36">
        <v>10.891999999999999</v>
      </c>
      <c r="AE82" s="36">
        <v>10.821</v>
      </c>
      <c r="AF82" s="36">
        <v>10.776</v>
      </c>
      <c r="AG82" s="36">
        <v>10.755000000000001</v>
      </c>
      <c r="AH82" s="36">
        <v>10.733000000000001</v>
      </c>
      <c r="AI82" s="36">
        <v>10.722</v>
      </c>
      <c r="AJ82" s="36">
        <v>10.699</v>
      </c>
      <c r="AK82" s="36">
        <v>10.57</v>
      </c>
      <c r="AL82" s="36">
        <v>10.438000000000001</v>
      </c>
      <c r="AM82" s="36">
        <v>10.407</v>
      </c>
      <c r="AN82" s="36">
        <v>10.404999999999999</v>
      </c>
      <c r="AO82" s="36">
        <v>10.414</v>
      </c>
      <c r="AP82" s="37">
        <v>10.37</v>
      </c>
      <c r="AQ82" s="37">
        <v>10.324999999999999</v>
      </c>
      <c r="AR82" s="37">
        <v>10.279</v>
      </c>
      <c r="AS82" s="37">
        <v>10.233000000000001</v>
      </c>
      <c r="AT82" s="37">
        <v>10.186999999999999</v>
      </c>
      <c r="AU82" s="37">
        <v>10.14</v>
      </c>
      <c r="AV82" s="37">
        <v>10.093</v>
      </c>
      <c r="AW82" s="37">
        <v>10.045</v>
      </c>
      <c r="AX82" s="37">
        <v>9.9979999999999993</v>
      </c>
      <c r="AY82" s="37">
        <v>9.9499999999999993</v>
      </c>
      <c r="AZ82" s="37">
        <v>9.9030000000000005</v>
      </c>
      <c r="BA82" s="37">
        <v>9.8569999999999993</v>
      </c>
      <c r="BB82" s="37">
        <v>9.81</v>
      </c>
      <c r="BC82" s="37">
        <v>9.7650000000000006</v>
      </c>
      <c r="BD82" s="37">
        <v>9.7189999999999994</v>
      </c>
      <c r="BE82" s="37">
        <v>9.6739999999999995</v>
      </c>
      <c r="BF82" s="37">
        <v>9.6289999999999996</v>
      </c>
      <c r="BG82" s="37">
        <v>9.5839999999999996</v>
      </c>
      <c r="BH82" s="37">
        <v>9.5380000000000003</v>
      </c>
      <c r="BI82" s="37">
        <v>9.4909999999999997</v>
      </c>
      <c r="BJ82" s="37">
        <v>9.4440000000000008</v>
      </c>
      <c r="BK82" s="37">
        <v>9.3940000000000001</v>
      </c>
      <c r="BL82" s="37">
        <v>9.3420000000000005</v>
      </c>
      <c r="BM82" s="37">
        <v>9.2889999999999997</v>
      </c>
      <c r="BN82" s="37">
        <v>9.2330000000000005</v>
      </c>
    </row>
    <row r="83" spans="1:66" x14ac:dyDescent="0.2">
      <c r="A83" s="2" t="s">
        <v>368</v>
      </c>
      <c r="B83" s="2" t="s">
        <v>369</v>
      </c>
      <c r="C83" s="11" t="s">
        <v>79</v>
      </c>
      <c r="D83" s="12" t="s">
        <v>697</v>
      </c>
      <c r="E83" s="35">
        <v>1.01949071208819</v>
      </c>
      <c r="F83" s="36">
        <v>5.6000000000000001E-2</v>
      </c>
      <c r="G83" s="36">
        <v>5.6000000000000001E-2</v>
      </c>
      <c r="H83" s="36">
        <v>5.5E-2</v>
      </c>
      <c r="I83" s="36">
        <v>5.5E-2</v>
      </c>
      <c r="J83" s="36">
        <v>5.6000000000000001E-2</v>
      </c>
      <c r="K83" s="36">
        <v>5.6000000000000001E-2</v>
      </c>
      <c r="L83" s="36">
        <v>5.6000000000000001E-2</v>
      </c>
      <c r="M83" s="36">
        <v>5.6000000000000001E-2</v>
      </c>
      <c r="N83" s="36">
        <v>5.6000000000000001E-2</v>
      </c>
      <c r="O83" s="36">
        <v>5.6000000000000001E-2</v>
      </c>
      <c r="P83" s="36">
        <v>5.6000000000000001E-2</v>
      </c>
      <c r="Q83" s="36">
        <v>5.6000000000000001E-2</v>
      </c>
      <c r="R83" s="36">
        <v>5.7000000000000002E-2</v>
      </c>
      <c r="S83" s="36">
        <v>5.7000000000000002E-2</v>
      </c>
      <c r="T83" s="36">
        <v>5.7000000000000002E-2</v>
      </c>
      <c r="U83" s="36">
        <v>5.7000000000000002E-2</v>
      </c>
      <c r="V83" s="36">
        <v>5.7000000000000002E-2</v>
      </c>
      <c r="W83" s="36">
        <v>5.7000000000000002E-2</v>
      </c>
      <c r="X83" s="36">
        <v>5.6000000000000001E-2</v>
      </c>
      <c r="Y83" s="36">
        <v>5.6000000000000001E-2</v>
      </c>
      <c r="Z83" s="36">
        <v>5.7000000000000002E-2</v>
      </c>
      <c r="AA83" s="36">
        <v>5.7000000000000002E-2</v>
      </c>
      <c r="AB83" s="36">
        <v>5.7000000000000002E-2</v>
      </c>
      <c r="AC83" s="36">
        <v>5.6000000000000001E-2</v>
      </c>
      <c r="AD83" s="36">
        <v>5.6000000000000001E-2</v>
      </c>
      <c r="AE83" s="36">
        <v>5.6000000000000001E-2</v>
      </c>
      <c r="AF83" s="36">
        <v>5.6000000000000001E-2</v>
      </c>
      <c r="AG83" s="36">
        <v>5.6000000000000001E-2</v>
      </c>
      <c r="AH83" s="36">
        <v>5.6000000000000001E-2</v>
      </c>
      <c r="AI83" s="36">
        <v>5.6000000000000001E-2</v>
      </c>
      <c r="AJ83" s="36">
        <v>5.6000000000000001E-2</v>
      </c>
      <c r="AK83" s="36">
        <v>5.7000000000000002E-2</v>
      </c>
      <c r="AL83" s="36">
        <v>5.7000000000000002E-2</v>
      </c>
      <c r="AM83" s="36">
        <v>5.7000000000000002E-2</v>
      </c>
      <c r="AN83" s="36">
        <v>5.7000000000000002E-2</v>
      </c>
      <c r="AO83" s="36">
        <v>5.7000000000000002E-2</v>
      </c>
      <c r="AP83" s="37">
        <v>5.7000000000000002E-2</v>
      </c>
      <c r="AQ83" s="37">
        <v>5.7000000000000002E-2</v>
      </c>
      <c r="AR83" s="37">
        <v>5.6000000000000001E-2</v>
      </c>
      <c r="AS83" s="37">
        <v>5.6000000000000001E-2</v>
      </c>
      <c r="AT83" s="37">
        <v>5.6000000000000001E-2</v>
      </c>
      <c r="AU83" s="37">
        <v>5.6000000000000001E-2</v>
      </c>
      <c r="AV83" s="37">
        <v>5.6000000000000001E-2</v>
      </c>
      <c r="AW83" s="37">
        <v>5.6000000000000001E-2</v>
      </c>
      <c r="AX83" s="37">
        <v>5.5E-2</v>
      </c>
      <c r="AY83" s="37">
        <v>5.5E-2</v>
      </c>
      <c r="AZ83" s="37">
        <v>5.5E-2</v>
      </c>
      <c r="BA83" s="37">
        <v>5.5E-2</v>
      </c>
      <c r="BB83" s="37">
        <v>5.3999999999999999E-2</v>
      </c>
      <c r="BC83" s="37">
        <v>5.3999999999999999E-2</v>
      </c>
      <c r="BD83" s="37">
        <v>5.3999999999999999E-2</v>
      </c>
      <c r="BE83" s="37">
        <v>5.2999999999999999E-2</v>
      </c>
      <c r="BF83" s="37">
        <v>5.2999999999999999E-2</v>
      </c>
      <c r="BG83" s="37">
        <v>5.2999999999999999E-2</v>
      </c>
      <c r="BH83" s="37">
        <v>5.2999999999999999E-2</v>
      </c>
      <c r="BI83" s="37">
        <v>5.1999999999999998E-2</v>
      </c>
      <c r="BJ83" s="37">
        <v>5.1999999999999998E-2</v>
      </c>
      <c r="BK83" s="37">
        <v>5.1999999999999998E-2</v>
      </c>
      <c r="BL83" s="37">
        <v>5.0999999999999997E-2</v>
      </c>
      <c r="BM83" s="37">
        <v>5.0999999999999997E-2</v>
      </c>
      <c r="BN83" s="37">
        <v>5.0999999999999997E-2</v>
      </c>
    </row>
    <row r="84" spans="1:66" x14ac:dyDescent="0.2">
      <c r="A84" s="2" t="s">
        <v>370</v>
      </c>
      <c r="B84" s="2" t="s">
        <v>371</v>
      </c>
      <c r="C84" s="11" t="s">
        <v>82</v>
      </c>
      <c r="D84" s="12" t="s">
        <v>697</v>
      </c>
      <c r="E84" s="35">
        <v>0.99999573755258897</v>
      </c>
      <c r="F84" s="36">
        <v>0.1</v>
      </c>
      <c r="G84" s="36">
        <v>0.10100000000000001</v>
      </c>
      <c r="H84" s="36">
        <v>0.10199999999999999</v>
      </c>
      <c r="I84" s="36">
        <v>0.10199999999999999</v>
      </c>
      <c r="J84" s="36">
        <v>0.10299999999999999</v>
      </c>
      <c r="K84" s="36">
        <v>0.104</v>
      </c>
      <c r="L84" s="36">
        <v>0.105</v>
      </c>
      <c r="M84" s="36">
        <v>0.105</v>
      </c>
      <c r="N84" s="36">
        <v>0.106</v>
      </c>
      <c r="O84" s="36">
        <v>0.107</v>
      </c>
      <c r="P84" s="36">
        <v>0.107</v>
      </c>
      <c r="Q84" s="36">
        <v>0.108</v>
      </c>
      <c r="R84" s="36">
        <v>0.108</v>
      </c>
      <c r="S84" s="36">
        <v>0.109</v>
      </c>
      <c r="T84" s="36">
        <v>0.109</v>
      </c>
      <c r="U84" s="36">
        <v>0.11</v>
      </c>
      <c r="V84" s="36">
        <v>0.11</v>
      </c>
      <c r="W84" s="36">
        <v>0.111</v>
      </c>
      <c r="X84" s="36">
        <v>0.111</v>
      </c>
      <c r="Y84" s="36">
        <v>0.111</v>
      </c>
      <c r="Z84" s="36">
        <v>0.112</v>
      </c>
      <c r="AA84" s="36">
        <v>0.112</v>
      </c>
      <c r="AB84" s="36">
        <v>0.113</v>
      </c>
      <c r="AC84" s="36">
        <v>0.113</v>
      </c>
      <c r="AD84" s="36">
        <v>0.114</v>
      </c>
      <c r="AE84" s="36">
        <v>0.115</v>
      </c>
      <c r="AF84" s="36">
        <v>0.115</v>
      </c>
      <c r="AG84" s="36">
        <v>0.115</v>
      </c>
      <c r="AH84" s="36">
        <v>0.11600000000000001</v>
      </c>
      <c r="AI84" s="36">
        <v>0.11600000000000001</v>
      </c>
      <c r="AJ84" s="36">
        <v>0.11600000000000001</v>
      </c>
      <c r="AK84" s="36">
        <v>0.11700000000000001</v>
      </c>
      <c r="AL84" s="36">
        <v>0.11700000000000001</v>
      </c>
      <c r="AM84" s="36">
        <v>0.11700000000000001</v>
      </c>
      <c r="AN84" s="36">
        <v>0.11700000000000001</v>
      </c>
      <c r="AO84" s="36">
        <v>0.11700000000000001</v>
      </c>
      <c r="AP84" s="37">
        <v>0.11700000000000001</v>
      </c>
      <c r="AQ84" s="37">
        <v>0.11700000000000001</v>
      </c>
      <c r="AR84" s="37">
        <v>0.11700000000000001</v>
      </c>
      <c r="AS84" s="37">
        <v>0.11700000000000001</v>
      </c>
      <c r="AT84" s="37">
        <v>0.11700000000000001</v>
      </c>
      <c r="AU84" s="37">
        <v>0.11700000000000001</v>
      </c>
      <c r="AV84" s="37">
        <v>0.11700000000000001</v>
      </c>
      <c r="AW84" s="37">
        <v>0.11700000000000001</v>
      </c>
      <c r="AX84" s="37">
        <v>0.11700000000000001</v>
      </c>
      <c r="AY84" s="37">
        <v>0.11700000000000001</v>
      </c>
      <c r="AZ84" s="37">
        <v>0.11700000000000001</v>
      </c>
      <c r="BA84" s="37">
        <v>0.11700000000000001</v>
      </c>
      <c r="BB84" s="37">
        <v>0.11700000000000001</v>
      </c>
      <c r="BC84" s="37">
        <v>0.11700000000000001</v>
      </c>
      <c r="BD84" s="37">
        <v>0.11600000000000001</v>
      </c>
      <c r="BE84" s="37">
        <v>0.11600000000000001</v>
      </c>
      <c r="BF84" s="37">
        <v>0.11600000000000001</v>
      </c>
      <c r="BG84" s="37">
        <v>0.11600000000000001</v>
      </c>
      <c r="BH84" s="37">
        <v>0.115</v>
      </c>
      <c r="BI84" s="37">
        <v>0.115</v>
      </c>
      <c r="BJ84" s="37">
        <v>0.115</v>
      </c>
      <c r="BK84" s="37">
        <v>0.114</v>
      </c>
      <c r="BL84" s="37">
        <v>0.114</v>
      </c>
      <c r="BM84" s="37">
        <v>0.114</v>
      </c>
      <c r="BN84" s="37">
        <v>0.113</v>
      </c>
    </row>
    <row r="85" spans="1:66" x14ac:dyDescent="0.2">
      <c r="A85" s="2" t="s">
        <v>372</v>
      </c>
      <c r="B85" s="2" t="s">
        <v>373</v>
      </c>
      <c r="C85" s="11" t="s">
        <v>79</v>
      </c>
      <c r="D85" s="12" t="s">
        <v>697</v>
      </c>
      <c r="E85" s="35">
        <v>1.0000029586061401</v>
      </c>
      <c r="F85" s="36">
        <v>0.13900000000000001</v>
      </c>
      <c r="G85" s="36">
        <v>0.14099999999999999</v>
      </c>
      <c r="H85" s="36">
        <v>0.14299999999999999</v>
      </c>
      <c r="I85" s="36">
        <v>0.14599999999999999</v>
      </c>
      <c r="J85" s="36">
        <v>0.14799999999999999</v>
      </c>
      <c r="K85" s="36">
        <v>0.15</v>
      </c>
      <c r="L85" s="36">
        <v>0.152</v>
      </c>
      <c r="M85" s="36">
        <v>0.154</v>
      </c>
      <c r="N85" s="36">
        <v>0.156</v>
      </c>
      <c r="O85" s="36">
        <v>0.158</v>
      </c>
      <c r="P85" s="36">
        <v>0.16</v>
      </c>
      <c r="Q85" s="36">
        <v>0.161</v>
      </c>
      <c r="R85" s="36">
        <v>0.16200000000000001</v>
      </c>
      <c r="S85" s="36">
        <v>0.16300000000000001</v>
      </c>
      <c r="T85" s="36">
        <v>0.16400000000000001</v>
      </c>
      <c r="U85" s="36">
        <v>0.16400000000000001</v>
      </c>
      <c r="V85" s="36">
        <v>0.16500000000000001</v>
      </c>
      <c r="W85" s="36">
        <v>0.16500000000000001</v>
      </c>
      <c r="X85" s="36">
        <v>0.16600000000000001</v>
      </c>
      <c r="Y85" s="36">
        <v>0.16600000000000001</v>
      </c>
      <c r="Z85" s="36">
        <v>0.16700000000000001</v>
      </c>
      <c r="AA85" s="36">
        <v>0.16700000000000001</v>
      </c>
      <c r="AB85" s="36">
        <v>0.16600000000000001</v>
      </c>
      <c r="AC85" s="36">
        <v>0.16600000000000001</v>
      </c>
      <c r="AD85" s="36">
        <v>0.16500000000000001</v>
      </c>
      <c r="AE85" s="36">
        <v>0.16500000000000001</v>
      </c>
      <c r="AF85" s="36">
        <v>0.16400000000000001</v>
      </c>
      <c r="AG85" s="36">
        <v>0.16300000000000001</v>
      </c>
      <c r="AH85" s="36">
        <v>0.16300000000000001</v>
      </c>
      <c r="AI85" s="36">
        <v>0.16200000000000001</v>
      </c>
      <c r="AJ85" s="36">
        <v>0.16200000000000001</v>
      </c>
      <c r="AK85" s="36">
        <v>0.16400000000000001</v>
      </c>
      <c r="AL85" s="36">
        <v>0.16500000000000001</v>
      </c>
      <c r="AM85" s="36">
        <v>0.16700000000000001</v>
      </c>
      <c r="AN85" s="36">
        <v>0.16800000000000001</v>
      </c>
      <c r="AO85" s="36">
        <v>0.16900000000000001</v>
      </c>
      <c r="AP85" s="37">
        <v>0.17</v>
      </c>
      <c r="AQ85" s="37">
        <v>0.17100000000000001</v>
      </c>
      <c r="AR85" s="37">
        <v>0.17199999999999999</v>
      </c>
      <c r="AS85" s="37">
        <v>0.17399999999999999</v>
      </c>
      <c r="AT85" s="37">
        <v>0.17499999999999999</v>
      </c>
      <c r="AU85" s="37">
        <v>0.17599999999999999</v>
      </c>
      <c r="AV85" s="37">
        <v>0.17699999999999999</v>
      </c>
      <c r="AW85" s="37">
        <v>0.17799999999999999</v>
      </c>
      <c r="AX85" s="37">
        <v>0.17899999999999999</v>
      </c>
      <c r="AY85" s="37">
        <v>0.17899999999999999</v>
      </c>
      <c r="AZ85" s="37">
        <v>0.18</v>
      </c>
      <c r="BA85" s="37">
        <v>0.18099999999999999</v>
      </c>
      <c r="BB85" s="37">
        <v>0.182</v>
      </c>
      <c r="BC85" s="37">
        <v>0.183</v>
      </c>
      <c r="BD85" s="37">
        <v>0.184</v>
      </c>
      <c r="BE85" s="37">
        <v>0.184</v>
      </c>
      <c r="BF85" s="37">
        <v>0.185</v>
      </c>
      <c r="BG85" s="37">
        <v>0.186</v>
      </c>
      <c r="BH85" s="37">
        <v>0.187</v>
      </c>
      <c r="BI85" s="37">
        <v>0.188</v>
      </c>
      <c r="BJ85" s="37">
        <v>0.188</v>
      </c>
      <c r="BK85" s="37">
        <v>0.189</v>
      </c>
      <c r="BL85" s="37">
        <v>0.19</v>
      </c>
      <c r="BM85" s="37">
        <v>0.191</v>
      </c>
      <c r="BN85" s="37">
        <v>0.191</v>
      </c>
    </row>
    <row r="86" spans="1:66" x14ac:dyDescent="0.2">
      <c r="A86" s="2" t="s">
        <v>374</v>
      </c>
      <c r="B86" s="2" t="s">
        <v>375</v>
      </c>
      <c r="C86" s="11" t="s">
        <v>82</v>
      </c>
      <c r="D86" s="12" t="s">
        <v>697</v>
      </c>
      <c r="E86" s="35">
        <v>0.99999997324469403</v>
      </c>
      <c r="F86" s="36">
        <v>9.0250000000000004</v>
      </c>
      <c r="G86" s="36">
        <v>9.2729999999999997</v>
      </c>
      <c r="H86" s="36">
        <v>9.5220000000000002</v>
      </c>
      <c r="I86" s="36">
        <v>9.7799999999999994</v>
      </c>
      <c r="J86" s="36">
        <v>10.044</v>
      </c>
      <c r="K86" s="36">
        <v>10.313000000000001</v>
      </c>
      <c r="L86" s="36">
        <v>10.584</v>
      </c>
      <c r="M86" s="36">
        <v>10.858000000000001</v>
      </c>
      <c r="N86" s="36">
        <v>11.138999999999999</v>
      </c>
      <c r="O86" s="36">
        <v>11.423</v>
      </c>
      <c r="P86" s="36">
        <v>11.698</v>
      </c>
      <c r="Q86" s="36">
        <v>11.968999999999999</v>
      </c>
      <c r="R86" s="36">
        <v>12.247</v>
      </c>
      <c r="S86" s="36">
        <v>12.526</v>
      </c>
      <c r="T86" s="36">
        <v>12.807</v>
      </c>
      <c r="U86" s="36">
        <v>13.087999999999999</v>
      </c>
      <c r="V86" s="36">
        <v>13.367000000000001</v>
      </c>
      <c r="W86" s="36">
        <v>13.651999999999999</v>
      </c>
      <c r="X86" s="36">
        <v>13.935</v>
      </c>
      <c r="Y86" s="36">
        <v>14.215999999999999</v>
      </c>
      <c r="Z86" s="36">
        <v>14.5</v>
      </c>
      <c r="AA86" s="36">
        <v>14.792</v>
      </c>
      <c r="AB86" s="36">
        <v>15.09</v>
      </c>
      <c r="AC86" s="36">
        <v>15.387</v>
      </c>
      <c r="AD86" s="36">
        <v>15.682</v>
      </c>
      <c r="AE86" s="36">
        <v>15.972</v>
      </c>
      <c r="AF86" s="36">
        <v>16.268999999999998</v>
      </c>
      <c r="AG86" s="36">
        <v>16.567</v>
      </c>
      <c r="AH86" s="36">
        <v>16.846</v>
      </c>
      <c r="AI86" s="36">
        <v>17.103999999999999</v>
      </c>
      <c r="AJ86" s="36">
        <v>17.356999999999999</v>
      </c>
      <c r="AK86" s="36">
        <v>17.599</v>
      </c>
      <c r="AL86" s="36">
        <v>17.847999999999999</v>
      </c>
      <c r="AM86" s="36">
        <v>18.125</v>
      </c>
      <c r="AN86" s="36">
        <v>18.405999999999999</v>
      </c>
      <c r="AO86" s="36">
        <v>18.687999999999999</v>
      </c>
      <c r="AP86" s="37">
        <v>18.968</v>
      </c>
      <c r="AQ86" s="37">
        <v>19.245999999999999</v>
      </c>
      <c r="AR86" s="37">
        <v>19.521999999999998</v>
      </c>
      <c r="AS86" s="37">
        <v>19.795000000000002</v>
      </c>
      <c r="AT86" s="37">
        <v>20.067</v>
      </c>
      <c r="AU86" s="37">
        <v>20.337</v>
      </c>
      <c r="AV86" s="37">
        <v>20.605</v>
      </c>
      <c r="AW86" s="37">
        <v>20.870999999999999</v>
      </c>
      <c r="AX86" s="37">
        <v>21.134</v>
      </c>
      <c r="AY86" s="37">
        <v>21.393999999999998</v>
      </c>
      <c r="AZ86" s="37">
        <v>21.65</v>
      </c>
      <c r="BA86" s="37">
        <v>21.902000000000001</v>
      </c>
      <c r="BB86" s="37">
        <v>22.149000000000001</v>
      </c>
      <c r="BC86" s="37">
        <v>22.390999999999998</v>
      </c>
      <c r="BD86" s="37">
        <v>22.626999999999999</v>
      </c>
      <c r="BE86" s="37">
        <v>22.856999999999999</v>
      </c>
      <c r="BF86" s="37">
        <v>23.081</v>
      </c>
      <c r="BG86" s="37">
        <v>23.298999999999999</v>
      </c>
      <c r="BH86" s="37">
        <v>23.512</v>
      </c>
      <c r="BI86" s="37">
        <v>23.719000000000001</v>
      </c>
      <c r="BJ86" s="37">
        <v>23.92</v>
      </c>
      <c r="BK86" s="37">
        <v>24.116</v>
      </c>
      <c r="BL86" s="37">
        <v>24.306000000000001</v>
      </c>
      <c r="BM86" s="37">
        <v>24.491</v>
      </c>
      <c r="BN86" s="37">
        <v>24.670999999999999</v>
      </c>
    </row>
    <row r="87" spans="1:66" x14ac:dyDescent="0.2">
      <c r="A87" s="2" t="s">
        <v>376</v>
      </c>
      <c r="B87" s="2" t="s">
        <v>377</v>
      </c>
      <c r="C87" s="11" t="s">
        <v>210</v>
      </c>
      <c r="D87" s="12" t="s">
        <v>697</v>
      </c>
      <c r="E87" s="35">
        <v>1</v>
      </c>
      <c r="F87" s="36">
        <v>6.4340000000000002</v>
      </c>
      <c r="G87" s="36">
        <v>6.6970000000000001</v>
      </c>
      <c r="H87" s="36">
        <v>6.9139999999999997</v>
      </c>
      <c r="I87" s="36">
        <v>7.1280000000000001</v>
      </c>
      <c r="J87" s="36">
        <v>7.3449999999999998</v>
      </c>
      <c r="K87" s="36">
        <v>7.5529999999999999</v>
      </c>
      <c r="L87" s="36">
        <v>7.77</v>
      </c>
      <c r="M87" s="36">
        <v>7.931</v>
      </c>
      <c r="N87" s="36">
        <v>8.0820000000000007</v>
      </c>
      <c r="O87" s="36">
        <v>8.2650000000000006</v>
      </c>
      <c r="P87" s="36">
        <v>8.4290000000000003</v>
      </c>
      <c r="Q87" s="36">
        <v>8.5399999999999991</v>
      </c>
      <c r="R87" s="36">
        <v>8.6739999999999995</v>
      </c>
      <c r="S87" s="36">
        <v>8.8710000000000004</v>
      </c>
      <c r="T87" s="36">
        <v>9.0630000000000006</v>
      </c>
      <c r="U87" s="36">
        <v>9.2460000000000004</v>
      </c>
      <c r="V87" s="36">
        <v>9.4410000000000007</v>
      </c>
      <c r="W87" s="36">
        <v>9.6620000000000008</v>
      </c>
      <c r="X87" s="36">
        <v>9.8989999999999991</v>
      </c>
      <c r="Y87" s="36">
        <v>10.144</v>
      </c>
      <c r="Z87" s="36">
        <v>10.396000000000001</v>
      </c>
      <c r="AA87" s="36">
        <v>10.657</v>
      </c>
      <c r="AB87" s="36">
        <v>10.922000000000001</v>
      </c>
      <c r="AC87" s="36">
        <v>11.192</v>
      </c>
      <c r="AD87" s="36">
        <v>11.473000000000001</v>
      </c>
      <c r="AE87" s="36">
        <v>11.766999999999999</v>
      </c>
      <c r="AF87" s="36">
        <v>12.073</v>
      </c>
      <c r="AG87" s="36">
        <v>12.385999999999999</v>
      </c>
      <c r="AH87" s="36">
        <v>12.705</v>
      </c>
      <c r="AI87" s="36">
        <v>13.034000000000001</v>
      </c>
      <c r="AJ87" s="36">
        <v>13.371</v>
      </c>
      <c r="AK87" s="36">
        <v>13.711</v>
      </c>
      <c r="AL87" s="36">
        <v>14.055</v>
      </c>
      <c r="AM87" s="36">
        <v>14.404999999999999</v>
      </c>
      <c r="AN87" s="36">
        <v>14.755000000000001</v>
      </c>
      <c r="AO87" s="36">
        <v>15.1</v>
      </c>
      <c r="AP87" s="37">
        <v>15.442</v>
      </c>
      <c r="AQ87" s="37">
        <v>15.784000000000001</v>
      </c>
      <c r="AR87" s="37">
        <v>16.126999999999999</v>
      </c>
      <c r="AS87" s="37">
        <v>16.466999999999999</v>
      </c>
      <c r="AT87" s="37">
        <v>16.806999999999999</v>
      </c>
      <c r="AU87" s="37">
        <v>17.148</v>
      </c>
      <c r="AV87" s="37">
        <v>17.486000000000001</v>
      </c>
      <c r="AW87" s="37">
        <v>17.821999999999999</v>
      </c>
      <c r="AX87" s="37">
        <v>18.154</v>
      </c>
      <c r="AY87" s="37">
        <v>18.486000000000001</v>
      </c>
      <c r="AZ87" s="37">
        <v>18.821000000000002</v>
      </c>
      <c r="BA87" s="37">
        <v>19.155999999999999</v>
      </c>
      <c r="BB87" s="37">
        <v>19.489000000000001</v>
      </c>
      <c r="BC87" s="37">
        <v>19.824000000000002</v>
      </c>
      <c r="BD87" s="37">
        <v>20.161000000000001</v>
      </c>
      <c r="BE87" s="37">
        <v>20.497</v>
      </c>
      <c r="BF87" s="37">
        <v>20.831</v>
      </c>
      <c r="BG87" s="37">
        <v>21.163</v>
      </c>
      <c r="BH87" s="37">
        <v>21.492000000000001</v>
      </c>
      <c r="BI87" s="37">
        <v>21.817</v>
      </c>
      <c r="BJ87" s="37">
        <v>22.141999999999999</v>
      </c>
      <c r="BK87" s="37">
        <v>22.463000000000001</v>
      </c>
      <c r="BL87" s="37">
        <v>22.78</v>
      </c>
      <c r="BM87" s="37">
        <v>23.093</v>
      </c>
      <c r="BN87" s="37">
        <v>23.405000000000001</v>
      </c>
    </row>
    <row r="88" spans="1:66" x14ac:dyDescent="0.2">
      <c r="A88" s="2" t="s">
        <v>379</v>
      </c>
      <c r="B88" s="2" t="s">
        <v>380</v>
      </c>
      <c r="C88" s="11" t="s">
        <v>75</v>
      </c>
      <c r="D88" s="12" t="s">
        <v>697</v>
      </c>
      <c r="E88" s="35">
        <v>1</v>
      </c>
      <c r="F88" s="36">
        <v>0.97399999999999998</v>
      </c>
      <c r="G88" s="36">
        <v>0.995</v>
      </c>
      <c r="H88" s="36">
        <v>1.024</v>
      </c>
      <c r="I88" s="36">
        <v>1.0589999999999999</v>
      </c>
      <c r="J88" s="36">
        <v>1.0920000000000001</v>
      </c>
      <c r="K88" s="36">
        <v>1.1200000000000001</v>
      </c>
      <c r="L88" s="36">
        <v>1.1439999999999999</v>
      </c>
      <c r="M88" s="36">
        <v>1.1659999999999999</v>
      </c>
      <c r="N88" s="36">
        <v>1.1870000000000001</v>
      </c>
      <c r="O88" s="36">
        <v>1.21</v>
      </c>
      <c r="P88" s="36">
        <v>1.2350000000000001</v>
      </c>
      <c r="Q88" s="36">
        <v>1.2609999999999999</v>
      </c>
      <c r="R88" s="36">
        <v>1.2889999999999999</v>
      </c>
      <c r="S88" s="36">
        <v>1.319</v>
      </c>
      <c r="T88" s="36">
        <v>1.35</v>
      </c>
      <c r="U88" s="36">
        <v>1.3819999999999999</v>
      </c>
      <c r="V88" s="36">
        <v>1.415</v>
      </c>
      <c r="W88" s="36">
        <v>1.4510000000000001</v>
      </c>
      <c r="X88" s="36">
        <v>1.488</v>
      </c>
      <c r="Y88" s="36">
        <v>1.526</v>
      </c>
      <c r="Z88" s="36">
        <v>1.5660000000000001</v>
      </c>
      <c r="AA88" s="36">
        <v>1.6080000000000001</v>
      </c>
      <c r="AB88" s="36">
        <v>1.651</v>
      </c>
      <c r="AC88" s="36">
        <v>1.696</v>
      </c>
      <c r="AD88" s="36">
        <v>1.7410000000000001</v>
      </c>
      <c r="AE88" s="36">
        <v>1.786</v>
      </c>
      <c r="AF88" s="36">
        <v>1.8320000000000001</v>
      </c>
      <c r="AG88" s="36">
        <v>1.877</v>
      </c>
      <c r="AH88" s="36">
        <v>1.9219999999999999</v>
      </c>
      <c r="AI88" s="36">
        <v>1.968</v>
      </c>
      <c r="AJ88" s="36">
        <v>2.0129999999999999</v>
      </c>
      <c r="AK88" s="36">
        <v>2.0590000000000002</v>
      </c>
      <c r="AL88" s="36">
        <v>2.1059999999999999</v>
      </c>
      <c r="AM88" s="36">
        <v>2.153</v>
      </c>
      <c r="AN88" s="36">
        <v>2.2010000000000001</v>
      </c>
      <c r="AO88" s="36">
        <v>2.25</v>
      </c>
      <c r="AP88" s="37">
        <v>2.298</v>
      </c>
      <c r="AQ88" s="37">
        <v>2.3460000000000001</v>
      </c>
      <c r="AR88" s="37">
        <v>2.3940000000000001</v>
      </c>
      <c r="AS88" s="37">
        <v>2.4420000000000002</v>
      </c>
      <c r="AT88" s="37">
        <v>2.4889999999999999</v>
      </c>
      <c r="AU88" s="37">
        <v>2.5369999999999999</v>
      </c>
      <c r="AV88" s="37">
        <v>2.5859999999999999</v>
      </c>
      <c r="AW88" s="37">
        <v>2.6349999999999998</v>
      </c>
      <c r="AX88" s="37">
        <v>2.6829999999999998</v>
      </c>
      <c r="AY88" s="37">
        <v>2.73</v>
      </c>
      <c r="AZ88" s="37">
        <v>2.778</v>
      </c>
      <c r="BA88" s="37">
        <v>2.8260000000000001</v>
      </c>
      <c r="BB88" s="37">
        <v>2.8740000000000001</v>
      </c>
      <c r="BC88" s="37">
        <v>2.9220000000000002</v>
      </c>
      <c r="BD88" s="37">
        <v>2.97</v>
      </c>
      <c r="BE88" s="37">
        <v>3.0169999999999999</v>
      </c>
      <c r="BF88" s="37">
        <v>3.0630000000000002</v>
      </c>
      <c r="BG88" s="37">
        <v>3.11</v>
      </c>
      <c r="BH88" s="37">
        <v>3.157</v>
      </c>
      <c r="BI88" s="37">
        <v>3.2040000000000002</v>
      </c>
      <c r="BJ88" s="37">
        <v>3.2509999999999999</v>
      </c>
      <c r="BK88" s="37">
        <v>3.2989999999999999</v>
      </c>
      <c r="BL88" s="37">
        <v>3.3460000000000001</v>
      </c>
      <c r="BM88" s="37">
        <v>3.3929999999999998</v>
      </c>
      <c r="BN88" s="37">
        <v>3.4390000000000001</v>
      </c>
    </row>
    <row r="89" spans="1:66" x14ac:dyDescent="0.2">
      <c r="A89" s="2" t="s">
        <v>381</v>
      </c>
      <c r="B89" s="2" t="s">
        <v>382</v>
      </c>
      <c r="C89" s="11" t="s">
        <v>79</v>
      </c>
      <c r="D89" s="12" t="s">
        <v>697</v>
      </c>
      <c r="E89" s="35">
        <v>1</v>
      </c>
      <c r="F89" s="36">
        <v>0.75</v>
      </c>
      <c r="G89" s="36">
        <v>0.748</v>
      </c>
      <c r="H89" s="36">
        <v>0.75</v>
      </c>
      <c r="I89" s="36">
        <v>0.753</v>
      </c>
      <c r="J89" s="36">
        <v>0.75600000000000001</v>
      </c>
      <c r="K89" s="36">
        <v>0.75800000000000001</v>
      </c>
      <c r="L89" s="36">
        <v>0.76100000000000001</v>
      </c>
      <c r="M89" s="36">
        <v>0.76200000000000001</v>
      </c>
      <c r="N89" s="36">
        <v>0.76400000000000001</v>
      </c>
      <c r="O89" s="36">
        <v>0.76400000000000001</v>
      </c>
      <c r="P89" s="36">
        <v>0.76500000000000001</v>
      </c>
      <c r="Q89" s="36">
        <v>0.76400000000000001</v>
      </c>
      <c r="R89" s="36">
        <v>0.76400000000000001</v>
      </c>
      <c r="S89" s="36">
        <v>0.76300000000000001</v>
      </c>
      <c r="T89" s="36">
        <v>0.76200000000000001</v>
      </c>
      <c r="U89" s="36">
        <v>0.76100000000000001</v>
      </c>
      <c r="V89" s="36">
        <v>0.75900000000000001</v>
      </c>
      <c r="W89" s="36">
        <v>0.75700000000000001</v>
      </c>
      <c r="X89" s="36">
        <v>0.755</v>
      </c>
      <c r="Y89" s="36">
        <v>0.752</v>
      </c>
      <c r="Z89" s="36">
        <v>0.749</v>
      </c>
      <c r="AA89" s="36">
        <v>0.746</v>
      </c>
      <c r="AB89" s="36">
        <v>0.746</v>
      </c>
      <c r="AC89" s="36">
        <v>0.75</v>
      </c>
      <c r="AD89" s="36">
        <v>0.754</v>
      </c>
      <c r="AE89" s="36">
        <v>0.75900000000000001</v>
      </c>
      <c r="AF89" s="36">
        <v>0.76400000000000001</v>
      </c>
      <c r="AG89" s="36">
        <v>0.76800000000000002</v>
      </c>
      <c r="AH89" s="36">
        <v>0.79200000000000004</v>
      </c>
      <c r="AI89" s="36">
        <v>0.80800000000000005</v>
      </c>
      <c r="AJ89" s="36">
        <v>0.80700000000000005</v>
      </c>
      <c r="AK89" s="36">
        <v>0.81499999999999995</v>
      </c>
      <c r="AL89" s="36">
        <v>0.82199999999999995</v>
      </c>
      <c r="AM89" s="36">
        <v>0.82599999999999996</v>
      </c>
      <c r="AN89" s="36">
        <v>0.83099999999999996</v>
      </c>
      <c r="AO89" s="36">
        <v>0.83599999999999997</v>
      </c>
      <c r="AP89" s="37">
        <v>0.84099999999999997</v>
      </c>
      <c r="AQ89" s="37">
        <v>0.84599999999999997</v>
      </c>
      <c r="AR89" s="37">
        <v>0.85099999999999998</v>
      </c>
      <c r="AS89" s="37">
        <v>0.85599999999999998</v>
      </c>
      <c r="AT89" s="37">
        <v>0.86099999999999999</v>
      </c>
      <c r="AU89" s="37">
        <v>0.86599999999999999</v>
      </c>
      <c r="AV89" s="37">
        <v>0.871</v>
      </c>
      <c r="AW89" s="37">
        <v>0.876</v>
      </c>
      <c r="AX89" s="37">
        <v>0.88100000000000001</v>
      </c>
      <c r="AY89" s="37">
        <v>0.88600000000000001</v>
      </c>
      <c r="AZ89" s="37">
        <v>0.89</v>
      </c>
      <c r="BA89" s="37">
        <v>0.89500000000000002</v>
      </c>
      <c r="BB89" s="37">
        <v>0.89900000000000002</v>
      </c>
      <c r="BC89" s="37">
        <v>0.90300000000000002</v>
      </c>
      <c r="BD89" s="37">
        <v>0.90800000000000003</v>
      </c>
      <c r="BE89" s="37">
        <v>0.91200000000000003</v>
      </c>
      <c r="BF89" s="37">
        <v>0.91600000000000004</v>
      </c>
      <c r="BG89" s="37">
        <v>0.92</v>
      </c>
      <c r="BH89" s="37">
        <v>0.92300000000000004</v>
      </c>
      <c r="BI89" s="37">
        <v>0.92600000000000005</v>
      </c>
      <c r="BJ89" s="37">
        <v>0.92900000000000005</v>
      </c>
      <c r="BK89" s="37">
        <v>0.93200000000000005</v>
      </c>
      <c r="BL89" s="37">
        <v>0.93500000000000005</v>
      </c>
      <c r="BM89" s="37">
        <v>0.93799999999999994</v>
      </c>
      <c r="BN89" s="37">
        <v>0.94099999999999995</v>
      </c>
    </row>
    <row r="90" spans="1:66" x14ac:dyDescent="0.2">
      <c r="A90" s="2" t="s">
        <v>383</v>
      </c>
      <c r="B90" s="2" t="s">
        <v>384</v>
      </c>
      <c r="C90" s="11" t="s">
        <v>210</v>
      </c>
      <c r="D90" s="12" t="s">
        <v>697</v>
      </c>
      <c r="E90" s="35">
        <v>0.99999995800470398</v>
      </c>
      <c r="F90" s="36">
        <v>6.8540000000000001</v>
      </c>
      <c r="G90" s="36">
        <v>6.9950000000000001</v>
      </c>
      <c r="H90" s="36">
        <v>7.1369999999999996</v>
      </c>
      <c r="I90" s="36">
        <v>7.2779999999999996</v>
      </c>
      <c r="J90" s="36">
        <v>7.42</v>
      </c>
      <c r="K90" s="36">
        <v>7.5629999999999997</v>
      </c>
      <c r="L90" s="36">
        <v>7.7080000000000002</v>
      </c>
      <c r="M90" s="36">
        <v>7.8540000000000001</v>
      </c>
      <c r="N90" s="36">
        <v>8.0020000000000007</v>
      </c>
      <c r="O90" s="36">
        <v>8.1509999999999998</v>
      </c>
      <c r="P90" s="36">
        <v>8.3030000000000008</v>
      </c>
      <c r="Q90" s="36">
        <v>8.4559999999999995</v>
      </c>
      <c r="R90" s="36">
        <v>8.6080000000000005</v>
      </c>
      <c r="S90" s="36">
        <v>8.76</v>
      </c>
      <c r="T90" s="36">
        <v>8.91</v>
      </c>
      <c r="U90" s="36">
        <v>9.0609999999999999</v>
      </c>
      <c r="V90" s="36">
        <v>9.2170000000000005</v>
      </c>
      <c r="W90" s="36">
        <v>9.3729999999999993</v>
      </c>
      <c r="X90" s="36">
        <v>9.5310000000000006</v>
      </c>
      <c r="Y90" s="36">
        <v>9.69</v>
      </c>
      <c r="Z90" s="36">
        <v>9.8030000000000008</v>
      </c>
      <c r="AA90" s="36">
        <v>9.9149999999999991</v>
      </c>
      <c r="AB90" s="36">
        <v>10.07</v>
      </c>
      <c r="AC90" s="36">
        <v>10.222</v>
      </c>
      <c r="AD90" s="36">
        <v>10.372999999999999</v>
      </c>
      <c r="AE90" s="36">
        <v>10.523</v>
      </c>
      <c r="AF90" s="36">
        <v>10.670999999999999</v>
      </c>
      <c r="AG90" s="36">
        <v>10.818</v>
      </c>
      <c r="AH90" s="36">
        <v>10.962</v>
      </c>
      <c r="AI90" s="36">
        <v>11.105</v>
      </c>
      <c r="AJ90" s="36">
        <v>11.244</v>
      </c>
      <c r="AK90" s="36">
        <v>11.375</v>
      </c>
      <c r="AL90" s="36">
        <v>11.504</v>
      </c>
      <c r="AM90" s="36">
        <v>11.637</v>
      </c>
      <c r="AN90" s="36">
        <v>11.773</v>
      </c>
      <c r="AO90" s="36">
        <v>11.906000000000001</v>
      </c>
      <c r="AP90" s="37">
        <v>12.038</v>
      </c>
      <c r="AQ90" s="37">
        <v>12.167999999999999</v>
      </c>
      <c r="AR90" s="37">
        <v>12.297000000000001</v>
      </c>
      <c r="AS90" s="37">
        <v>12.425000000000001</v>
      </c>
      <c r="AT90" s="37">
        <v>12.552</v>
      </c>
      <c r="AU90" s="37">
        <v>12.678000000000001</v>
      </c>
      <c r="AV90" s="37">
        <v>12.802</v>
      </c>
      <c r="AW90" s="37">
        <v>12.925000000000001</v>
      </c>
      <c r="AX90" s="37">
        <v>13.045999999999999</v>
      </c>
      <c r="AY90" s="37">
        <v>13.164999999999999</v>
      </c>
      <c r="AZ90" s="37">
        <v>13.282</v>
      </c>
      <c r="BA90" s="37">
        <v>13.398</v>
      </c>
      <c r="BB90" s="37">
        <v>13.512</v>
      </c>
      <c r="BC90" s="37">
        <v>13.624000000000001</v>
      </c>
      <c r="BD90" s="37">
        <v>13.734</v>
      </c>
      <c r="BE90" s="37">
        <v>13.842000000000001</v>
      </c>
      <c r="BF90" s="37">
        <v>13.948</v>
      </c>
      <c r="BG90" s="37">
        <v>14.052</v>
      </c>
      <c r="BH90" s="37">
        <v>14.154</v>
      </c>
      <c r="BI90" s="37">
        <v>14.253</v>
      </c>
      <c r="BJ90" s="37">
        <v>14.35</v>
      </c>
      <c r="BK90" s="37">
        <v>14.444000000000001</v>
      </c>
      <c r="BL90" s="37">
        <v>14.535</v>
      </c>
      <c r="BM90" s="37">
        <v>14.624000000000001</v>
      </c>
      <c r="BN90" s="37">
        <v>14.711</v>
      </c>
    </row>
    <row r="91" spans="1:66" x14ac:dyDescent="0.2">
      <c r="A91" s="2" t="s">
        <v>385</v>
      </c>
      <c r="B91" s="2" t="s">
        <v>386</v>
      </c>
      <c r="C91" s="11" t="s">
        <v>210</v>
      </c>
      <c r="D91" s="12" t="s">
        <v>697</v>
      </c>
      <c r="E91" s="35">
        <v>1.0000000454303899</v>
      </c>
      <c r="F91" s="36">
        <v>4.9800000000000004</v>
      </c>
      <c r="G91" s="36">
        <v>5.1239999999999997</v>
      </c>
      <c r="H91" s="36">
        <v>5.2709999999999999</v>
      </c>
      <c r="I91" s="36">
        <v>5.423</v>
      </c>
      <c r="J91" s="36">
        <v>5.5789999999999997</v>
      </c>
      <c r="K91" s="36">
        <v>5.74</v>
      </c>
      <c r="L91" s="36">
        <v>5.9039999999999999</v>
      </c>
      <c r="M91" s="36">
        <v>6.0709999999999997</v>
      </c>
      <c r="N91" s="36">
        <v>6.234</v>
      </c>
      <c r="O91" s="36">
        <v>6.4</v>
      </c>
      <c r="P91" s="36">
        <v>6.5780000000000003</v>
      </c>
      <c r="Q91" s="36">
        <v>6.758</v>
      </c>
      <c r="R91" s="36">
        <v>6.9390000000000001</v>
      </c>
      <c r="S91" s="36">
        <v>7.1189999999999998</v>
      </c>
      <c r="T91" s="36">
        <v>7.2990000000000004</v>
      </c>
      <c r="U91" s="36">
        <v>7.4779999999999998</v>
      </c>
      <c r="V91" s="36">
        <v>7.657</v>
      </c>
      <c r="W91" s="36">
        <v>7.835</v>
      </c>
      <c r="X91" s="36">
        <v>8.0129999999999999</v>
      </c>
      <c r="Y91" s="36">
        <v>8.19</v>
      </c>
      <c r="Z91" s="36">
        <v>8.3659999999999997</v>
      </c>
      <c r="AA91" s="36">
        <v>8.5410000000000004</v>
      </c>
      <c r="AB91" s="36">
        <v>8.7149999999999999</v>
      </c>
      <c r="AC91" s="36">
        <v>8.8889999999999993</v>
      </c>
      <c r="AD91" s="36">
        <v>9.0630000000000006</v>
      </c>
      <c r="AE91" s="36">
        <v>9.2370000000000001</v>
      </c>
      <c r="AF91" s="36">
        <v>9.4120000000000008</v>
      </c>
      <c r="AG91" s="36">
        <v>9.5879999999999992</v>
      </c>
      <c r="AH91" s="36">
        <v>9.7650000000000006</v>
      </c>
      <c r="AI91" s="36">
        <v>9.9440000000000008</v>
      </c>
      <c r="AJ91" s="36">
        <v>10.119999999999999</v>
      </c>
      <c r="AK91" s="36">
        <v>10.29</v>
      </c>
      <c r="AL91" s="36">
        <v>10.464</v>
      </c>
      <c r="AM91" s="36">
        <v>10.645</v>
      </c>
      <c r="AN91" s="36">
        <v>10.826000000000001</v>
      </c>
      <c r="AO91" s="36">
        <v>11.006</v>
      </c>
      <c r="AP91" s="37">
        <v>11.185</v>
      </c>
      <c r="AQ91" s="37">
        <v>11.362</v>
      </c>
      <c r="AR91" s="37">
        <v>11.538</v>
      </c>
      <c r="AS91" s="37">
        <v>11.712999999999999</v>
      </c>
      <c r="AT91" s="37">
        <v>11.885</v>
      </c>
      <c r="AU91" s="37">
        <v>12.055999999999999</v>
      </c>
      <c r="AV91" s="37">
        <v>12.224</v>
      </c>
      <c r="AW91" s="37">
        <v>12.388999999999999</v>
      </c>
      <c r="AX91" s="37">
        <v>12.553000000000001</v>
      </c>
      <c r="AY91" s="37">
        <v>12.714</v>
      </c>
      <c r="AZ91" s="37">
        <v>12.872999999999999</v>
      </c>
      <c r="BA91" s="37">
        <v>13.029</v>
      </c>
      <c r="BB91" s="37">
        <v>13.183999999999999</v>
      </c>
      <c r="BC91" s="37">
        <v>13.335000000000001</v>
      </c>
      <c r="BD91" s="37">
        <v>13.484999999999999</v>
      </c>
      <c r="BE91" s="37">
        <v>13.632</v>
      </c>
      <c r="BF91" s="37">
        <v>13.776999999999999</v>
      </c>
      <c r="BG91" s="37">
        <v>13.92</v>
      </c>
      <c r="BH91" s="37">
        <v>14.06</v>
      </c>
      <c r="BI91" s="37">
        <v>14.198</v>
      </c>
      <c r="BJ91" s="37">
        <v>14.333</v>
      </c>
      <c r="BK91" s="37">
        <v>14.465999999999999</v>
      </c>
      <c r="BL91" s="37">
        <v>14.596</v>
      </c>
      <c r="BM91" s="37">
        <v>14.722</v>
      </c>
      <c r="BN91" s="37">
        <v>14.847</v>
      </c>
    </row>
    <row r="92" spans="1:66" x14ac:dyDescent="0.2">
      <c r="A92" s="2" t="s">
        <v>387</v>
      </c>
      <c r="B92" s="2" t="s">
        <v>388</v>
      </c>
      <c r="C92" s="11" t="s">
        <v>79</v>
      </c>
      <c r="D92" s="12" t="s">
        <v>697</v>
      </c>
      <c r="E92" s="35">
        <v>1.0139025072214001</v>
      </c>
      <c r="F92" s="36">
        <v>5.7050000000000001</v>
      </c>
      <c r="G92" s="36">
        <v>5.7519999999999998</v>
      </c>
      <c r="H92" s="36">
        <v>5.8010000000000002</v>
      </c>
      <c r="I92" s="36">
        <v>5.9009999999999998</v>
      </c>
      <c r="J92" s="36">
        <v>6.0350000000000001</v>
      </c>
      <c r="K92" s="36">
        <v>6.1559999999999997</v>
      </c>
      <c r="L92" s="36">
        <v>6.4359999999999999</v>
      </c>
      <c r="M92" s="36">
        <v>6.4889999999999999</v>
      </c>
      <c r="N92" s="36">
        <v>6.5439999999999996</v>
      </c>
      <c r="O92" s="36">
        <v>6.6059999999999999</v>
      </c>
      <c r="P92" s="36">
        <v>6.665</v>
      </c>
      <c r="Q92" s="36">
        <v>6.7140000000000004</v>
      </c>
      <c r="R92" s="36">
        <v>6.7439999999999998</v>
      </c>
      <c r="S92" s="36">
        <v>6.7309999999999999</v>
      </c>
      <c r="T92" s="36">
        <v>6.7839999999999998</v>
      </c>
      <c r="U92" s="36">
        <v>6.8129999999999997</v>
      </c>
      <c r="V92" s="36">
        <v>6.8570000000000002</v>
      </c>
      <c r="W92" s="36">
        <v>6.9160000000000004</v>
      </c>
      <c r="X92" s="36">
        <v>6.9580000000000002</v>
      </c>
      <c r="Y92" s="36">
        <v>6.9729999999999999</v>
      </c>
      <c r="Z92" s="36">
        <v>7.024</v>
      </c>
      <c r="AA92" s="36">
        <v>7.0720000000000001</v>
      </c>
      <c r="AB92" s="36">
        <v>7.15</v>
      </c>
      <c r="AC92" s="36">
        <v>7.1790000000000003</v>
      </c>
      <c r="AD92" s="36">
        <v>7.2290000000000001</v>
      </c>
      <c r="AE92" s="36">
        <v>7.2910000000000004</v>
      </c>
      <c r="AF92" s="36">
        <v>7.3369999999999997</v>
      </c>
      <c r="AG92" s="36">
        <v>7.3929999999999998</v>
      </c>
      <c r="AH92" s="36">
        <v>7.4530000000000003</v>
      </c>
      <c r="AI92" s="36">
        <v>7.508</v>
      </c>
      <c r="AJ92" s="36">
        <v>7.4809999999999999</v>
      </c>
      <c r="AK92" s="36">
        <v>7.4130000000000003</v>
      </c>
      <c r="AL92" s="36">
        <v>7.3460000000000001</v>
      </c>
      <c r="AM92" s="36">
        <v>7.5359999999999996</v>
      </c>
      <c r="AN92" s="36">
        <v>7.524</v>
      </c>
      <c r="AO92" s="36">
        <v>7.4989999999999997</v>
      </c>
      <c r="AP92" s="37">
        <v>7.4809999999999999</v>
      </c>
      <c r="AQ92" s="37">
        <v>7.4569999999999999</v>
      </c>
      <c r="AR92" s="37">
        <v>7.4269999999999996</v>
      </c>
      <c r="AS92" s="37">
        <v>7.3879999999999999</v>
      </c>
      <c r="AT92" s="37">
        <v>7.3529999999999998</v>
      </c>
      <c r="AU92" s="37">
        <v>7.3120000000000003</v>
      </c>
      <c r="AV92" s="37">
        <v>7.2720000000000002</v>
      </c>
      <c r="AW92" s="37">
        <v>7.234</v>
      </c>
      <c r="AX92" s="37">
        <v>7.1989999999999998</v>
      </c>
      <c r="AY92" s="37">
        <v>7.15</v>
      </c>
      <c r="AZ92" s="37">
        <v>7.09</v>
      </c>
      <c r="BA92" s="37">
        <v>7.05</v>
      </c>
      <c r="BB92" s="37">
        <v>7.0030000000000001</v>
      </c>
      <c r="BC92" s="37">
        <v>6.9569999999999999</v>
      </c>
      <c r="BD92" s="37">
        <v>6.9109999999999996</v>
      </c>
      <c r="BE92" s="37">
        <v>6.8490000000000002</v>
      </c>
      <c r="BF92" s="37">
        <v>6.78</v>
      </c>
      <c r="BG92" s="37">
        <v>6.7149999999999999</v>
      </c>
      <c r="BH92" s="37">
        <v>6.6550000000000002</v>
      </c>
      <c r="BI92" s="37">
        <v>6.5890000000000004</v>
      </c>
      <c r="BJ92" s="37">
        <v>6.5170000000000003</v>
      </c>
      <c r="BK92" s="37">
        <v>6.431</v>
      </c>
      <c r="BL92" s="37">
        <v>6.343</v>
      </c>
      <c r="BM92" s="37">
        <v>6.26</v>
      </c>
      <c r="BN92" s="37">
        <v>6.1749999999999998</v>
      </c>
    </row>
    <row r="93" spans="1:66" x14ac:dyDescent="0.2">
      <c r="A93" s="2" t="s">
        <v>389</v>
      </c>
      <c r="B93" s="2" t="s">
        <v>390</v>
      </c>
      <c r="C93" s="11" t="s">
        <v>79</v>
      </c>
      <c r="D93" s="12" t="s">
        <v>697</v>
      </c>
      <c r="E93" s="35">
        <v>0.98774579702618903</v>
      </c>
      <c r="F93" s="36">
        <v>10.374000000000001</v>
      </c>
      <c r="G93" s="36">
        <v>10.372999999999999</v>
      </c>
      <c r="H93" s="36">
        <v>10.369</v>
      </c>
      <c r="I93" s="36">
        <v>10.358000000000001</v>
      </c>
      <c r="J93" s="36">
        <v>10.343</v>
      </c>
      <c r="K93" s="36">
        <v>10.329000000000001</v>
      </c>
      <c r="L93" s="36">
        <v>10.311</v>
      </c>
      <c r="M93" s="36">
        <v>10.29</v>
      </c>
      <c r="N93" s="36">
        <v>10.266999999999999</v>
      </c>
      <c r="O93" s="36">
        <v>10.238</v>
      </c>
      <c r="P93" s="36">
        <v>10.211</v>
      </c>
      <c r="Q93" s="36">
        <v>10.188000000000001</v>
      </c>
      <c r="R93" s="36">
        <v>10.159000000000001</v>
      </c>
      <c r="S93" s="36">
        <v>10.130000000000001</v>
      </c>
      <c r="T93" s="36">
        <v>10.106999999999999</v>
      </c>
      <c r="U93" s="36">
        <v>10.087</v>
      </c>
      <c r="V93" s="36">
        <v>10.071</v>
      </c>
      <c r="W93" s="36">
        <v>10.055999999999999</v>
      </c>
      <c r="X93" s="36">
        <v>10.038</v>
      </c>
      <c r="Y93" s="36">
        <v>10.023</v>
      </c>
      <c r="Z93" s="36">
        <v>10</v>
      </c>
      <c r="AA93" s="36">
        <v>9.9719999999999995</v>
      </c>
      <c r="AB93" s="36">
        <v>9.92</v>
      </c>
      <c r="AC93" s="36">
        <v>9.8729999999999993</v>
      </c>
      <c r="AD93" s="36">
        <v>9.8330000000000002</v>
      </c>
      <c r="AE93" s="36">
        <v>9.798</v>
      </c>
      <c r="AF93" s="36">
        <v>9.76</v>
      </c>
      <c r="AG93" s="36">
        <v>9.7270000000000003</v>
      </c>
      <c r="AH93" s="36">
        <v>9.7070000000000007</v>
      </c>
      <c r="AI93" s="36">
        <v>9.6950000000000003</v>
      </c>
      <c r="AJ93" s="36">
        <v>9.67</v>
      </c>
      <c r="AK93" s="36">
        <v>9.6310000000000002</v>
      </c>
      <c r="AL93" s="36">
        <v>9.6050000000000004</v>
      </c>
      <c r="AM93" s="36">
        <v>9.5920000000000005</v>
      </c>
      <c r="AN93" s="36">
        <v>9.5619999999999994</v>
      </c>
      <c r="AO93" s="36">
        <v>9.5139999999999993</v>
      </c>
      <c r="AP93" s="37">
        <v>9.468</v>
      </c>
      <c r="AQ93" s="37">
        <v>9.4359999999999999</v>
      </c>
      <c r="AR93" s="37">
        <v>9.4030000000000005</v>
      </c>
      <c r="AS93" s="37">
        <v>9.3689999999999998</v>
      </c>
      <c r="AT93" s="37">
        <v>9.3330000000000002</v>
      </c>
      <c r="AU93" s="37">
        <v>9.2970000000000006</v>
      </c>
      <c r="AV93" s="37">
        <v>9.26</v>
      </c>
      <c r="AW93" s="37">
        <v>9.2230000000000008</v>
      </c>
      <c r="AX93" s="37">
        <v>9.1850000000000005</v>
      </c>
      <c r="AY93" s="37">
        <v>9.1460000000000008</v>
      </c>
      <c r="AZ93" s="37">
        <v>9.1080000000000005</v>
      </c>
      <c r="BA93" s="37">
        <v>9.07</v>
      </c>
      <c r="BB93" s="37">
        <v>9.032</v>
      </c>
      <c r="BC93" s="37">
        <v>8.9939999999999998</v>
      </c>
      <c r="BD93" s="37">
        <v>8.9570000000000007</v>
      </c>
      <c r="BE93" s="37">
        <v>8.92</v>
      </c>
      <c r="BF93" s="37">
        <v>8.8840000000000003</v>
      </c>
      <c r="BG93" s="37">
        <v>8.8490000000000002</v>
      </c>
      <c r="BH93" s="37">
        <v>8.8140000000000001</v>
      </c>
      <c r="BI93" s="37">
        <v>8.7799999999999994</v>
      </c>
      <c r="BJ93" s="37">
        <v>8.7469999999999999</v>
      </c>
      <c r="BK93" s="37">
        <v>8.7140000000000004</v>
      </c>
      <c r="BL93" s="37">
        <v>8.6809999999999992</v>
      </c>
      <c r="BM93" s="37">
        <v>8.65</v>
      </c>
      <c r="BN93" s="37">
        <v>8.6180000000000003</v>
      </c>
    </row>
    <row r="94" spans="1:66" x14ac:dyDescent="0.2">
      <c r="A94" s="2" t="s">
        <v>391</v>
      </c>
      <c r="B94" s="2" t="s">
        <v>392</v>
      </c>
      <c r="C94" s="11" t="s">
        <v>79</v>
      </c>
      <c r="D94" s="12" t="s">
        <v>697</v>
      </c>
      <c r="E94" s="35">
        <v>0.98528119397588598</v>
      </c>
      <c r="F94" s="36">
        <v>0.255</v>
      </c>
      <c r="G94" s="36">
        <v>0.25800000000000001</v>
      </c>
      <c r="H94" s="36">
        <v>0.26100000000000001</v>
      </c>
      <c r="I94" s="36">
        <v>0.26400000000000001</v>
      </c>
      <c r="J94" s="36">
        <v>0.26600000000000001</v>
      </c>
      <c r="K94" s="36">
        <v>0.26700000000000002</v>
      </c>
      <c r="L94" s="36">
        <v>0.26900000000000002</v>
      </c>
      <c r="M94" s="36">
        <v>0.27100000000000002</v>
      </c>
      <c r="N94" s="36">
        <v>0.27400000000000002</v>
      </c>
      <c r="O94" s="36">
        <v>0.27700000000000002</v>
      </c>
      <c r="P94" s="36">
        <v>0.28100000000000003</v>
      </c>
      <c r="Q94" s="36">
        <v>0.28499999999999998</v>
      </c>
      <c r="R94" s="36">
        <v>0.28799999999999998</v>
      </c>
      <c r="S94" s="36">
        <v>0.28999999999999998</v>
      </c>
      <c r="T94" s="36">
        <v>0.29199999999999998</v>
      </c>
      <c r="U94" s="36">
        <v>0.29699999999999999</v>
      </c>
      <c r="V94" s="36">
        <v>0.30399999999999999</v>
      </c>
      <c r="W94" s="36">
        <v>0.312</v>
      </c>
      <c r="X94" s="36">
        <v>0.317</v>
      </c>
      <c r="Y94" s="36">
        <v>0.318</v>
      </c>
      <c r="Z94" s="36">
        <v>0.318</v>
      </c>
      <c r="AA94" s="36">
        <v>0.31900000000000001</v>
      </c>
      <c r="AB94" s="36">
        <v>0.32100000000000001</v>
      </c>
      <c r="AC94" s="36">
        <v>0.32400000000000001</v>
      </c>
      <c r="AD94" s="36">
        <v>0.32700000000000001</v>
      </c>
      <c r="AE94" s="36">
        <v>0.33100000000000002</v>
      </c>
      <c r="AF94" s="36">
        <v>0.33500000000000002</v>
      </c>
      <c r="AG94" s="36">
        <v>0.34300000000000003</v>
      </c>
      <c r="AH94" s="36">
        <v>0.35299999999999998</v>
      </c>
      <c r="AI94" s="36">
        <v>0.36099999999999999</v>
      </c>
      <c r="AJ94" s="36">
        <v>0.36599999999999999</v>
      </c>
      <c r="AK94" s="36">
        <v>0.373</v>
      </c>
      <c r="AL94" s="36">
        <v>0.38200000000000001</v>
      </c>
      <c r="AM94" s="36">
        <v>0.38600000000000001</v>
      </c>
      <c r="AN94" s="36">
        <v>0.38700000000000001</v>
      </c>
      <c r="AO94" s="36">
        <v>0.39200000000000002</v>
      </c>
      <c r="AP94" s="37">
        <v>0.39600000000000002</v>
      </c>
      <c r="AQ94" s="37">
        <v>0.4</v>
      </c>
      <c r="AR94" s="37">
        <v>0.40300000000000002</v>
      </c>
      <c r="AS94" s="37">
        <v>0.40600000000000003</v>
      </c>
      <c r="AT94" s="37">
        <v>0.40799999999999997</v>
      </c>
      <c r="AU94" s="37">
        <v>0.41</v>
      </c>
      <c r="AV94" s="37">
        <v>0.41199999999999998</v>
      </c>
      <c r="AW94" s="37">
        <v>0.41399999999999998</v>
      </c>
      <c r="AX94" s="37">
        <v>0.41599999999999998</v>
      </c>
      <c r="AY94" s="37">
        <v>0.41699999999999998</v>
      </c>
      <c r="AZ94" s="37">
        <v>0.41899999999999998</v>
      </c>
      <c r="BA94" s="37">
        <v>0.42</v>
      </c>
      <c r="BB94" s="37">
        <v>0.42099999999999999</v>
      </c>
      <c r="BC94" s="37">
        <v>0.42199999999999999</v>
      </c>
      <c r="BD94" s="37">
        <v>0.42299999999999999</v>
      </c>
      <c r="BE94" s="37">
        <v>0.42399999999999999</v>
      </c>
      <c r="BF94" s="37">
        <v>0.42499999999999999</v>
      </c>
      <c r="BG94" s="37">
        <v>0.42499999999999999</v>
      </c>
      <c r="BH94" s="37">
        <v>0.42599999999999999</v>
      </c>
      <c r="BI94" s="37">
        <v>0.42599999999999999</v>
      </c>
      <c r="BJ94" s="37">
        <v>0.42599999999999999</v>
      </c>
      <c r="BK94" s="37">
        <v>0.42599999999999999</v>
      </c>
      <c r="BL94" s="37">
        <v>0.42699999999999999</v>
      </c>
      <c r="BM94" s="37">
        <v>0.42699999999999999</v>
      </c>
      <c r="BN94" s="37">
        <v>0.42699999999999999</v>
      </c>
    </row>
    <row r="95" spans="1:66" x14ac:dyDescent="0.2">
      <c r="A95" s="2" t="s">
        <v>394</v>
      </c>
      <c r="B95" s="2" t="s">
        <v>395</v>
      </c>
      <c r="C95" s="11" t="s">
        <v>210</v>
      </c>
      <c r="D95" s="12" t="s">
        <v>697</v>
      </c>
      <c r="E95" s="35">
        <v>1.0000000003415599</v>
      </c>
      <c r="F95" s="36">
        <v>864.97199999999998</v>
      </c>
      <c r="G95" s="36">
        <v>883.928</v>
      </c>
      <c r="H95" s="36">
        <v>902.95699999999999</v>
      </c>
      <c r="I95" s="36">
        <v>922.11800000000005</v>
      </c>
      <c r="J95" s="36">
        <v>941.16399999999999</v>
      </c>
      <c r="K95" s="36">
        <v>960.30100000000004</v>
      </c>
      <c r="L95" s="36">
        <v>979.678</v>
      </c>
      <c r="M95" s="36">
        <v>999.13400000000001</v>
      </c>
      <c r="N95" s="36">
        <v>1018.665</v>
      </c>
      <c r="O95" s="36">
        <v>1038.2260000000001</v>
      </c>
      <c r="P95" s="36">
        <v>1057.923</v>
      </c>
      <c r="Q95" s="36">
        <v>1077.8989999999999</v>
      </c>
      <c r="R95" s="36">
        <v>1097.5999999999999</v>
      </c>
      <c r="S95" s="36">
        <v>1116.8030000000001</v>
      </c>
      <c r="T95" s="36">
        <v>1135.992</v>
      </c>
      <c r="U95" s="36">
        <v>1154.6759999999999</v>
      </c>
      <c r="V95" s="36">
        <v>1172.8789999999999</v>
      </c>
      <c r="W95" s="36">
        <v>1190.6759999999999</v>
      </c>
      <c r="X95" s="36">
        <v>1207.931</v>
      </c>
      <c r="Y95" s="36">
        <v>1225.5250000000001</v>
      </c>
      <c r="Z95" s="36">
        <v>1243.482</v>
      </c>
      <c r="AA95" s="36">
        <v>1261.2249999999999</v>
      </c>
      <c r="AB95" s="36">
        <v>1278.675</v>
      </c>
      <c r="AC95" s="36">
        <v>1295.83</v>
      </c>
      <c r="AD95" s="36">
        <v>1312.277</v>
      </c>
      <c r="AE95" s="36">
        <v>1328.0239999999999</v>
      </c>
      <c r="AF95" s="36">
        <v>1343.944</v>
      </c>
      <c r="AG95" s="36">
        <v>1359.6569999999999</v>
      </c>
      <c r="AH95" s="36">
        <v>1374.6590000000001</v>
      </c>
      <c r="AI95" s="36">
        <v>1389.03</v>
      </c>
      <c r="AJ95" s="36">
        <v>1402.6179999999999</v>
      </c>
      <c r="AK95" s="36">
        <v>1414.204</v>
      </c>
      <c r="AL95" s="36">
        <v>1425.423</v>
      </c>
      <c r="AM95" s="36">
        <v>1438.07</v>
      </c>
      <c r="AN95" s="36">
        <v>1450.9359999999999</v>
      </c>
      <c r="AO95" s="36">
        <v>1463.866</v>
      </c>
      <c r="AP95" s="37">
        <v>1476.626</v>
      </c>
      <c r="AQ95" s="37">
        <v>1489.165</v>
      </c>
      <c r="AR95" s="37">
        <v>1501.433</v>
      </c>
      <c r="AS95" s="37">
        <v>1513.424</v>
      </c>
      <c r="AT95" s="37">
        <v>1525.1389999999999</v>
      </c>
      <c r="AU95" s="37">
        <v>1536.5409999999999</v>
      </c>
      <c r="AV95" s="37">
        <v>1547.607</v>
      </c>
      <c r="AW95" s="37">
        <v>1558.3240000000001</v>
      </c>
      <c r="AX95" s="37">
        <v>1568.6880000000001</v>
      </c>
      <c r="AY95" s="37">
        <v>1578.6949999999999</v>
      </c>
      <c r="AZ95" s="37">
        <v>1588.325</v>
      </c>
      <c r="BA95" s="37">
        <v>1597.537</v>
      </c>
      <c r="BB95" s="37">
        <v>1606.3009999999999</v>
      </c>
      <c r="BC95" s="37">
        <v>1614.6389999999999</v>
      </c>
      <c r="BD95" s="37">
        <v>1622.58</v>
      </c>
      <c r="BE95" s="37">
        <v>1630.1189999999999</v>
      </c>
      <c r="BF95" s="37">
        <v>1637.2349999999999</v>
      </c>
      <c r="BG95" s="37">
        <v>1643.915</v>
      </c>
      <c r="BH95" s="37">
        <v>1650.1869999999999</v>
      </c>
      <c r="BI95" s="37">
        <v>1656.068</v>
      </c>
      <c r="BJ95" s="37">
        <v>1661.548</v>
      </c>
      <c r="BK95" s="37">
        <v>1666.6279999999999</v>
      </c>
      <c r="BL95" s="37">
        <v>1671.31</v>
      </c>
      <c r="BM95" s="37">
        <v>1675.62</v>
      </c>
      <c r="BN95" s="37">
        <v>1679.5889999999999</v>
      </c>
    </row>
    <row r="96" spans="1:66" x14ac:dyDescent="0.2">
      <c r="A96" s="2" t="s">
        <v>396</v>
      </c>
      <c r="B96" s="2" t="s">
        <v>397</v>
      </c>
      <c r="C96" s="11" t="s">
        <v>82</v>
      </c>
      <c r="D96" s="12" t="s">
        <v>697</v>
      </c>
      <c r="E96" s="35">
        <v>1.00000000174996</v>
      </c>
      <c r="F96" s="36">
        <v>183.501</v>
      </c>
      <c r="G96" s="36">
        <v>186.77799999999999</v>
      </c>
      <c r="H96" s="36">
        <v>190.04400000000001</v>
      </c>
      <c r="I96" s="36">
        <v>193.30500000000001</v>
      </c>
      <c r="J96" s="36">
        <v>196.59200000000001</v>
      </c>
      <c r="K96" s="36">
        <v>199.88800000000001</v>
      </c>
      <c r="L96" s="36">
        <v>203.20400000000001</v>
      </c>
      <c r="M96" s="36">
        <v>206.536</v>
      </c>
      <c r="N96" s="36">
        <v>209.827</v>
      </c>
      <c r="O96" s="36">
        <v>213.005</v>
      </c>
      <c r="P96" s="36">
        <v>216.078</v>
      </c>
      <c r="Q96" s="36">
        <v>219.09800000000001</v>
      </c>
      <c r="R96" s="36">
        <v>222.08799999999999</v>
      </c>
      <c r="S96" s="36">
        <v>225.048</v>
      </c>
      <c r="T96" s="36">
        <v>227.92699999999999</v>
      </c>
      <c r="U96" s="36">
        <v>230.87200000000001</v>
      </c>
      <c r="V96" s="36">
        <v>233.952</v>
      </c>
      <c r="W96" s="36">
        <v>237.06200000000001</v>
      </c>
      <c r="X96" s="36">
        <v>240.15799999999999</v>
      </c>
      <c r="Y96" s="36">
        <v>243.22</v>
      </c>
      <c r="Z96" s="36">
        <v>246.30500000000001</v>
      </c>
      <c r="AA96" s="36">
        <v>249.47</v>
      </c>
      <c r="AB96" s="36">
        <v>252.69900000000001</v>
      </c>
      <c r="AC96" s="36">
        <v>255.852</v>
      </c>
      <c r="AD96" s="36">
        <v>258.87700000000001</v>
      </c>
      <c r="AE96" s="36">
        <v>261.79899999999998</v>
      </c>
      <c r="AF96" s="36">
        <v>264.62700000000001</v>
      </c>
      <c r="AG96" s="36">
        <v>267.34699999999998</v>
      </c>
      <c r="AH96" s="36">
        <v>269.952</v>
      </c>
      <c r="AI96" s="36">
        <v>272.48899999999998</v>
      </c>
      <c r="AJ96" s="36">
        <v>274.815</v>
      </c>
      <c r="AK96" s="36">
        <v>276.75799999999998</v>
      </c>
      <c r="AL96" s="36">
        <v>278.83100000000002</v>
      </c>
      <c r="AM96" s="36">
        <v>281.19</v>
      </c>
      <c r="AN96" s="36">
        <v>283.488</v>
      </c>
      <c r="AO96" s="36">
        <v>285.721</v>
      </c>
      <c r="AP96" s="37">
        <v>287.887</v>
      </c>
      <c r="AQ96" s="37">
        <v>289.98700000000002</v>
      </c>
      <c r="AR96" s="37">
        <v>292.017</v>
      </c>
      <c r="AS96" s="37">
        <v>293.97800000000001</v>
      </c>
      <c r="AT96" s="37">
        <v>295.87700000000001</v>
      </c>
      <c r="AU96" s="37">
        <v>297.72000000000003</v>
      </c>
      <c r="AV96" s="37">
        <v>299.51100000000002</v>
      </c>
      <c r="AW96" s="37">
        <v>301.25099999999998</v>
      </c>
      <c r="AX96" s="37">
        <v>302.93900000000002</v>
      </c>
      <c r="AY96" s="37">
        <v>304.56700000000001</v>
      </c>
      <c r="AZ96" s="37">
        <v>306.13499999999999</v>
      </c>
      <c r="BA96" s="37">
        <v>307.64600000000002</v>
      </c>
      <c r="BB96" s="37">
        <v>309.096</v>
      </c>
      <c r="BC96" s="37">
        <v>310.48099999999999</v>
      </c>
      <c r="BD96" s="37">
        <v>311.79700000000003</v>
      </c>
      <c r="BE96" s="37">
        <v>313.04199999999997</v>
      </c>
      <c r="BF96" s="37">
        <v>314.21100000000001</v>
      </c>
      <c r="BG96" s="37">
        <v>315.30399999999997</v>
      </c>
      <c r="BH96" s="37">
        <v>316.31799999999998</v>
      </c>
      <c r="BI96" s="37">
        <v>317.25</v>
      </c>
      <c r="BJ96" s="37">
        <v>318.09699999999998</v>
      </c>
      <c r="BK96" s="37">
        <v>318.86200000000002</v>
      </c>
      <c r="BL96" s="37">
        <v>319.55500000000001</v>
      </c>
      <c r="BM96" s="37">
        <v>320.173</v>
      </c>
      <c r="BN96" s="37">
        <v>320.71300000000002</v>
      </c>
    </row>
    <row r="97" spans="1:66" x14ac:dyDescent="0.2">
      <c r="A97" s="2" t="s">
        <v>398</v>
      </c>
      <c r="B97" s="2" t="s">
        <v>399</v>
      </c>
      <c r="C97" s="11" t="s">
        <v>82</v>
      </c>
      <c r="D97" s="12" t="s">
        <v>697</v>
      </c>
      <c r="E97" s="35">
        <v>1</v>
      </c>
      <c r="F97" s="36">
        <v>58.38</v>
      </c>
      <c r="G97" s="36">
        <v>59.987000000000002</v>
      </c>
      <c r="H97" s="36">
        <v>61.185000000000002</v>
      </c>
      <c r="I97" s="36">
        <v>61.404000000000003</v>
      </c>
      <c r="J97" s="36">
        <v>61.521000000000001</v>
      </c>
      <c r="K97" s="36">
        <v>62.206000000000003</v>
      </c>
      <c r="L97" s="36">
        <v>62.881</v>
      </c>
      <c r="M97" s="36">
        <v>63.64</v>
      </c>
      <c r="N97" s="36">
        <v>64.52</v>
      </c>
      <c r="O97" s="36">
        <v>65.444999999999993</v>
      </c>
      <c r="P97" s="36">
        <v>66.418999999999997</v>
      </c>
      <c r="Q97" s="36">
        <v>67.451999999999998</v>
      </c>
      <c r="R97" s="36">
        <v>68.010999999999996</v>
      </c>
      <c r="S97" s="36">
        <v>68.769000000000005</v>
      </c>
      <c r="T97" s="36">
        <v>70.256</v>
      </c>
      <c r="U97" s="36">
        <v>71.828000000000003</v>
      </c>
      <c r="V97" s="36">
        <v>73.393000000000001</v>
      </c>
      <c r="W97" s="36">
        <v>74.602999999999994</v>
      </c>
      <c r="X97" s="36">
        <v>75.513999999999996</v>
      </c>
      <c r="Y97" s="36">
        <v>76.457999999999998</v>
      </c>
      <c r="Z97" s="36">
        <v>77.421000000000006</v>
      </c>
      <c r="AA97" s="36">
        <v>78.384</v>
      </c>
      <c r="AB97" s="36">
        <v>79.370999999999995</v>
      </c>
      <c r="AC97" s="36">
        <v>80.415000000000006</v>
      </c>
      <c r="AD97" s="36">
        <v>81.501999999999995</v>
      </c>
      <c r="AE97" s="36">
        <v>82.619</v>
      </c>
      <c r="AF97" s="36">
        <v>83.811999999999998</v>
      </c>
      <c r="AG97" s="36">
        <v>85.027000000000001</v>
      </c>
      <c r="AH97" s="36">
        <v>86.117999999999995</v>
      </c>
      <c r="AI97" s="36">
        <v>87.052000000000007</v>
      </c>
      <c r="AJ97" s="36">
        <v>87.722999999999999</v>
      </c>
      <c r="AK97" s="36">
        <v>88.454999999999998</v>
      </c>
      <c r="AL97" s="36">
        <v>89.524000000000001</v>
      </c>
      <c r="AM97" s="36">
        <v>90.608999999999995</v>
      </c>
      <c r="AN97" s="36">
        <v>91.567999999999998</v>
      </c>
      <c r="AO97" s="36">
        <v>92.418000000000006</v>
      </c>
      <c r="AP97" s="37">
        <v>93.168000000000006</v>
      </c>
      <c r="AQ97" s="37">
        <v>93.838999999999999</v>
      </c>
      <c r="AR97" s="37">
        <v>94.44</v>
      </c>
      <c r="AS97" s="37">
        <v>94.984999999999999</v>
      </c>
      <c r="AT97" s="37">
        <v>95.486999999999995</v>
      </c>
      <c r="AU97" s="37">
        <v>95.960999999999999</v>
      </c>
      <c r="AV97" s="37">
        <v>96.415000000000006</v>
      </c>
      <c r="AW97" s="37">
        <v>96.850999999999999</v>
      </c>
      <c r="AX97" s="37">
        <v>97.271000000000001</v>
      </c>
      <c r="AY97" s="37">
        <v>97.679000000000002</v>
      </c>
      <c r="AZ97" s="37">
        <v>98.075000000000003</v>
      </c>
      <c r="BA97" s="37">
        <v>98.459000000000003</v>
      </c>
      <c r="BB97" s="37">
        <v>98.828000000000003</v>
      </c>
      <c r="BC97" s="37">
        <v>99.183000000000007</v>
      </c>
      <c r="BD97" s="37">
        <v>99.524000000000001</v>
      </c>
      <c r="BE97" s="37">
        <v>99.853999999999999</v>
      </c>
      <c r="BF97" s="37">
        <v>100.167</v>
      </c>
      <c r="BG97" s="37">
        <v>100.462</v>
      </c>
      <c r="BH97" s="37">
        <v>100.738</v>
      </c>
      <c r="BI97" s="37">
        <v>100.991</v>
      </c>
      <c r="BJ97" s="37">
        <v>101.22</v>
      </c>
      <c r="BK97" s="37">
        <v>101.42400000000001</v>
      </c>
      <c r="BL97" s="37">
        <v>101.602</v>
      </c>
      <c r="BM97" s="37">
        <v>101.749</v>
      </c>
      <c r="BN97" s="37">
        <v>101.86199999999999</v>
      </c>
    </row>
    <row r="98" spans="1:66" x14ac:dyDescent="0.2">
      <c r="A98" s="2" t="s">
        <v>401</v>
      </c>
      <c r="B98" s="2" t="s">
        <v>402</v>
      </c>
      <c r="C98" s="11" t="s">
        <v>82</v>
      </c>
      <c r="D98" s="12" t="s">
        <v>697</v>
      </c>
      <c r="E98" s="35">
        <v>1</v>
      </c>
      <c r="F98" s="36">
        <v>17.581</v>
      </c>
      <c r="G98" s="36">
        <v>17.766999999999999</v>
      </c>
      <c r="H98" s="36">
        <v>18.300999999999998</v>
      </c>
      <c r="I98" s="36">
        <v>19.201000000000001</v>
      </c>
      <c r="J98" s="36">
        <v>20.14</v>
      </c>
      <c r="K98" s="36">
        <v>20.826000000000001</v>
      </c>
      <c r="L98" s="36">
        <v>21.501000000000001</v>
      </c>
      <c r="M98" s="36">
        <v>22.177</v>
      </c>
      <c r="N98" s="36">
        <v>22.884</v>
      </c>
      <c r="O98" s="36">
        <v>23.637</v>
      </c>
      <c r="P98" s="36">
        <v>24.423999999999999</v>
      </c>
      <c r="Q98" s="36">
        <v>25.198</v>
      </c>
      <c r="R98" s="36">
        <v>26.007000000000001</v>
      </c>
      <c r="S98" s="36">
        <v>26.803000000000001</v>
      </c>
      <c r="T98" s="36">
        <v>27.577999999999999</v>
      </c>
      <c r="U98" s="36">
        <v>28.407</v>
      </c>
      <c r="V98" s="36">
        <v>28.617000000000001</v>
      </c>
      <c r="W98" s="36">
        <v>28.391999999999999</v>
      </c>
      <c r="X98" s="36">
        <v>28.971</v>
      </c>
      <c r="Y98" s="36">
        <v>30.058</v>
      </c>
      <c r="Z98" s="36">
        <v>31.045000000000002</v>
      </c>
      <c r="AA98" s="36">
        <v>32.161000000000001</v>
      </c>
      <c r="AB98" s="36">
        <v>33.655000000000001</v>
      </c>
      <c r="AC98" s="36">
        <v>35.281999999999996</v>
      </c>
      <c r="AD98" s="36">
        <v>36.549999999999997</v>
      </c>
      <c r="AE98" s="36">
        <v>37.561</v>
      </c>
      <c r="AF98" s="36">
        <v>38.47</v>
      </c>
      <c r="AG98" s="36">
        <v>39.337000000000003</v>
      </c>
      <c r="AH98" s="36">
        <v>40.265999999999998</v>
      </c>
      <c r="AI98" s="36">
        <v>41.192</v>
      </c>
      <c r="AJ98" s="36">
        <v>42.116999999999997</v>
      </c>
      <c r="AK98" s="36">
        <v>43.070999999999998</v>
      </c>
      <c r="AL98" s="36">
        <v>44.070999999999998</v>
      </c>
      <c r="AM98" s="36">
        <v>45.073999999999998</v>
      </c>
      <c r="AN98" s="36">
        <v>46.042000000000002</v>
      </c>
      <c r="AO98" s="36">
        <v>47.021000000000001</v>
      </c>
      <c r="AP98" s="37">
        <v>48.006999999999998</v>
      </c>
      <c r="AQ98" s="37">
        <v>48.987000000000002</v>
      </c>
      <c r="AR98" s="37">
        <v>49.960999999999999</v>
      </c>
      <c r="AS98" s="37">
        <v>50.942999999999998</v>
      </c>
      <c r="AT98" s="37">
        <v>51.936999999999998</v>
      </c>
      <c r="AU98" s="37">
        <v>52.933999999999997</v>
      </c>
      <c r="AV98" s="37">
        <v>53.953000000000003</v>
      </c>
      <c r="AW98" s="37">
        <v>54.984999999999999</v>
      </c>
      <c r="AX98" s="37">
        <v>56.012999999999998</v>
      </c>
      <c r="AY98" s="37">
        <v>57.036000000000001</v>
      </c>
      <c r="AZ98" s="37">
        <v>58.072000000000003</v>
      </c>
      <c r="BA98" s="37">
        <v>59.109000000000002</v>
      </c>
      <c r="BB98" s="37">
        <v>60.131999999999998</v>
      </c>
      <c r="BC98" s="37">
        <v>61.174999999999997</v>
      </c>
      <c r="BD98" s="37">
        <v>62.222999999999999</v>
      </c>
      <c r="BE98" s="37">
        <v>63.249000000000002</v>
      </c>
      <c r="BF98" s="37">
        <v>64.260999999999996</v>
      </c>
      <c r="BG98" s="37">
        <v>65.257000000000005</v>
      </c>
      <c r="BH98" s="37">
        <v>66.238</v>
      </c>
      <c r="BI98" s="37">
        <v>67.203999999999994</v>
      </c>
      <c r="BJ98" s="37">
        <v>68.150000000000006</v>
      </c>
      <c r="BK98" s="37">
        <v>69.097999999999999</v>
      </c>
      <c r="BL98" s="37">
        <v>70.05</v>
      </c>
      <c r="BM98" s="37">
        <v>71</v>
      </c>
      <c r="BN98" s="37">
        <v>71.929000000000002</v>
      </c>
    </row>
    <row r="99" spans="1:66" x14ac:dyDescent="0.2">
      <c r="A99" s="2" t="s">
        <v>403</v>
      </c>
      <c r="B99" s="2" t="s">
        <v>404</v>
      </c>
      <c r="C99" s="11" t="s">
        <v>79</v>
      </c>
      <c r="D99" s="12" t="s">
        <v>697</v>
      </c>
      <c r="E99" s="35">
        <v>1.0332190475616301</v>
      </c>
      <c r="F99" s="36">
        <v>3.5139999999999998</v>
      </c>
      <c r="G99" s="36">
        <v>3.5339999999999998</v>
      </c>
      <c r="H99" s="36">
        <v>3.5579999999999998</v>
      </c>
      <c r="I99" s="36">
        <v>3.5760000000000001</v>
      </c>
      <c r="J99" s="36">
        <v>3.59</v>
      </c>
      <c r="K99" s="36">
        <v>3.609</v>
      </c>
      <c r="L99" s="36">
        <v>3.6379999999999999</v>
      </c>
      <c r="M99" s="36">
        <v>3.6739999999999999</v>
      </c>
      <c r="N99" s="36">
        <v>3.7130000000000001</v>
      </c>
      <c r="O99" s="36">
        <v>3.7549999999999999</v>
      </c>
      <c r="P99" s="36">
        <v>3.8050000000000002</v>
      </c>
      <c r="Q99" s="36">
        <v>3.8660000000000001</v>
      </c>
      <c r="R99" s="36">
        <v>3.9319999999999999</v>
      </c>
      <c r="S99" s="36">
        <v>3.9969999999999999</v>
      </c>
      <c r="T99" s="36">
        <v>4.07</v>
      </c>
      <c r="U99" s="36">
        <v>4.16</v>
      </c>
      <c r="V99" s="36">
        <v>4.274</v>
      </c>
      <c r="W99" s="36">
        <v>4.399</v>
      </c>
      <c r="X99" s="36">
        <v>4.49</v>
      </c>
      <c r="Y99" s="36">
        <v>4.5350000000000001</v>
      </c>
      <c r="Z99" s="36">
        <v>4.5599999999999996</v>
      </c>
      <c r="AA99" s="36">
        <v>4.58</v>
      </c>
      <c r="AB99" s="36">
        <v>4.5999999999999996</v>
      </c>
      <c r="AC99" s="36">
        <v>4.6239999999999997</v>
      </c>
      <c r="AD99" s="36">
        <v>4.6580000000000004</v>
      </c>
      <c r="AE99" s="36">
        <v>4.702</v>
      </c>
      <c r="AF99" s="36">
        <v>4.7629999999999999</v>
      </c>
      <c r="AG99" s="36">
        <v>4.827</v>
      </c>
      <c r="AH99" s="36">
        <v>4.8979999999999997</v>
      </c>
      <c r="AI99" s="36">
        <v>4.976</v>
      </c>
      <c r="AJ99" s="36">
        <v>5.04</v>
      </c>
      <c r="AK99" s="36">
        <v>5.1109999999999998</v>
      </c>
      <c r="AL99" s="36">
        <v>5.2130000000000001</v>
      </c>
      <c r="AM99" s="36">
        <v>5.3120000000000003</v>
      </c>
      <c r="AN99" s="36">
        <v>5.3959999999999999</v>
      </c>
      <c r="AO99" s="36">
        <v>5.484</v>
      </c>
      <c r="AP99" s="37">
        <v>5.5350000000000001</v>
      </c>
      <c r="AQ99" s="37">
        <v>5.5819999999999999</v>
      </c>
      <c r="AR99" s="37">
        <v>5.6280000000000001</v>
      </c>
      <c r="AS99" s="37">
        <v>5.67</v>
      </c>
      <c r="AT99" s="37">
        <v>5.7089999999999996</v>
      </c>
      <c r="AU99" s="37">
        <v>5.7450000000000001</v>
      </c>
      <c r="AV99" s="37">
        <v>5.7809999999999997</v>
      </c>
      <c r="AW99" s="37">
        <v>5.8150000000000004</v>
      </c>
      <c r="AX99" s="37">
        <v>5.8460000000000001</v>
      </c>
      <c r="AY99" s="37">
        <v>5.8760000000000003</v>
      </c>
      <c r="AZ99" s="37">
        <v>5.9039999999999999</v>
      </c>
      <c r="BA99" s="37">
        <v>5.9320000000000004</v>
      </c>
      <c r="BB99" s="37">
        <v>5.96</v>
      </c>
      <c r="BC99" s="37">
        <v>5.9859999999999998</v>
      </c>
      <c r="BD99" s="37">
        <v>6.0110000000000001</v>
      </c>
      <c r="BE99" s="37">
        <v>6.0359999999999996</v>
      </c>
      <c r="BF99" s="37">
        <v>6.0579999999999998</v>
      </c>
      <c r="BG99" s="37">
        <v>6.0780000000000003</v>
      </c>
      <c r="BH99" s="37">
        <v>6.0960000000000001</v>
      </c>
      <c r="BI99" s="37">
        <v>6.1130000000000004</v>
      </c>
      <c r="BJ99" s="37">
        <v>6.1280000000000001</v>
      </c>
      <c r="BK99" s="37">
        <v>6.14</v>
      </c>
      <c r="BL99" s="37">
        <v>6.1520000000000001</v>
      </c>
      <c r="BM99" s="37">
        <v>6.1619999999999999</v>
      </c>
      <c r="BN99" s="37">
        <v>6.1680000000000001</v>
      </c>
    </row>
    <row r="100" spans="1:66" x14ac:dyDescent="0.2">
      <c r="A100" s="2" t="s">
        <v>405</v>
      </c>
      <c r="B100" s="2" t="s">
        <v>406</v>
      </c>
      <c r="C100" s="11" t="s">
        <v>79</v>
      </c>
      <c r="D100" s="12" t="s">
        <v>697</v>
      </c>
      <c r="E100" s="35">
        <v>0.999994056004328</v>
      </c>
      <c r="F100" s="36">
        <v>6.9000000000000006E-2</v>
      </c>
      <c r="G100" s="36">
        <v>7.0000000000000007E-2</v>
      </c>
      <c r="H100" s="36">
        <v>7.0000000000000007E-2</v>
      </c>
      <c r="I100" s="36">
        <v>7.0999999999999994E-2</v>
      </c>
      <c r="J100" s="36">
        <v>7.0999999999999994E-2</v>
      </c>
      <c r="K100" s="36">
        <v>7.1999999999999995E-2</v>
      </c>
      <c r="L100" s="36">
        <v>7.1999999999999995E-2</v>
      </c>
      <c r="M100" s="36">
        <v>7.2999999999999995E-2</v>
      </c>
      <c r="N100" s="36">
        <v>7.3999999999999996E-2</v>
      </c>
      <c r="O100" s="36">
        <v>7.4999999999999997E-2</v>
      </c>
      <c r="P100" s="36">
        <v>7.5999999999999998E-2</v>
      </c>
      <c r="Q100" s="36">
        <v>7.5999999999999998E-2</v>
      </c>
      <c r="R100" s="36">
        <v>7.6999999999999999E-2</v>
      </c>
      <c r="S100" s="36">
        <v>7.8E-2</v>
      </c>
      <c r="T100" s="36">
        <v>7.9000000000000001E-2</v>
      </c>
      <c r="U100" s="36">
        <v>0.08</v>
      </c>
      <c r="V100" s="36">
        <v>0.08</v>
      </c>
      <c r="W100" s="36">
        <v>8.1000000000000003E-2</v>
      </c>
      <c r="X100" s="36">
        <v>8.2000000000000003E-2</v>
      </c>
      <c r="Y100" s="36">
        <v>8.3000000000000004E-2</v>
      </c>
      <c r="Z100" s="36">
        <v>8.4000000000000005E-2</v>
      </c>
      <c r="AA100" s="36">
        <v>8.4000000000000005E-2</v>
      </c>
      <c r="AB100" s="36">
        <v>8.4000000000000005E-2</v>
      </c>
      <c r="AC100" s="36">
        <v>8.4000000000000005E-2</v>
      </c>
      <c r="AD100" s="36">
        <v>8.4000000000000005E-2</v>
      </c>
      <c r="AE100" s="36">
        <v>8.4000000000000005E-2</v>
      </c>
      <c r="AF100" s="36">
        <v>8.3000000000000004E-2</v>
      </c>
      <c r="AG100" s="36">
        <v>8.4000000000000005E-2</v>
      </c>
      <c r="AH100" s="36">
        <v>8.4000000000000005E-2</v>
      </c>
      <c r="AI100" s="36">
        <v>8.4000000000000005E-2</v>
      </c>
      <c r="AJ100" s="36">
        <v>8.4000000000000005E-2</v>
      </c>
      <c r="AK100" s="36">
        <v>8.4000000000000005E-2</v>
      </c>
      <c r="AL100" s="36">
        <v>8.4000000000000005E-2</v>
      </c>
      <c r="AM100" s="36">
        <v>8.4000000000000005E-2</v>
      </c>
      <c r="AN100" s="36">
        <v>8.4000000000000005E-2</v>
      </c>
      <c r="AO100" s="36">
        <v>8.4000000000000005E-2</v>
      </c>
      <c r="AP100" s="37">
        <v>8.4000000000000005E-2</v>
      </c>
      <c r="AQ100" s="37">
        <v>8.4000000000000005E-2</v>
      </c>
      <c r="AR100" s="37">
        <v>8.4000000000000005E-2</v>
      </c>
      <c r="AS100" s="37">
        <v>8.4000000000000005E-2</v>
      </c>
      <c r="AT100" s="37">
        <v>8.4000000000000005E-2</v>
      </c>
      <c r="AU100" s="37">
        <v>8.3000000000000004E-2</v>
      </c>
      <c r="AV100" s="37">
        <v>8.3000000000000004E-2</v>
      </c>
      <c r="AW100" s="37">
        <v>8.3000000000000004E-2</v>
      </c>
      <c r="AX100" s="37">
        <v>8.3000000000000004E-2</v>
      </c>
      <c r="AY100" s="37">
        <v>8.3000000000000004E-2</v>
      </c>
      <c r="AZ100" s="37">
        <v>8.2000000000000003E-2</v>
      </c>
      <c r="BA100" s="37">
        <v>8.2000000000000003E-2</v>
      </c>
      <c r="BB100" s="37">
        <v>8.2000000000000003E-2</v>
      </c>
      <c r="BC100" s="37">
        <v>8.2000000000000003E-2</v>
      </c>
      <c r="BD100" s="37">
        <v>8.1000000000000003E-2</v>
      </c>
      <c r="BE100" s="37">
        <v>8.1000000000000003E-2</v>
      </c>
      <c r="BF100" s="37">
        <v>8.1000000000000003E-2</v>
      </c>
      <c r="BG100" s="37">
        <v>8.1000000000000003E-2</v>
      </c>
      <c r="BH100" s="37">
        <v>0.08</v>
      </c>
      <c r="BI100" s="37">
        <v>0.08</v>
      </c>
      <c r="BJ100" s="37">
        <v>0.08</v>
      </c>
      <c r="BK100" s="37">
        <v>7.9000000000000001E-2</v>
      </c>
      <c r="BL100" s="37">
        <v>7.9000000000000001E-2</v>
      </c>
      <c r="BM100" s="37">
        <v>7.8E-2</v>
      </c>
      <c r="BN100" s="37">
        <v>7.8E-2</v>
      </c>
    </row>
    <row r="101" spans="1:66" x14ac:dyDescent="0.2">
      <c r="A101" s="2" t="s">
        <v>408</v>
      </c>
      <c r="B101" s="2" t="s">
        <v>409</v>
      </c>
      <c r="C101" s="11" t="s">
        <v>79</v>
      </c>
      <c r="D101" s="12" t="s">
        <v>697</v>
      </c>
      <c r="E101" s="38">
        <v>1.0636343400232899</v>
      </c>
      <c r="F101" s="36">
        <v>4.66</v>
      </c>
      <c r="G101" s="36">
        <v>4.9489999999999998</v>
      </c>
      <c r="H101" s="36">
        <v>5.1230000000000002</v>
      </c>
      <c r="I101" s="36">
        <v>5.2610000000000001</v>
      </c>
      <c r="J101" s="36">
        <v>5.399</v>
      </c>
      <c r="K101" s="36">
        <v>5.5449999999999999</v>
      </c>
      <c r="L101" s="36">
        <v>5.6920000000000002</v>
      </c>
      <c r="M101" s="36">
        <v>5.8360000000000003</v>
      </c>
      <c r="N101" s="36">
        <v>5.9710000000000001</v>
      </c>
      <c r="O101" s="36">
        <v>6.125</v>
      </c>
      <c r="P101" s="36">
        <v>6.2889999999999997</v>
      </c>
      <c r="Q101" s="36">
        <v>6.4390000000000001</v>
      </c>
      <c r="R101" s="36">
        <v>6.57</v>
      </c>
      <c r="S101" s="36">
        <v>6.69</v>
      </c>
      <c r="T101" s="36">
        <v>6.8090000000000002</v>
      </c>
      <c r="U101" s="36">
        <v>6.93</v>
      </c>
      <c r="V101" s="36">
        <v>7.0540000000000003</v>
      </c>
      <c r="W101" s="36">
        <v>7.18</v>
      </c>
      <c r="X101" s="36">
        <v>7.3090000000000002</v>
      </c>
      <c r="Y101" s="36">
        <v>7.4859999999999998</v>
      </c>
      <c r="Z101" s="36">
        <v>7.6239999999999997</v>
      </c>
      <c r="AA101" s="36">
        <v>7.766</v>
      </c>
      <c r="AB101" s="36">
        <v>7.91</v>
      </c>
      <c r="AC101" s="36">
        <v>8.0589999999999993</v>
      </c>
      <c r="AD101" s="36">
        <v>8.2159999999999993</v>
      </c>
      <c r="AE101" s="36">
        <v>8.3800000000000008</v>
      </c>
      <c r="AF101" s="36">
        <v>8.5459999999999994</v>
      </c>
      <c r="AG101" s="36">
        <v>8.7129999999999992</v>
      </c>
      <c r="AH101" s="36">
        <v>8.8829999999999991</v>
      </c>
      <c r="AI101" s="36">
        <v>9.0540000000000003</v>
      </c>
      <c r="AJ101" s="36">
        <v>9.2149999999999999</v>
      </c>
      <c r="AK101" s="36">
        <v>9.3710000000000004</v>
      </c>
      <c r="AL101" s="36">
        <v>9.5570000000000004</v>
      </c>
      <c r="AM101" s="36">
        <v>9.8490000000000002</v>
      </c>
      <c r="AN101" s="36">
        <v>10.002000000000001</v>
      </c>
      <c r="AO101" s="36">
        <v>10.122999999999999</v>
      </c>
      <c r="AP101" s="37">
        <v>10.262</v>
      </c>
      <c r="AQ101" s="37">
        <v>10.401</v>
      </c>
      <c r="AR101" s="37">
        <v>10.541</v>
      </c>
      <c r="AS101" s="37">
        <v>10.680999999999999</v>
      </c>
      <c r="AT101" s="37">
        <v>10.823</v>
      </c>
      <c r="AU101" s="37">
        <v>10.968999999999999</v>
      </c>
      <c r="AV101" s="37">
        <v>11.114000000000001</v>
      </c>
      <c r="AW101" s="37">
        <v>11.257</v>
      </c>
      <c r="AX101" s="37">
        <v>11.401999999999999</v>
      </c>
      <c r="AY101" s="37">
        <v>11.548999999999999</v>
      </c>
      <c r="AZ101" s="37">
        <v>11.696999999999999</v>
      </c>
      <c r="BA101" s="37">
        <v>11.847</v>
      </c>
      <c r="BB101" s="37">
        <v>12.002000000000001</v>
      </c>
      <c r="BC101" s="37">
        <v>12.16</v>
      </c>
      <c r="BD101" s="37">
        <v>12.318</v>
      </c>
      <c r="BE101" s="37">
        <v>12.477</v>
      </c>
      <c r="BF101" s="37">
        <v>12.638999999999999</v>
      </c>
      <c r="BG101" s="37">
        <v>12.802</v>
      </c>
      <c r="BH101" s="37">
        <v>12.965</v>
      </c>
      <c r="BI101" s="37">
        <v>13.127000000000001</v>
      </c>
      <c r="BJ101" s="37">
        <v>13.288</v>
      </c>
      <c r="BK101" s="37">
        <v>13.446999999999999</v>
      </c>
      <c r="BL101" s="37">
        <v>13.603999999999999</v>
      </c>
      <c r="BM101" s="37">
        <v>13.763999999999999</v>
      </c>
      <c r="BN101" s="37">
        <v>13.926</v>
      </c>
    </row>
    <row r="102" spans="1:66" x14ac:dyDescent="0.2">
      <c r="A102" s="2" t="s">
        <v>410</v>
      </c>
      <c r="B102" s="2" t="s">
        <v>411</v>
      </c>
      <c r="C102" s="11" t="s">
        <v>79</v>
      </c>
      <c r="D102" s="12" t="s">
        <v>697</v>
      </c>
      <c r="E102" s="35">
        <v>0.99610112287742303</v>
      </c>
      <c r="F102" s="36">
        <v>56.719000000000001</v>
      </c>
      <c r="G102" s="36">
        <v>56.759</v>
      </c>
      <c r="H102" s="36">
        <v>56.796999999999997</v>
      </c>
      <c r="I102" s="36">
        <v>56.832000000000001</v>
      </c>
      <c r="J102" s="36">
        <v>56.843000000000004</v>
      </c>
      <c r="K102" s="36">
        <v>56.844000000000001</v>
      </c>
      <c r="L102" s="36">
        <v>56.86</v>
      </c>
      <c r="M102" s="36">
        <v>56.89</v>
      </c>
      <c r="N102" s="36">
        <v>56.906999999999996</v>
      </c>
      <c r="O102" s="36">
        <v>56.915999999999997</v>
      </c>
      <c r="P102" s="36">
        <v>56.942</v>
      </c>
      <c r="Q102" s="36">
        <v>56.976999999999997</v>
      </c>
      <c r="R102" s="36">
        <v>57.09</v>
      </c>
      <c r="S102" s="36">
        <v>57.399000000000001</v>
      </c>
      <c r="T102" s="36">
        <v>57.828000000000003</v>
      </c>
      <c r="U102" s="36">
        <v>58.167000000000002</v>
      </c>
      <c r="V102" s="36">
        <v>58.4</v>
      </c>
      <c r="W102" s="36">
        <v>58.756</v>
      </c>
      <c r="X102" s="36">
        <v>59.210999999999999</v>
      </c>
      <c r="Y102" s="36">
        <v>59.555</v>
      </c>
      <c r="Z102" s="36">
        <v>59.819000000000003</v>
      </c>
      <c r="AA102" s="36">
        <v>60.027000000000001</v>
      </c>
      <c r="AB102" s="36">
        <v>60.191000000000003</v>
      </c>
      <c r="AC102" s="36">
        <v>60.311999999999998</v>
      </c>
      <c r="AD102" s="36">
        <v>60.320999999999998</v>
      </c>
      <c r="AE102" s="36">
        <v>60.23</v>
      </c>
      <c r="AF102" s="36">
        <v>60.115000000000002</v>
      </c>
      <c r="AG102" s="36">
        <v>60.002000000000002</v>
      </c>
      <c r="AH102" s="36">
        <v>59.877000000000002</v>
      </c>
      <c r="AI102" s="36">
        <v>59.728999999999999</v>
      </c>
      <c r="AJ102" s="36">
        <v>59.439</v>
      </c>
      <c r="AK102" s="36">
        <v>59.133000000000003</v>
      </c>
      <c r="AL102" s="36">
        <v>59.014000000000003</v>
      </c>
      <c r="AM102" s="36">
        <v>58.984000000000002</v>
      </c>
      <c r="AN102" s="36">
        <v>58.953000000000003</v>
      </c>
      <c r="AO102" s="36">
        <v>58.915999999999997</v>
      </c>
      <c r="AP102" s="37">
        <v>58.695999999999998</v>
      </c>
      <c r="AQ102" s="37">
        <v>58.46</v>
      </c>
      <c r="AR102" s="37">
        <v>58.218000000000004</v>
      </c>
      <c r="AS102" s="37">
        <v>57.973999999999997</v>
      </c>
      <c r="AT102" s="37">
        <v>57.72</v>
      </c>
      <c r="AU102" s="37">
        <v>57.454999999999998</v>
      </c>
      <c r="AV102" s="37">
        <v>57.192999999999998</v>
      </c>
      <c r="AW102" s="37">
        <v>56.933999999999997</v>
      </c>
      <c r="AX102" s="37">
        <v>56.668999999999997</v>
      </c>
      <c r="AY102" s="37">
        <v>56.399000000000001</v>
      </c>
      <c r="AZ102" s="37">
        <v>56.128999999999998</v>
      </c>
      <c r="BA102" s="37">
        <v>55.856000000000002</v>
      </c>
      <c r="BB102" s="37">
        <v>55.579000000000001</v>
      </c>
      <c r="BC102" s="37">
        <v>55.295000000000002</v>
      </c>
      <c r="BD102" s="37">
        <v>55.006</v>
      </c>
      <c r="BE102" s="37">
        <v>54.718000000000004</v>
      </c>
      <c r="BF102" s="37">
        <v>54.423000000000002</v>
      </c>
      <c r="BG102" s="37">
        <v>54.112000000000002</v>
      </c>
      <c r="BH102" s="37">
        <v>53.793999999999997</v>
      </c>
      <c r="BI102" s="37">
        <v>53.470999999999997</v>
      </c>
      <c r="BJ102" s="37">
        <v>53.137999999999998</v>
      </c>
      <c r="BK102" s="37">
        <v>52.792000000000002</v>
      </c>
      <c r="BL102" s="37">
        <v>52.436</v>
      </c>
      <c r="BM102" s="37">
        <v>52.07</v>
      </c>
      <c r="BN102" s="37">
        <v>51.689</v>
      </c>
    </row>
    <row r="103" spans="1:66" x14ac:dyDescent="0.2">
      <c r="A103" s="2" t="s">
        <v>413</v>
      </c>
      <c r="B103" s="2" t="s">
        <v>414</v>
      </c>
      <c r="C103" s="11" t="s">
        <v>82</v>
      </c>
      <c r="D103" s="12" t="s">
        <v>697</v>
      </c>
      <c r="E103" s="35">
        <v>0.99999982376230501</v>
      </c>
      <c r="F103" s="36">
        <v>2.38</v>
      </c>
      <c r="G103" s="36">
        <v>2.4009999999999998</v>
      </c>
      <c r="H103" s="36">
        <v>2.4249999999999998</v>
      </c>
      <c r="I103" s="36">
        <v>2.4500000000000002</v>
      </c>
      <c r="J103" s="36">
        <v>2.4750000000000001</v>
      </c>
      <c r="K103" s="36">
        <v>2.5</v>
      </c>
      <c r="L103" s="36">
        <v>2.524</v>
      </c>
      <c r="M103" s="36">
        <v>2.548</v>
      </c>
      <c r="N103" s="36">
        <v>2.57</v>
      </c>
      <c r="O103" s="36">
        <v>2.59</v>
      </c>
      <c r="P103" s="36">
        <v>2.6080000000000001</v>
      </c>
      <c r="Q103" s="36">
        <v>2.6240000000000001</v>
      </c>
      <c r="R103" s="36">
        <v>2.641</v>
      </c>
      <c r="S103" s="36">
        <v>2.657</v>
      </c>
      <c r="T103" s="36">
        <v>2.6720000000000002</v>
      </c>
      <c r="U103" s="36">
        <v>2.6869999999999998</v>
      </c>
      <c r="V103" s="36">
        <v>2.7010000000000001</v>
      </c>
      <c r="W103" s="36">
        <v>2.714</v>
      </c>
      <c r="X103" s="36">
        <v>2.726</v>
      </c>
      <c r="Y103" s="36">
        <v>2.7370000000000001</v>
      </c>
      <c r="Z103" s="36">
        <v>2.7490000000000001</v>
      </c>
      <c r="AA103" s="36">
        <v>2.76</v>
      </c>
      <c r="AB103" s="36">
        <v>2.7719999999999998</v>
      </c>
      <c r="AC103" s="36">
        <v>2.7839999999999998</v>
      </c>
      <c r="AD103" s="36">
        <v>2.794</v>
      </c>
      <c r="AE103" s="36">
        <v>2.8029999999999999</v>
      </c>
      <c r="AF103" s="36">
        <v>2.81</v>
      </c>
      <c r="AG103" s="36">
        <v>2.8159999999999998</v>
      </c>
      <c r="AH103" s="36">
        <v>2.82</v>
      </c>
      <c r="AI103" s="36">
        <v>2.823</v>
      </c>
      <c r="AJ103" s="36">
        <v>2.831</v>
      </c>
      <c r="AK103" s="36">
        <v>2.8380000000000001</v>
      </c>
      <c r="AL103" s="36">
        <v>2.839</v>
      </c>
      <c r="AM103" s="36">
        <v>2.84</v>
      </c>
      <c r="AN103" s="36">
        <v>2.839</v>
      </c>
      <c r="AO103" s="36">
        <v>2.8370000000000002</v>
      </c>
      <c r="AP103" s="37">
        <v>2.8330000000000002</v>
      </c>
      <c r="AQ103" s="37">
        <v>2.8290000000000002</v>
      </c>
      <c r="AR103" s="37">
        <v>2.823</v>
      </c>
      <c r="AS103" s="37">
        <v>2.8159999999999998</v>
      </c>
      <c r="AT103" s="37">
        <v>2.8090000000000002</v>
      </c>
      <c r="AU103" s="37">
        <v>2.8010000000000002</v>
      </c>
      <c r="AV103" s="37">
        <v>2.7909999999999999</v>
      </c>
      <c r="AW103" s="37">
        <v>2.78</v>
      </c>
      <c r="AX103" s="37">
        <v>2.7690000000000001</v>
      </c>
      <c r="AY103" s="37">
        <v>2.7559999999999998</v>
      </c>
      <c r="AZ103" s="37">
        <v>2.742</v>
      </c>
      <c r="BA103" s="37">
        <v>2.7269999999999999</v>
      </c>
      <c r="BB103" s="37">
        <v>2.7109999999999999</v>
      </c>
      <c r="BC103" s="37">
        <v>2.694</v>
      </c>
      <c r="BD103" s="37">
        <v>2.6760000000000002</v>
      </c>
      <c r="BE103" s="37">
        <v>2.6579999999999999</v>
      </c>
      <c r="BF103" s="37">
        <v>2.6379999999999999</v>
      </c>
      <c r="BG103" s="37">
        <v>2.6179999999999999</v>
      </c>
      <c r="BH103" s="37">
        <v>2.5960000000000001</v>
      </c>
      <c r="BI103" s="37">
        <v>2.5739999999999998</v>
      </c>
      <c r="BJ103" s="37">
        <v>2.5510000000000002</v>
      </c>
      <c r="BK103" s="37">
        <v>2.528</v>
      </c>
      <c r="BL103" s="37">
        <v>2.504</v>
      </c>
      <c r="BM103" s="37">
        <v>2.48</v>
      </c>
      <c r="BN103" s="37">
        <v>2.4550000000000001</v>
      </c>
    </row>
    <row r="104" spans="1:66" x14ac:dyDescent="0.2">
      <c r="A104" s="2" t="s">
        <v>415</v>
      </c>
      <c r="B104" s="2" t="s">
        <v>416</v>
      </c>
      <c r="C104" s="11" t="s">
        <v>79</v>
      </c>
      <c r="D104" s="12" t="s">
        <v>697</v>
      </c>
      <c r="E104" s="35">
        <v>1.0021384854606801</v>
      </c>
      <c r="F104" s="36">
        <v>123.47799999999999</v>
      </c>
      <c r="G104" s="36">
        <v>123.964</v>
      </c>
      <c r="H104" s="36">
        <v>124.425</v>
      </c>
      <c r="I104" s="36">
        <v>124.82899999999999</v>
      </c>
      <c r="J104" s="36">
        <v>125.178</v>
      </c>
      <c r="K104" s="36">
        <v>125.47199999999999</v>
      </c>
      <c r="L104" s="36">
        <v>125.75700000000001</v>
      </c>
      <c r="M104" s="36">
        <v>126.057</v>
      </c>
      <c r="N104" s="36">
        <v>126.4</v>
      </c>
      <c r="O104" s="36">
        <v>126.631</v>
      </c>
      <c r="P104" s="36">
        <v>126.843</v>
      </c>
      <c r="Q104" s="36">
        <v>127.149</v>
      </c>
      <c r="R104" s="36">
        <v>127.44499999999999</v>
      </c>
      <c r="S104" s="36">
        <v>127.718</v>
      </c>
      <c r="T104" s="36">
        <v>127.761</v>
      </c>
      <c r="U104" s="36">
        <v>127.773</v>
      </c>
      <c r="V104" s="36">
        <v>127.854</v>
      </c>
      <c r="W104" s="36">
        <v>128.001</v>
      </c>
      <c r="X104" s="36">
        <v>128.06299999999999</v>
      </c>
      <c r="Y104" s="36">
        <v>128.047</v>
      </c>
      <c r="Z104" s="36">
        <v>128.07</v>
      </c>
      <c r="AA104" s="36">
        <v>127.833</v>
      </c>
      <c r="AB104" s="36">
        <v>127.629</v>
      </c>
      <c r="AC104" s="36">
        <v>127.44499999999999</v>
      </c>
      <c r="AD104" s="36">
        <v>127.276</v>
      </c>
      <c r="AE104" s="36">
        <v>127.14100000000001</v>
      </c>
      <c r="AF104" s="36">
        <v>127.07599999999999</v>
      </c>
      <c r="AG104" s="36">
        <v>126.97199999999999</v>
      </c>
      <c r="AH104" s="36">
        <v>126.81100000000001</v>
      </c>
      <c r="AI104" s="36">
        <v>126.633</v>
      </c>
      <c r="AJ104" s="36">
        <v>126.261</v>
      </c>
      <c r="AK104" s="36">
        <v>125.682</v>
      </c>
      <c r="AL104" s="36">
        <v>125.125</v>
      </c>
      <c r="AM104" s="36">
        <v>124.517</v>
      </c>
      <c r="AN104" s="36">
        <v>123.97499999999999</v>
      </c>
      <c r="AO104" s="36">
        <v>123.367</v>
      </c>
      <c r="AP104" s="37">
        <v>122.69</v>
      </c>
      <c r="AQ104" s="37">
        <v>121.99299999999999</v>
      </c>
      <c r="AR104" s="37">
        <v>121.283</v>
      </c>
      <c r="AS104" s="37">
        <v>120.565</v>
      </c>
      <c r="AT104" s="37">
        <v>119.84</v>
      </c>
      <c r="AU104" s="37">
        <v>119.10599999999999</v>
      </c>
      <c r="AV104" s="37">
        <v>118.367</v>
      </c>
      <c r="AW104" s="37">
        <v>117.623</v>
      </c>
      <c r="AX104" s="37">
        <v>116.876</v>
      </c>
      <c r="AY104" s="37">
        <v>116.124</v>
      </c>
      <c r="AZ104" s="37">
        <v>115.372</v>
      </c>
      <c r="BA104" s="37">
        <v>114.622</v>
      </c>
      <c r="BB104" s="37">
        <v>113.877</v>
      </c>
      <c r="BC104" s="37">
        <v>113.136</v>
      </c>
      <c r="BD104" s="37">
        <v>112.398</v>
      </c>
      <c r="BE104" s="37">
        <v>111.661</v>
      </c>
      <c r="BF104" s="37">
        <v>110.929</v>
      </c>
      <c r="BG104" s="37">
        <v>110.208</v>
      </c>
      <c r="BH104" s="37">
        <v>109.49299999999999</v>
      </c>
      <c r="BI104" s="37">
        <v>108.78400000000001</v>
      </c>
      <c r="BJ104" s="37">
        <v>108.081</v>
      </c>
      <c r="BK104" s="37">
        <v>107.387</v>
      </c>
      <c r="BL104" s="37">
        <v>106.702</v>
      </c>
      <c r="BM104" s="37">
        <v>106.023</v>
      </c>
      <c r="BN104" s="37">
        <v>105.348</v>
      </c>
    </row>
    <row r="105" spans="1:66" x14ac:dyDescent="0.2">
      <c r="A105" s="2" t="s">
        <v>418</v>
      </c>
      <c r="B105" s="2" t="s">
        <v>419</v>
      </c>
      <c r="C105" s="11" t="s">
        <v>82</v>
      </c>
      <c r="D105" s="12" t="s">
        <v>697</v>
      </c>
      <c r="E105" s="35">
        <v>0.99999995659980101</v>
      </c>
      <c r="F105" s="36">
        <v>3.6219999999999999</v>
      </c>
      <c r="G105" s="36">
        <v>3.915</v>
      </c>
      <c r="H105" s="36">
        <v>4.1280000000000001</v>
      </c>
      <c r="I105" s="36">
        <v>4.3479999999999999</v>
      </c>
      <c r="J105" s="36">
        <v>4.5609999999999999</v>
      </c>
      <c r="K105" s="36">
        <v>4.7519999999999998</v>
      </c>
      <c r="L105" s="36">
        <v>4.9130000000000003</v>
      </c>
      <c r="M105" s="36">
        <v>5.0460000000000003</v>
      </c>
      <c r="N105" s="36">
        <v>5.1639999999999997</v>
      </c>
      <c r="O105" s="36">
        <v>5.2759999999999998</v>
      </c>
      <c r="P105" s="36">
        <v>5.3869999999999996</v>
      </c>
      <c r="Q105" s="36">
        <v>5.4989999999999997</v>
      </c>
      <c r="R105" s="36">
        <v>5.6159999999999997</v>
      </c>
      <c r="S105" s="36">
        <v>5.742</v>
      </c>
      <c r="T105" s="36">
        <v>5.8819999999999997</v>
      </c>
      <c r="U105" s="36">
        <v>6.03</v>
      </c>
      <c r="V105" s="36">
        <v>6.4269999999999996</v>
      </c>
      <c r="W105" s="36">
        <v>6.827</v>
      </c>
      <c r="X105" s="36">
        <v>6.99</v>
      </c>
      <c r="Y105" s="36">
        <v>7.1420000000000003</v>
      </c>
      <c r="Z105" s="36">
        <v>7.2969999999999997</v>
      </c>
      <c r="AA105" s="36">
        <v>7.48</v>
      </c>
      <c r="AB105" s="36">
        <v>7.5869999999999997</v>
      </c>
      <c r="AC105" s="36">
        <v>7.992</v>
      </c>
      <c r="AD105" s="36">
        <v>8.7919999999999998</v>
      </c>
      <c r="AE105" s="36">
        <v>9.5449999999999999</v>
      </c>
      <c r="AF105" s="36">
        <v>10.006</v>
      </c>
      <c r="AG105" s="36">
        <v>10.234</v>
      </c>
      <c r="AH105" s="36">
        <v>10.462</v>
      </c>
      <c r="AI105" s="36">
        <v>10.672000000000001</v>
      </c>
      <c r="AJ105" s="36">
        <v>10.865</v>
      </c>
      <c r="AK105" s="36">
        <v>11.066000000000001</v>
      </c>
      <c r="AL105" s="36">
        <v>11.256</v>
      </c>
      <c r="AM105" s="36">
        <v>11.439</v>
      </c>
      <c r="AN105" s="36">
        <v>11.553000000000001</v>
      </c>
      <c r="AO105" s="36">
        <v>11.521000000000001</v>
      </c>
      <c r="AP105" s="37">
        <v>11.59</v>
      </c>
      <c r="AQ105" s="37">
        <v>11.819000000000001</v>
      </c>
      <c r="AR105" s="37">
        <v>12.034000000000001</v>
      </c>
      <c r="AS105" s="37">
        <v>12.246</v>
      </c>
      <c r="AT105" s="37">
        <v>12.449</v>
      </c>
      <c r="AU105" s="37">
        <v>12.653</v>
      </c>
      <c r="AV105" s="37">
        <v>12.855</v>
      </c>
      <c r="AW105" s="37">
        <v>13.051</v>
      </c>
      <c r="AX105" s="37">
        <v>13.244999999999999</v>
      </c>
      <c r="AY105" s="37">
        <v>13.441000000000001</v>
      </c>
      <c r="AZ105" s="37">
        <v>13.638</v>
      </c>
      <c r="BA105" s="37">
        <v>13.84</v>
      </c>
      <c r="BB105" s="37">
        <v>14.048</v>
      </c>
      <c r="BC105" s="37">
        <v>14.257</v>
      </c>
      <c r="BD105" s="37">
        <v>14.471</v>
      </c>
      <c r="BE105" s="37">
        <v>14.685</v>
      </c>
      <c r="BF105" s="37">
        <v>14.884</v>
      </c>
      <c r="BG105" s="37">
        <v>15.077999999999999</v>
      </c>
      <c r="BH105" s="37">
        <v>15.273999999999999</v>
      </c>
      <c r="BI105" s="37">
        <v>15.472</v>
      </c>
      <c r="BJ105" s="37">
        <v>15.662000000000001</v>
      </c>
      <c r="BK105" s="37">
        <v>15.842000000000001</v>
      </c>
      <c r="BL105" s="37">
        <v>16.021000000000001</v>
      </c>
      <c r="BM105" s="37">
        <v>16.198</v>
      </c>
      <c r="BN105" s="37">
        <v>16.367000000000001</v>
      </c>
    </row>
    <row r="106" spans="1:66" x14ac:dyDescent="0.2">
      <c r="A106" s="2" t="s">
        <v>420</v>
      </c>
      <c r="B106" s="2" t="s">
        <v>421</v>
      </c>
      <c r="C106" s="11" t="s">
        <v>82</v>
      </c>
      <c r="D106" s="12" t="s">
        <v>697</v>
      </c>
      <c r="E106" s="35">
        <v>0.99999997601199897</v>
      </c>
      <c r="F106" s="36">
        <v>17.154</v>
      </c>
      <c r="G106" s="36">
        <v>17.279</v>
      </c>
      <c r="H106" s="36">
        <v>17.332999999999998</v>
      </c>
      <c r="I106" s="36">
        <v>17.274000000000001</v>
      </c>
      <c r="J106" s="36">
        <v>17.044</v>
      </c>
      <c r="K106" s="36">
        <v>16.731000000000002</v>
      </c>
      <c r="L106" s="36">
        <v>16.416</v>
      </c>
      <c r="M106" s="36">
        <v>16.042999999999999</v>
      </c>
      <c r="N106" s="36">
        <v>15.648</v>
      </c>
      <c r="O106" s="36">
        <v>15.456</v>
      </c>
      <c r="P106" s="36">
        <v>15.500999999999999</v>
      </c>
      <c r="Q106" s="36">
        <v>15.576000000000001</v>
      </c>
      <c r="R106" s="36">
        <v>15.657</v>
      </c>
      <c r="S106" s="36">
        <v>15.747</v>
      </c>
      <c r="T106" s="36">
        <v>15.85</v>
      </c>
      <c r="U106" s="36">
        <v>15.968</v>
      </c>
      <c r="V106" s="36">
        <v>16.103999999999999</v>
      </c>
      <c r="W106" s="36">
        <v>16.257000000000001</v>
      </c>
      <c r="X106" s="36">
        <v>16.427</v>
      </c>
      <c r="Y106" s="36">
        <v>16.62</v>
      </c>
      <c r="Z106" s="36">
        <v>16.837</v>
      </c>
      <c r="AA106" s="36">
        <v>17.065999999999999</v>
      </c>
      <c r="AB106" s="36">
        <v>17.306000000000001</v>
      </c>
      <c r="AC106" s="36">
        <v>17.556999999999999</v>
      </c>
      <c r="AD106" s="36">
        <v>17.815999999999999</v>
      </c>
      <c r="AE106" s="36">
        <v>18.084</v>
      </c>
      <c r="AF106" s="36">
        <v>18.364000000000001</v>
      </c>
      <c r="AG106" s="36">
        <v>18.652000000000001</v>
      </c>
      <c r="AH106" s="36">
        <v>18.933</v>
      </c>
      <c r="AI106" s="36">
        <v>19.21</v>
      </c>
      <c r="AJ106" s="36">
        <v>19.481999999999999</v>
      </c>
      <c r="AK106" s="36">
        <v>19.744</v>
      </c>
      <c r="AL106" s="36">
        <v>20.035</v>
      </c>
      <c r="AM106" s="36">
        <v>20.329999999999998</v>
      </c>
      <c r="AN106" s="36">
        <v>20.593</v>
      </c>
      <c r="AO106" s="36">
        <v>20.844000000000001</v>
      </c>
      <c r="AP106" s="37">
        <v>21.084</v>
      </c>
      <c r="AQ106" s="37">
        <v>21.315999999999999</v>
      </c>
      <c r="AR106" s="37">
        <v>21.547999999999998</v>
      </c>
      <c r="AS106" s="37">
        <v>21.777000000000001</v>
      </c>
      <c r="AT106" s="37">
        <v>22.003</v>
      </c>
      <c r="AU106" s="37">
        <v>22.227</v>
      </c>
      <c r="AV106" s="37">
        <v>22.452999999999999</v>
      </c>
      <c r="AW106" s="37">
        <v>22.678999999999998</v>
      </c>
      <c r="AX106" s="37">
        <v>22.902999999999999</v>
      </c>
      <c r="AY106" s="37">
        <v>23.126000000000001</v>
      </c>
      <c r="AZ106" s="37">
        <v>23.349</v>
      </c>
      <c r="BA106" s="37">
        <v>23.571000000000002</v>
      </c>
      <c r="BB106" s="37">
        <v>23.792999999999999</v>
      </c>
      <c r="BC106" s="37">
        <v>24.018000000000001</v>
      </c>
      <c r="BD106" s="37">
        <v>24.247</v>
      </c>
      <c r="BE106" s="37">
        <v>24.478000000000002</v>
      </c>
      <c r="BF106" s="37">
        <v>24.707999999999998</v>
      </c>
      <c r="BG106" s="37">
        <v>24.940999999999999</v>
      </c>
      <c r="BH106" s="37">
        <v>25.175000000000001</v>
      </c>
      <c r="BI106" s="37">
        <v>25.41</v>
      </c>
      <c r="BJ106" s="37">
        <v>25.643000000000001</v>
      </c>
      <c r="BK106" s="37">
        <v>25.876000000000001</v>
      </c>
      <c r="BL106" s="37">
        <v>26.106999999999999</v>
      </c>
      <c r="BM106" s="37">
        <v>26.329000000000001</v>
      </c>
      <c r="BN106" s="37">
        <v>26.544</v>
      </c>
    </row>
    <row r="107" spans="1:66" x14ac:dyDescent="0.2">
      <c r="A107" s="2" t="s">
        <v>422</v>
      </c>
      <c r="B107" s="2" t="s">
        <v>423</v>
      </c>
      <c r="C107" s="11" t="s">
        <v>210</v>
      </c>
      <c r="D107" s="12" t="s">
        <v>697</v>
      </c>
      <c r="E107" s="35">
        <v>1.0000000086907399</v>
      </c>
      <c r="F107" s="36">
        <v>22.893000000000001</v>
      </c>
      <c r="G107" s="36">
        <v>23.646999999999998</v>
      </c>
      <c r="H107" s="36">
        <v>24.382000000000001</v>
      </c>
      <c r="I107" s="36">
        <v>25.117000000000001</v>
      </c>
      <c r="J107" s="36">
        <v>25.856999999999999</v>
      </c>
      <c r="K107" s="36">
        <v>26.602</v>
      </c>
      <c r="L107" s="36">
        <v>27.344000000000001</v>
      </c>
      <c r="M107" s="36">
        <v>28.102</v>
      </c>
      <c r="N107" s="36">
        <v>28.888000000000002</v>
      </c>
      <c r="O107" s="36">
        <v>29.733000000000001</v>
      </c>
      <c r="P107" s="36">
        <v>30.643000000000001</v>
      </c>
      <c r="Q107" s="36">
        <v>31.619</v>
      </c>
      <c r="R107" s="36">
        <v>32.630000000000003</v>
      </c>
      <c r="S107" s="36">
        <v>33.652000000000001</v>
      </c>
      <c r="T107" s="36">
        <v>34.713000000000001</v>
      </c>
      <c r="U107" s="36">
        <v>35.795999999999999</v>
      </c>
      <c r="V107" s="36">
        <v>36.904000000000003</v>
      </c>
      <c r="W107" s="36">
        <v>38.036000000000001</v>
      </c>
      <c r="X107" s="36">
        <v>39.206000000000003</v>
      </c>
      <c r="Y107" s="36">
        <v>40.408999999999999</v>
      </c>
      <c r="Z107" s="36">
        <v>41.598999999999997</v>
      </c>
      <c r="AA107" s="36">
        <v>42.758000000000003</v>
      </c>
      <c r="AB107" s="36">
        <v>43.887999999999998</v>
      </c>
      <c r="AC107" s="36">
        <v>44.987000000000002</v>
      </c>
      <c r="AD107" s="36">
        <v>46.051000000000002</v>
      </c>
      <c r="AE107" s="36">
        <v>47.088999999999999</v>
      </c>
      <c r="AF107" s="36">
        <v>48.14</v>
      </c>
      <c r="AG107" s="36">
        <v>49.198</v>
      </c>
      <c r="AH107" s="36">
        <v>50.207000000000001</v>
      </c>
      <c r="AI107" s="36">
        <v>51.203000000000003</v>
      </c>
      <c r="AJ107" s="36">
        <v>52.216999999999999</v>
      </c>
      <c r="AK107" s="36">
        <v>53.219000000000001</v>
      </c>
      <c r="AL107" s="36">
        <v>54.252000000000002</v>
      </c>
      <c r="AM107" s="36">
        <v>55.338999999999999</v>
      </c>
      <c r="AN107" s="36">
        <v>56.433</v>
      </c>
      <c r="AO107" s="36">
        <v>57.531999999999996</v>
      </c>
      <c r="AP107" s="37">
        <v>58.636000000000003</v>
      </c>
      <c r="AQ107" s="37">
        <v>59.746000000000002</v>
      </c>
      <c r="AR107" s="37">
        <v>60.86</v>
      </c>
      <c r="AS107" s="37">
        <v>61.978999999999999</v>
      </c>
      <c r="AT107" s="37">
        <v>63.101999999999997</v>
      </c>
      <c r="AU107" s="37">
        <v>64.23</v>
      </c>
      <c r="AV107" s="37">
        <v>65.358999999999995</v>
      </c>
      <c r="AW107" s="37">
        <v>66.484999999999999</v>
      </c>
      <c r="AX107" s="37">
        <v>67.605000000000004</v>
      </c>
      <c r="AY107" s="37">
        <v>68.715999999999994</v>
      </c>
      <c r="AZ107" s="37">
        <v>69.819000000000003</v>
      </c>
      <c r="BA107" s="37">
        <v>70.91</v>
      </c>
      <c r="BB107" s="37">
        <v>71.991</v>
      </c>
      <c r="BC107" s="37">
        <v>73.058000000000007</v>
      </c>
      <c r="BD107" s="37">
        <v>74.108999999999995</v>
      </c>
      <c r="BE107" s="37">
        <v>75.144000000000005</v>
      </c>
      <c r="BF107" s="37">
        <v>76.162000000000006</v>
      </c>
      <c r="BG107" s="37">
        <v>77.159000000000006</v>
      </c>
      <c r="BH107" s="37">
        <v>78.135000000000005</v>
      </c>
      <c r="BI107" s="37">
        <v>79.088999999999999</v>
      </c>
      <c r="BJ107" s="37">
        <v>80.022000000000006</v>
      </c>
      <c r="BK107" s="37">
        <v>80.938999999999993</v>
      </c>
      <c r="BL107" s="37">
        <v>81.837999999999994</v>
      </c>
      <c r="BM107" s="37">
        <v>82.721999999999994</v>
      </c>
      <c r="BN107" s="37">
        <v>83.593000000000004</v>
      </c>
    </row>
    <row r="108" spans="1:66" x14ac:dyDescent="0.2">
      <c r="A108" s="2" t="s">
        <v>424</v>
      </c>
      <c r="B108" s="2" t="s">
        <v>425</v>
      </c>
      <c r="C108" s="11" t="s">
        <v>210</v>
      </c>
      <c r="D108" s="12" t="s">
        <v>697</v>
      </c>
      <c r="E108" s="35">
        <v>0.99999633668770704</v>
      </c>
      <c r="F108" s="36">
        <v>7.4999999999999997E-2</v>
      </c>
      <c r="G108" s="36">
        <v>7.5999999999999998E-2</v>
      </c>
      <c r="H108" s="36">
        <v>7.8E-2</v>
      </c>
      <c r="I108" s="36">
        <v>7.9000000000000001E-2</v>
      </c>
      <c r="J108" s="36">
        <v>0.08</v>
      </c>
      <c r="K108" s="36">
        <v>8.1000000000000003E-2</v>
      </c>
      <c r="L108" s="36">
        <v>8.3000000000000004E-2</v>
      </c>
      <c r="M108" s="36">
        <v>8.4000000000000005E-2</v>
      </c>
      <c r="N108" s="36">
        <v>8.5999999999999993E-2</v>
      </c>
      <c r="O108" s="36">
        <v>8.6999999999999994E-2</v>
      </c>
      <c r="P108" s="36">
        <v>8.8999999999999996E-2</v>
      </c>
      <c r="Q108" s="36">
        <v>0.09</v>
      </c>
      <c r="R108" s="36">
        <v>9.1999999999999998E-2</v>
      </c>
      <c r="S108" s="36">
        <v>9.4E-2</v>
      </c>
      <c r="T108" s="36">
        <v>9.6000000000000002E-2</v>
      </c>
      <c r="U108" s="36">
        <v>9.8000000000000004E-2</v>
      </c>
      <c r="V108" s="36">
        <v>0.1</v>
      </c>
      <c r="W108" s="36">
        <v>0.10199999999999999</v>
      </c>
      <c r="X108" s="36">
        <v>0.104</v>
      </c>
      <c r="Y108" s="36">
        <v>0.106</v>
      </c>
      <c r="Z108" s="36">
        <v>0.109</v>
      </c>
      <c r="AA108" s="36">
        <v>0.111</v>
      </c>
      <c r="AB108" s="36">
        <v>0.112</v>
      </c>
      <c r="AC108" s="36">
        <v>0.114</v>
      </c>
      <c r="AD108" s="36">
        <v>0.115</v>
      </c>
      <c r="AE108" s="36">
        <v>0.11700000000000001</v>
      </c>
      <c r="AF108" s="36">
        <v>0.11799999999999999</v>
      </c>
      <c r="AG108" s="36">
        <v>0.12</v>
      </c>
      <c r="AH108" s="36">
        <v>0.122</v>
      </c>
      <c r="AI108" s="36">
        <v>0.124</v>
      </c>
      <c r="AJ108" s="36">
        <v>0.126</v>
      </c>
      <c r="AK108" s="36">
        <v>0.128</v>
      </c>
      <c r="AL108" s="36">
        <v>0.13</v>
      </c>
      <c r="AM108" s="36">
        <v>0.13300000000000001</v>
      </c>
      <c r="AN108" s="36">
        <v>0.13500000000000001</v>
      </c>
      <c r="AO108" s="36">
        <v>0.13600000000000001</v>
      </c>
      <c r="AP108" s="37">
        <v>0.13800000000000001</v>
      </c>
      <c r="AQ108" s="37">
        <v>0.14000000000000001</v>
      </c>
      <c r="AR108" s="37">
        <v>0.14199999999999999</v>
      </c>
      <c r="AS108" s="37">
        <v>0.14399999999999999</v>
      </c>
      <c r="AT108" s="37">
        <v>0.14599999999999999</v>
      </c>
      <c r="AU108" s="37">
        <v>0.14799999999999999</v>
      </c>
      <c r="AV108" s="37">
        <v>0.15</v>
      </c>
      <c r="AW108" s="37">
        <v>0.152</v>
      </c>
      <c r="AX108" s="37">
        <v>0.154</v>
      </c>
      <c r="AY108" s="37">
        <v>0.155</v>
      </c>
      <c r="AZ108" s="37">
        <v>0.157</v>
      </c>
      <c r="BA108" s="37">
        <v>0.159</v>
      </c>
      <c r="BB108" s="37">
        <v>0.161</v>
      </c>
      <c r="BC108" s="37">
        <v>0.16300000000000001</v>
      </c>
      <c r="BD108" s="37">
        <v>0.16500000000000001</v>
      </c>
      <c r="BE108" s="37">
        <v>0.16600000000000001</v>
      </c>
      <c r="BF108" s="37">
        <v>0.16800000000000001</v>
      </c>
      <c r="BG108" s="37">
        <v>0.17</v>
      </c>
      <c r="BH108" s="37">
        <v>0.17199999999999999</v>
      </c>
      <c r="BI108" s="37">
        <v>0.17399999999999999</v>
      </c>
      <c r="BJ108" s="37">
        <v>0.17599999999999999</v>
      </c>
      <c r="BK108" s="37">
        <v>0.17699999999999999</v>
      </c>
      <c r="BL108" s="37">
        <v>0.17899999999999999</v>
      </c>
      <c r="BM108" s="37">
        <v>0.18099999999999999</v>
      </c>
      <c r="BN108" s="37">
        <v>0.183</v>
      </c>
    </row>
    <row r="109" spans="1:66" x14ac:dyDescent="0.2">
      <c r="A109" s="2" t="s">
        <v>426</v>
      </c>
      <c r="B109" s="2" t="s">
        <v>427</v>
      </c>
      <c r="C109" s="11" t="s">
        <v>75</v>
      </c>
      <c r="D109" s="12" t="s">
        <v>697</v>
      </c>
      <c r="E109" s="35">
        <v>0.99999998118251798</v>
      </c>
      <c r="F109" s="36">
        <v>21.111999999999998</v>
      </c>
      <c r="G109" s="36">
        <v>21.428999999999998</v>
      </c>
      <c r="H109" s="36">
        <v>21.751000000000001</v>
      </c>
      <c r="I109" s="36">
        <v>22.073</v>
      </c>
      <c r="J109" s="36">
        <v>22.393999999999998</v>
      </c>
      <c r="K109" s="36">
        <v>22.669</v>
      </c>
      <c r="L109" s="36">
        <v>22.896000000000001</v>
      </c>
      <c r="M109" s="36">
        <v>23.111000000000001</v>
      </c>
      <c r="N109" s="36">
        <v>23.312000000000001</v>
      </c>
      <c r="O109" s="36">
        <v>23.498000000000001</v>
      </c>
      <c r="P109" s="36">
        <v>23.666</v>
      </c>
      <c r="Q109" s="36">
        <v>23.815000000000001</v>
      </c>
      <c r="R109" s="36">
        <v>23.943999999999999</v>
      </c>
      <c r="S109" s="36">
        <v>24.09</v>
      </c>
      <c r="T109" s="36">
        <v>24.254999999999999</v>
      </c>
      <c r="U109" s="36">
        <v>24.396000000000001</v>
      </c>
      <c r="V109" s="36">
        <v>24.524999999999999</v>
      </c>
      <c r="W109" s="36">
        <v>24.646000000000001</v>
      </c>
      <c r="X109" s="36">
        <v>24.765000000000001</v>
      </c>
      <c r="Y109" s="36">
        <v>24.878</v>
      </c>
      <c r="Z109" s="36">
        <v>24.986999999999998</v>
      </c>
      <c r="AA109" s="36">
        <v>25.097999999999999</v>
      </c>
      <c r="AB109" s="36">
        <v>25.212</v>
      </c>
      <c r="AC109" s="36">
        <v>25.329000000000001</v>
      </c>
      <c r="AD109" s="36">
        <v>25.451000000000001</v>
      </c>
      <c r="AE109" s="36">
        <v>25.574999999999999</v>
      </c>
      <c r="AF109" s="36">
        <v>25.698</v>
      </c>
      <c r="AG109" s="36">
        <v>25.818000000000001</v>
      </c>
      <c r="AH109" s="36">
        <v>25.931000000000001</v>
      </c>
      <c r="AI109" s="36">
        <v>26.038</v>
      </c>
      <c r="AJ109" s="36">
        <v>26.135999999999999</v>
      </c>
      <c r="AK109" s="36">
        <v>26.233000000000001</v>
      </c>
      <c r="AL109" s="36">
        <v>26.329000000000001</v>
      </c>
      <c r="AM109" s="36">
        <v>26.417999999999999</v>
      </c>
      <c r="AN109" s="36">
        <v>26.498999999999999</v>
      </c>
      <c r="AO109" s="36">
        <v>26.571000000000002</v>
      </c>
      <c r="AP109" s="37">
        <v>26.634</v>
      </c>
      <c r="AQ109" s="37">
        <v>26.686</v>
      </c>
      <c r="AR109" s="37">
        <v>26.728999999999999</v>
      </c>
      <c r="AS109" s="37">
        <v>26.762</v>
      </c>
      <c r="AT109" s="37">
        <v>26.785</v>
      </c>
      <c r="AU109" s="37">
        <v>26.797999999999998</v>
      </c>
      <c r="AV109" s="37">
        <v>26.800999999999998</v>
      </c>
      <c r="AW109" s="37">
        <v>26.795000000000002</v>
      </c>
      <c r="AX109" s="37">
        <v>26.78</v>
      </c>
      <c r="AY109" s="37">
        <v>26.757999999999999</v>
      </c>
      <c r="AZ109" s="37">
        <v>26.727</v>
      </c>
      <c r="BA109" s="37">
        <v>26.69</v>
      </c>
      <c r="BB109" s="37">
        <v>26.646000000000001</v>
      </c>
      <c r="BC109" s="37">
        <v>26.597000000000001</v>
      </c>
      <c r="BD109" s="37">
        <v>26.542000000000002</v>
      </c>
      <c r="BE109" s="37">
        <v>26.483000000000001</v>
      </c>
      <c r="BF109" s="37">
        <v>26.420999999999999</v>
      </c>
      <c r="BG109" s="37">
        <v>26.353999999999999</v>
      </c>
      <c r="BH109" s="37">
        <v>26.283999999999999</v>
      </c>
      <c r="BI109" s="37">
        <v>26.21</v>
      </c>
      <c r="BJ109" s="37">
        <v>26.132999999999999</v>
      </c>
      <c r="BK109" s="37">
        <v>26.052</v>
      </c>
      <c r="BL109" s="37">
        <v>25.968</v>
      </c>
      <c r="BM109" s="37">
        <v>25.879000000000001</v>
      </c>
      <c r="BN109" s="37">
        <v>25.786999999999999</v>
      </c>
    </row>
    <row r="110" spans="1:66" x14ac:dyDescent="0.2">
      <c r="A110" s="2" t="s">
        <v>428</v>
      </c>
      <c r="B110" s="2" t="s">
        <v>429</v>
      </c>
      <c r="C110" s="11" t="s">
        <v>79</v>
      </c>
      <c r="D110" s="12" t="s">
        <v>697</v>
      </c>
      <c r="E110" s="35">
        <v>1.0003393750360701</v>
      </c>
      <c r="F110" s="36">
        <v>42.869</v>
      </c>
      <c r="G110" s="36">
        <v>43.295999999999999</v>
      </c>
      <c r="H110" s="36">
        <v>43.747999999999998</v>
      </c>
      <c r="I110" s="36">
        <v>44.195</v>
      </c>
      <c r="J110" s="36">
        <v>44.642000000000003</v>
      </c>
      <c r="K110" s="36">
        <v>45.093000000000004</v>
      </c>
      <c r="L110" s="36">
        <v>45.524999999999999</v>
      </c>
      <c r="M110" s="36">
        <v>45.954000000000001</v>
      </c>
      <c r="N110" s="36">
        <v>46.286999999999999</v>
      </c>
      <c r="O110" s="36">
        <v>46.616999999999997</v>
      </c>
      <c r="P110" s="36">
        <v>47.008000000000003</v>
      </c>
      <c r="Q110" s="36">
        <v>47.37</v>
      </c>
      <c r="R110" s="36">
        <v>47.645000000000003</v>
      </c>
      <c r="S110" s="36">
        <v>47.892000000000003</v>
      </c>
      <c r="T110" s="36">
        <v>48.082999999999998</v>
      </c>
      <c r="U110" s="36">
        <v>48.185000000000002</v>
      </c>
      <c r="V110" s="36">
        <v>48.438000000000002</v>
      </c>
      <c r="W110" s="36">
        <v>48.683999999999997</v>
      </c>
      <c r="X110" s="36">
        <v>49.055</v>
      </c>
      <c r="Y110" s="36">
        <v>49.308</v>
      </c>
      <c r="Z110" s="36">
        <v>49.554000000000002</v>
      </c>
      <c r="AA110" s="36">
        <v>49.936999999999998</v>
      </c>
      <c r="AB110" s="36">
        <v>50.2</v>
      </c>
      <c r="AC110" s="36">
        <v>50.429000000000002</v>
      </c>
      <c r="AD110" s="36">
        <v>50.747</v>
      </c>
      <c r="AE110" s="36">
        <v>51.015000000000001</v>
      </c>
      <c r="AF110" s="36">
        <v>51.218000000000004</v>
      </c>
      <c r="AG110" s="36">
        <v>51.362000000000002</v>
      </c>
      <c r="AH110" s="36">
        <v>51.585000000000001</v>
      </c>
      <c r="AI110" s="36">
        <v>51.765000000000001</v>
      </c>
      <c r="AJ110" s="36">
        <v>51.835999999999999</v>
      </c>
      <c r="AK110" s="36">
        <v>51.77</v>
      </c>
      <c r="AL110" s="36">
        <v>51.673000000000002</v>
      </c>
      <c r="AM110" s="36">
        <v>51.713000000000001</v>
      </c>
      <c r="AN110" s="36">
        <v>51.750999999999998</v>
      </c>
      <c r="AO110" s="36">
        <v>51.685000000000002</v>
      </c>
      <c r="AP110" s="37">
        <v>51.618000000000002</v>
      </c>
      <c r="AQ110" s="37">
        <v>51.536000000000001</v>
      </c>
      <c r="AR110" s="37">
        <v>51.441000000000003</v>
      </c>
      <c r="AS110" s="37">
        <v>51.331000000000003</v>
      </c>
      <c r="AT110" s="37">
        <v>51.206000000000003</v>
      </c>
      <c r="AU110" s="37">
        <v>51.064999999999998</v>
      </c>
      <c r="AV110" s="37">
        <v>50.908999999999999</v>
      </c>
      <c r="AW110" s="37">
        <v>50.731999999999999</v>
      </c>
      <c r="AX110" s="37">
        <v>50.533999999999999</v>
      </c>
      <c r="AY110" s="37">
        <v>50.317999999999998</v>
      </c>
      <c r="AZ110" s="37">
        <v>50.084000000000003</v>
      </c>
      <c r="BA110" s="37">
        <v>49.83</v>
      </c>
      <c r="BB110" s="37">
        <v>49.558</v>
      </c>
      <c r="BC110" s="37">
        <v>49.268999999999998</v>
      </c>
      <c r="BD110" s="37">
        <v>48.965000000000003</v>
      </c>
      <c r="BE110" s="37">
        <v>48.646999999999998</v>
      </c>
      <c r="BF110" s="37">
        <v>48.316000000000003</v>
      </c>
      <c r="BG110" s="37">
        <v>47.975000000000001</v>
      </c>
      <c r="BH110" s="37">
        <v>47.62</v>
      </c>
      <c r="BI110" s="37">
        <v>47.249000000000002</v>
      </c>
      <c r="BJ110" s="37">
        <v>46.866999999999997</v>
      </c>
      <c r="BK110" s="37">
        <v>46.468000000000004</v>
      </c>
      <c r="BL110" s="37">
        <v>46.048999999999999</v>
      </c>
      <c r="BM110" s="37">
        <v>45.613</v>
      </c>
      <c r="BN110" s="37">
        <v>45.158000000000001</v>
      </c>
    </row>
    <row r="111" spans="1:66" x14ac:dyDescent="0.2">
      <c r="A111" s="2" t="s">
        <v>430</v>
      </c>
      <c r="B111" s="2" t="s">
        <v>431</v>
      </c>
      <c r="C111" s="11" t="s">
        <v>82</v>
      </c>
      <c r="D111" s="12" t="s">
        <v>697</v>
      </c>
      <c r="E111" s="38">
        <v>0.94191055028746395</v>
      </c>
      <c r="F111" s="36">
        <v>1.974</v>
      </c>
      <c r="G111" s="36">
        <v>2.0049999999999999</v>
      </c>
      <c r="H111" s="36">
        <v>2.04</v>
      </c>
      <c r="I111" s="36">
        <v>2.073</v>
      </c>
      <c r="J111" s="36">
        <v>2.105</v>
      </c>
      <c r="K111" s="36">
        <v>2.1379999999999999</v>
      </c>
      <c r="L111" s="36">
        <v>2.169</v>
      </c>
      <c r="M111" s="36">
        <v>2.1970000000000001</v>
      </c>
      <c r="N111" s="36">
        <v>2.0790000000000002</v>
      </c>
      <c r="O111" s="36">
        <v>1.8720000000000001</v>
      </c>
      <c r="P111" s="36">
        <v>1.802</v>
      </c>
      <c r="Q111" s="36">
        <v>1.82</v>
      </c>
      <c r="R111" s="36">
        <v>1.829</v>
      </c>
      <c r="S111" s="36">
        <v>1.8260000000000001</v>
      </c>
      <c r="T111" s="36">
        <v>1.823</v>
      </c>
      <c r="U111" s="36">
        <v>1.8180000000000001</v>
      </c>
      <c r="V111" s="36">
        <v>1.8129999999999999</v>
      </c>
      <c r="W111" s="36">
        <v>1.8069999999999999</v>
      </c>
      <c r="X111" s="36">
        <v>1.8009999999999999</v>
      </c>
      <c r="Y111" s="36">
        <v>1.7949999999999999</v>
      </c>
      <c r="Z111" s="36">
        <v>1.7889999999999999</v>
      </c>
      <c r="AA111" s="36">
        <v>1.792</v>
      </c>
      <c r="AB111" s="36">
        <v>1.8069999999999999</v>
      </c>
      <c r="AC111" s="36">
        <v>1.8180000000000001</v>
      </c>
      <c r="AD111" s="36">
        <v>1.8129999999999999</v>
      </c>
      <c r="AE111" s="36">
        <v>1.788</v>
      </c>
      <c r="AF111" s="36">
        <v>1.778</v>
      </c>
      <c r="AG111" s="36">
        <v>1.7909999999999999</v>
      </c>
      <c r="AH111" s="36">
        <v>1.7969999999999999</v>
      </c>
      <c r="AI111" s="36">
        <v>1.7889999999999999</v>
      </c>
      <c r="AJ111" s="36">
        <v>1.79</v>
      </c>
      <c r="AK111" s="36">
        <v>1.786</v>
      </c>
      <c r="AL111" s="36">
        <v>1.768</v>
      </c>
      <c r="AM111" s="36">
        <v>1.6830000000000001</v>
      </c>
      <c r="AN111" s="36">
        <v>1.5940000000000001</v>
      </c>
      <c r="AO111" s="36">
        <v>1.577</v>
      </c>
      <c r="AP111" s="37">
        <v>1.57</v>
      </c>
      <c r="AQ111" s="37">
        <v>1.5660000000000001</v>
      </c>
      <c r="AR111" s="37">
        <v>1.5649999999999999</v>
      </c>
      <c r="AS111" s="37">
        <v>1.5649999999999999</v>
      </c>
      <c r="AT111" s="37">
        <v>1.5649999999999999</v>
      </c>
      <c r="AU111" s="37">
        <v>1.5660000000000001</v>
      </c>
      <c r="AV111" s="37">
        <v>1.5669999999999999</v>
      </c>
      <c r="AW111" s="37">
        <v>1.569</v>
      </c>
      <c r="AX111" s="37">
        <v>1.57</v>
      </c>
      <c r="AY111" s="37">
        <v>1.5720000000000001</v>
      </c>
      <c r="AZ111" s="37">
        <v>1.573</v>
      </c>
      <c r="BA111" s="37">
        <v>1.575</v>
      </c>
      <c r="BB111" s="37">
        <v>1.5760000000000001</v>
      </c>
      <c r="BC111" s="37">
        <v>1.5760000000000001</v>
      </c>
      <c r="BD111" s="37">
        <v>1.577</v>
      </c>
      <c r="BE111" s="37">
        <v>1.5760000000000001</v>
      </c>
      <c r="BF111" s="37">
        <v>1.575</v>
      </c>
      <c r="BG111" s="37">
        <v>1.5740000000000001</v>
      </c>
      <c r="BH111" s="37">
        <v>1.5720000000000001</v>
      </c>
      <c r="BI111" s="37">
        <v>1.57</v>
      </c>
      <c r="BJ111" s="37">
        <v>1.5660000000000001</v>
      </c>
      <c r="BK111" s="37">
        <v>1.5629999999999999</v>
      </c>
      <c r="BL111" s="37">
        <v>1.5580000000000001</v>
      </c>
      <c r="BM111" s="37">
        <v>1.5529999999999999</v>
      </c>
      <c r="BN111" s="37">
        <v>1.548</v>
      </c>
    </row>
    <row r="112" spans="1:66" x14ac:dyDescent="0.2">
      <c r="A112" s="2" t="s">
        <v>432</v>
      </c>
      <c r="B112" s="2" t="s">
        <v>433</v>
      </c>
      <c r="C112" s="11" t="s">
        <v>79</v>
      </c>
      <c r="D112" s="12" t="s">
        <v>697</v>
      </c>
      <c r="E112" s="35">
        <v>0.96801093894791701</v>
      </c>
      <c r="F112" s="36">
        <v>1.6850000000000001</v>
      </c>
      <c r="G112" s="36">
        <v>1.351</v>
      </c>
      <c r="H112" s="36">
        <v>1.635</v>
      </c>
      <c r="I112" s="36">
        <v>1.6719999999999999</v>
      </c>
      <c r="J112" s="36">
        <v>1.6639999999999999</v>
      </c>
      <c r="K112" s="36">
        <v>1.6819999999999999</v>
      </c>
      <c r="L112" s="36">
        <v>1.73</v>
      </c>
      <c r="M112" s="36">
        <v>1.788</v>
      </c>
      <c r="N112" s="36">
        <v>1.8440000000000001</v>
      </c>
      <c r="O112" s="36">
        <v>1.9</v>
      </c>
      <c r="P112" s="36">
        <v>1.9550000000000001</v>
      </c>
      <c r="Q112" s="36">
        <v>2.008</v>
      </c>
      <c r="R112" s="36">
        <v>2.06</v>
      </c>
      <c r="S112" s="36">
        <v>2.11</v>
      </c>
      <c r="T112" s="36">
        <v>2.157</v>
      </c>
      <c r="U112" s="36">
        <v>2.2370000000000001</v>
      </c>
      <c r="V112" s="36">
        <v>2.3650000000000002</v>
      </c>
      <c r="W112" s="36">
        <v>2.508</v>
      </c>
      <c r="X112" s="36">
        <v>2.6509999999999998</v>
      </c>
      <c r="Y112" s="36">
        <v>2.7949999999999999</v>
      </c>
      <c r="Z112" s="36">
        <v>2.9430000000000001</v>
      </c>
      <c r="AA112" s="36">
        <v>3.133</v>
      </c>
      <c r="AB112" s="36">
        <v>3.3370000000000002</v>
      </c>
      <c r="AC112" s="36">
        <v>3.508</v>
      </c>
      <c r="AD112" s="36">
        <v>3.6659999999999999</v>
      </c>
      <c r="AE112" s="36">
        <v>3.835</v>
      </c>
      <c r="AF112" s="36">
        <v>4.0039999999999996</v>
      </c>
      <c r="AG112" s="36">
        <v>4.1550000000000002</v>
      </c>
      <c r="AH112" s="36">
        <v>4.3239999999999998</v>
      </c>
      <c r="AI112" s="36">
        <v>4.4420000000000002</v>
      </c>
      <c r="AJ112" s="36">
        <v>4.4000000000000004</v>
      </c>
      <c r="AK112" s="36">
        <v>4.3609999999999998</v>
      </c>
      <c r="AL112" s="36">
        <v>4.59</v>
      </c>
      <c r="AM112" s="36">
        <v>4.8529999999999998</v>
      </c>
      <c r="AN112" s="36">
        <v>4.8970000000000002</v>
      </c>
      <c r="AO112" s="36">
        <v>4.8650000000000002</v>
      </c>
      <c r="AP112" s="37">
        <v>4.9400000000000004</v>
      </c>
      <c r="AQ112" s="37">
        <v>5.0030000000000001</v>
      </c>
      <c r="AR112" s="37">
        <v>5.0579999999999998</v>
      </c>
      <c r="AS112" s="37">
        <v>5.1070000000000002</v>
      </c>
      <c r="AT112" s="37">
        <v>5.1539999999999999</v>
      </c>
      <c r="AU112" s="37">
        <v>5.2</v>
      </c>
      <c r="AV112" s="37">
        <v>5.2469999999999999</v>
      </c>
      <c r="AW112" s="37">
        <v>5.2939999999999996</v>
      </c>
      <c r="AX112" s="37">
        <v>5.3419999999999996</v>
      </c>
      <c r="AY112" s="37">
        <v>5.3920000000000003</v>
      </c>
      <c r="AZ112" s="37">
        <v>5.4409999999999998</v>
      </c>
      <c r="BA112" s="37">
        <v>5.4909999999999997</v>
      </c>
      <c r="BB112" s="37">
        <v>5.5419999999999998</v>
      </c>
      <c r="BC112" s="37">
        <v>5.593</v>
      </c>
      <c r="BD112" s="37">
        <v>5.6449999999999996</v>
      </c>
      <c r="BE112" s="37">
        <v>5.6959999999999997</v>
      </c>
      <c r="BF112" s="37">
        <v>5.7480000000000002</v>
      </c>
      <c r="BG112" s="37">
        <v>5.8</v>
      </c>
      <c r="BH112" s="37">
        <v>5.8529999999999998</v>
      </c>
      <c r="BI112" s="37">
        <v>5.9050000000000002</v>
      </c>
      <c r="BJ112" s="37">
        <v>5.9569999999999999</v>
      </c>
      <c r="BK112" s="37">
        <v>6.0090000000000003</v>
      </c>
      <c r="BL112" s="37">
        <v>6.06</v>
      </c>
      <c r="BM112" s="37">
        <v>6.1120000000000001</v>
      </c>
      <c r="BN112" s="37">
        <v>6.1639999999999997</v>
      </c>
    </row>
    <row r="113" spans="1:66" x14ac:dyDescent="0.2">
      <c r="A113" s="2" t="s">
        <v>434</v>
      </c>
      <c r="B113" s="2" t="s">
        <v>435</v>
      </c>
      <c r="C113" s="11" t="s">
        <v>210</v>
      </c>
      <c r="D113" s="12" t="s">
        <v>697</v>
      </c>
      <c r="E113" s="35">
        <v>1.00658386194061</v>
      </c>
      <c r="F113" s="36">
        <v>4.391</v>
      </c>
      <c r="G113" s="36">
        <v>4.4640000000000004</v>
      </c>
      <c r="H113" s="36">
        <v>4.5149999999999997</v>
      </c>
      <c r="I113" s="36">
        <v>4.5170000000000003</v>
      </c>
      <c r="J113" s="36">
        <v>4.5149999999999997</v>
      </c>
      <c r="K113" s="36">
        <v>4.5599999999999996</v>
      </c>
      <c r="L113" s="36">
        <v>4.6280000000000001</v>
      </c>
      <c r="M113" s="36">
        <v>4.6959999999999997</v>
      </c>
      <c r="N113" s="36">
        <v>4.7690000000000001</v>
      </c>
      <c r="O113" s="36">
        <v>4.84</v>
      </c>
      <c r="P113" s="36">
        <v>4.8979999999999997</v>
      </c>
      <c r="Q113" s="36">
        <v>4.9450000000000003</v>
      </c>
      <c r="R113" s="36">
        <v>4.9909999999999997</v>
      </c>
      <c r="S113" s="36">
        <v>5.0430000000000001</v>
      </c>
      <c r="T113" s="36">
        <v>5.1050000000000004</v>
      </c>
      <c r="U113" s="36">
        <v>5.1630000000000003</v>
      </c>
      <c r="V113" s="36">
        <v>5.218</v>
      </c>
      <c r="W113" s="36">
        <v>5.2679999999999998</v>
      </c>
      <c r="X113" s="36">
        <v>5.319</v>
      </c>
      <c r="Y113" s="36">
        <v>5.39</v>
      </c>
      <c r="Z113" s="36">
        <v>5.4669999999999996</v>
      </c>
      <c r="AA113" s="36">
        <v>5.5469999999999997</v>
      </c>
      <c r="AB113" s="36">
        <v>5.6520000000000001</v>
      </c>
      <c r="AC113" s="36">
        <v>5.7770000000000001</v>
      </c>
      <c r="AD113" s="36">
        <v>5.9059999999999997</v>
      </c>
      <c r="AE113" s="36">
        <v>6.04</v>
      </c>
      <c r="AF113" s="36">
        <v>6.1749999999999998</v>
      </c>
      <c r="AG113" s="36">
        <v>6.3070000000000004</v>
      </c>
      <c r="AH113" s="36">
        <v>6.444</v>
      </c>
      <c r="AI113" s="36">
        <v>6.59</v>
      </c>
      <c r="AJ113" s="36">
        <v>6.7270000000000003</v>
      </c>
      <c r="AK113" s="36">
        <v>6.851</v>
      </c>
      <c r="AL113" s="36">
        <v>6.9749999999999996</v>
      </c>
      <c r="AM113" s="36">
        <v>7.1</v>
      </c>
      <c r="AN113" s="36">
        <v>7.2220000000000004</v>
      </c>
      <c r="AO113" s="36">
        <v>7.343</v>
      </c>
      <c r="AP113" s="37">
        <v>7.4489999999999998</v>
      </c>
      <c r="AQ113" s="37">
        <v>7.5529999999999999</v>
      </c>
      <c r="AR113" s="37">
        <v>7.6550000000000002</v>
      </c>
      <c r="AS113" s="37">
        <v>7.7549999999999999</v>
      </c>
      <c r="AT113" s="37">
        <v>7.8550000000000004</v>
      </c>
      <c r="AU113" s="37">
        <v>7.9539999999999997</v>
      </c>
      <c r="AV113" s="37">
        <v>8.0510000000000002</v>
      </c>
      <c r="AW113" s="37">
        <v>8.1470000000000002</v>
      </c>
      <c r="AX113" s="37">
        <v>8.2420000000000009</v>
      </c>
      <c r="AY113" s="37">
        <v>8.3369999999999997</v>
      </c>
      <c r="AZ113" s="37">
        <v>8.4320000000000004</v>
      </c>
      <c r="BA113" s="37">
        <v>8.5269999999999992</v>
      </c>
      <c r="BB113" s="37">
        <v>8.6219999999999999</v>
      </c>
      <c r="BC113" s="37">
        <v>8.7189999999999994</v>
      </c>
      <c r="BD113" s="37">
        <v>8.8149999999999995</v>
      </c>
      <c r="BE113" s="37">
        <v>8.9120000000000008</v>
      </c>
      <c r="BF113" s="37">
        <v>9.0069999999999997</v>
      </c>
      <c r="BG113" s="37">
        <v>9.1</v>
      </c>
      <c r="BH113" s="37">
        <v>9.1929999999999996</v>
      </c>
      <c r="BI113" s="37">
        <v>9.2829999999999995</v>
      </c>
      <c r="BJ113" s="37">
        <v>9.3710000000000004</v>
      </c>
      <c r="BK113" s="37">
        <v>9.4559999999999995</v>
      </c>
      <c r="BL113" s="37">
        <v>9.5410000000000004</v>
      </c>
      <c r="BM113" s="37">
        <v>9.625</v>
      </c>
      <c r="BN113" s="37">
        <v>9.7059999999999995</v>
      </c>
    </row>
    <row r="114" spans="1:66" x14ac:dyDescent="0.2">
      <c r="A114" s="2" t="s">
        <v>436</v>
      </c>
      <c r="B114" s="2" t="s">
        <v>437</v>
      </c>
      <c r="C114" s="11" t="s">
        <v>210</v>
      </c>
      <c r="D114" s="12" t="s">
        <v>697</v>
      </c>
      <c r="E114" s="35">
        <v>1.0000000635078301</v>
      </c>
      <c r="F114" s="36">
        <v>4.3120000000000003</v>
      </c>
      <c r="G114" s="36">
        <v>4.4349999999999996</v>
      </c>
      <c r="H114" s="36">
        <v>4.5599999999999996</v>
      </c>
      <c r="I114" s="36">
        <v>4.6849999999999996</v>
      </c>
      <c r="J114" s="36">
        <v>4.8090000000000002</v>
      </c>
      <c r="K114" s="36">
        <v>4.9290000000000003</v>
      </c>
      <c r="L114" s="36">
        <v>5.0460000000000003</v>
      </c>
      <c r="M114" s="36">
        <v>5.1520000000000001</v>
      </c>
      <c r="N114" s="36">
        <v>5.2480000000000002</v>
      </c>
      <c r="O114" s="36">
        <v>5.3410000000000002</v>
      </c>
      <c r="P114" s="36">
        <v>5.431</v>
      </c>
      <c r="Q114" s="36">
        <v>5.5209999999999999</v>
      </c>
      <c r="R114" s="36">
        <v>5.6109999999999998</v>
      </c>
      <c r="S114" s="36">
        <v>5.6980000000000004</v>
      </c>
      <c r="T114" s="36">
        <v>5.782</v>
      </c>
      <c r="U114" s="36">
        <v>5.87</v>
      </c>
      <c r="V114" s="36">
        <v>5.9630000000000001</v>
      </c>
      <c r="W114" s="36">
        <v>6.056</v>
      </c>
      <c r="X114" s="36">
        <v>6.149</v>
      </c>
      <c r="Y114" s="36">
        <v>6.242</v>
      </c>
      <c r="Z114" s="36">
        <v>6.3339999999999996</v>
      </c>
      <c r="AA114" s="36">
        <v>6.4269999999999996</v>
      </c>
      <c r="AB114" s="36">
        <v>6.5190000000000001</v>
      </c>
      <c r="AC114" s="36">
        <v>6.6109999999999998</v>
      </c>
      <c r="AD114" s="36">
        <v>6.7030000000000003</v>
      </c>
      <c r="AE114" s="36">
        <v>6.8019999999999996</v>
      </c>
      <c r="AF114" s="36">
        <v>6.9089999999999998</v>
      </c>
      <c r="AG114" s="36">
        <v>7.0179999999999998</v>
      </c>
      <c r="AH114" s="36">
        <v>7.1280000000000001</v>
      </c>
      <c r="AI114" s="36">
        <v>7.2380000000000004</v>
      </c>
      <c r="AJ114" s="36">
        <v>7.3470000000000004</v>
      </c>
      <c r="AK114" s="36">
        <v>7.4530000000000003</v>
      </c>
      <c r="AL114" s="36">
        <v>7.5590000000000002</v>
      </c>
      <c r="AM114" s="36">
        <v>7.665</v>
      </c>
      <c r="AN114" s="36">
        <v>7.77</v>
      </c>
      <c r="AO114" s="36">
        <v>7.8730000000000002</v>
      </c>
      <c r="AP114" s="37">
        <v>7.9740000000000002</v>
      </c>
      <c r="AQ114" s="37">
        <v>8.0730000000000004</v>
      </c>
      <c r="AR114" s="37">
        <v>8.17</v>
      </c>
      <c r="AS114" s="37">
        <v>8.2639999999999993</v>
      </c>
      <c r="AT114" s="37">
        <v>8.3569999999999993</v>
      </c>
      <c r="AU114" s="37">
        <v>8.4480000000000004</v>
      </c>
      <c r="AV114" s="37">
        <v>8.5359999999999996</v>
      </c>
      <c r="AW114" s="37">
        <v>8.6229999999999993</v>
      </c>
      <c r="AX114" s="37">
        <v>8.7070000000000007</v>
      </c>
      <c r="AY114" s="37">
        <v>8.7889999999999997</v>
      </c>
      <c r="AZ114" s="37">
        <v>8.8689999999999998</v>
      </c>
      <c r="BA114" s="37">
        <v>8.9469999999999992</v>
      </c>
      <c r="BB114" s="37">
        <v>9.0239999999999991</v>
      </c>
      <c r="BC114" s="37">
        <v>9.0980000000000008</v>
      </c>
      <c r="BD114" s="37">
        <v>9.1690000000000005</v>
      </c>
      <c r="BE114" s="37">
        <v>9.2379999999999995</v>
      </c>
      <c r="BF114" s="37">
        <v>9.3049999999999997</v>
      </c>
      <c r="BG114" s="37">
        <v>9.3699999999999992</v>
      </c>
      <c r="BH114" s="37">
        <v>9.4320000000000004</v>
      </c>
      <c r="BI114" s="37">
        <v>9.4930000000000003</v>
      </c>
      <c r="BJ114" s="37">
        <v>9.5500000000000007</v>
      </c>
      <c r="BK114" s="37">
        <v>9.6059999999999999</v>
      </c>
      <c r="BL114" s="37">
        <v>9.6590000000000007</v>
      </c>
      <c r="BM114" s="37">
        <v>9.7100000000000009</v>
      </c>
      <c r="BN114" s="37">
        <v>9.7569999999999997</v>
      </c>
    </row>
    <row r="115" spans="1:66" x14ac:dyDescent="0.2">
      <c r="A115" s="2" t="s">
        <v>438</v>
      </c>
      <c r="B115" s="2" t="s">
        <v>439</v>
      </c>
      <c r="C115" s="11" t="s">
        <v>79</v>
      </c>
      <c r="D115" s="12" t="s">
        <v>697</v>
      </c>
      <c r="E115" s="35">
        <v>0.996884911675323</v>
      </c>
      <c r="F115" s="36">
        <v>2.6629999999999998</v>
      </c>
      <c r="G115" s="36">
        <v>2.6509999999999998</v>
      </c>
      <c r="H115" s="36">
        <v>2.6139999999999999</v>
      </c>
      <c r="I115" s="36">
        <v>2.5630000000000002</v>
      </c>
      <c r="J115" s="36">
        <v>2.5209999999999999</v>
      </c>
      <c r="K115" s="36">
        <v>2.4849999999999999</v>
      </c>
      <c r="L115" s="36">
        <v>2.4569999999999999</v>
      </c>
      <c r="M115" s="36">
        <v>2.4329999999999998</v>
      </c>
      <c r="N115" s="36">
        <v>2.41</v>
      </c>
      <c r="O115" s="36">
        <v>2.39</v>
      </c>
      <c r="P115" s="36">
        <v>2.3679999999999999</v>
      </c>
      <c r="Q115" s="36">
        <v>2.3370000000000002</v>
      </c>
      <c r="R115" s="36">
        <v>2.31</v>
      </c>
      <c r="S115" s="36">
        <v>2.2879999999999998</v>
      </c>
      <c r="T115" s="36">
        <v>2.2629999999999999</v>
      </c>
      <c r="U115" s="36">
        <v>2.2389999999999999</v>
      </c>
      <c r="V115" s="36">
        <v>2.218</v>
      </c>
      <c r="W115" s="36">
        <v>2.2000000000000002</v>
      </c>
      <c r="X115" s="36">
        <v>2.177</v>
      </c>
      <c r="Y115" s="36">
        <v>2.1419999999999999</v>
      </c>
      <c r="Z115" s="36">
        <v>2.0979999999999999</v>
      </c>
      <c r="AA115" s="36">
        <v>2.06</v>
      </c>
      <c r="AB115" s="36">
        <v>2.0339999999999998</v>
      </c>
      <c r="AC115" s="36">
        <v>2.0129999999999999</v>
      </c>
      <c r="AD115" s="36">
        <v>1.994</v>
      </c>
      <c r="AE115" s="36">
        <v>1.978</v>
      </c>
      <c r="AF115" s="36">
        <v>1.96</v>
      </c>
      <c r="AG115" s="36">
        <v>1.9419999999999999</v>
      </c>
      <c r="AH115" s="36">
        <v>1.927</v>
      </c>
      <c r="AI115" s="36">
        <v>1.9139999999999999</v>
      </c>
      <c r="AJ115" s="36">
        <v>1.9</v>
      </c>
      <c r="AK115" s="36">
        <v>1.8839999999999999</v>
      </c>
      <c r="AL115" s="36">
        <v>1.879</v>
      </c>
      <c r="AM115" s="36">
        <v>1.8839999999999999</v>
      </c>
      <c r="AN115" s="36">
        <v>1.8660000000000001</v>
      </c>
      <c r="AO115" s="36">
        <v>1.8480000000000001</v>
      </c>
      <c r="AP115" s="37">
        <v>1.83</v>
      </c>
      <c r="AQ115" s="37">
        <v>1.8160000000000001</v>
      </c>
      <c r="AR115" s="37">
        <v>1.8009999999999999</v>
      </c>
      <c r="AS115" s="37">
        <v>1.7869999999999999</v>
      </c>
      <c r="AT115" s="37">
        <v>1.772</v>
      </c>
      <c r="AU115" s="37">
        <v>1.7569999999999999</v>
      </c>
      <c r="AV115" s="37">
        <v>1.7430000000000001</v>
      </c>
      <c r="AW115" s="37">
        <v>1.7290000000000001</v>
      </c>
      <c r="AX115" s="37">
        <v>1.7150000000000001</v>
      </c>
      <c r="AY115" s="37">
        <v>1.7010000000000001</v>
      </c>
      <c r="AZ115" s="37">
        <v>1.6879999999999999</v>
      </c>
      <c r="BA115" s="37">
        <v>1.675</v>
      </c>
      <c r="BB115" s="37">
        <v>1.6619999999999999</v>
      </c>
      <c r="BC115" s="37">
        <v>1.6479999999999999</v>
      </c>
      <c r="BD115" s="37">
        <v>1.6359999999999999</v>
      </c>
      <c r="BE115" s="37">
        <v>1.623</v>
      </c>
      <c r="BF115" s="37">
        <v>1.61</v>
      </c>
      <c r="BG115" s="37">
        <v>1.5980000000000001</v>
      </c>
      <c r="BH115" s="37">
        <v>1.585</v>
      </c>
      <c r="BI115" s="37">
        <v>1.5720000000000001</v>
      </c>
      <c r="BJ115" s="37">
        <v>1.56</v>
      </c>
      <c r="BK115" s="37">
        <v>1.5469999999999999</v>
      </c>
      <c r="BL115" s="37">
        <v>1.5349999999999999</v>
      </c>
      <c r="BM115" s="37">
        <v>1.522</v>
      </c>
      <c r="BN115" s="37">
        <v>1.5089999999999999</v>
      </c>
    </row>
    <row r="116" spans="1:66" x14ac:dyDescent="0.2">
      <c r="A116" s="2" t="s">
        <v>440</v>
      </c>
      <c r="B116" s="2" t="s">
        <v>441</v>
      </c>
      <c r="C116" s="11" t="s">
        <v>210</v>
      </c>
      <c r="D116" s="12" t="s">
        <v>697</v>
      </c>
      <c r="E116" s="35">
        <v>1.00000008547855</v>
      </c>
      <c r="F116" s="36">
        <v>3.5950000000000002</v>
      </c>
      <c r="G116" s="36">
        <v>3.669</v>
      </c>
      <c r="H116" s="36">
        <v>3.7469999999999999</v>
      </c>
      <c r="I116" s="36">
        <v>3.8210000000000002</v>
      </c>
      <c r="J116" s="36">
        <v>3.89</v>
      </c>
      <c r="K116" s="36">
        <v>3.9609999999999999</v>
      </c>
      <c r="L116" s="36">
        <v>4.0350000000000001</v>
      </c>
      <c r="M116" s="36">
        <v>4.1079999999999997</v>
      </c>
      <c r="N116" s="36">
        <v>4.181</v>
      </c>
      <c r="O116" s="36">
        <v>4.2549999999999999</v>
      </c>
      <c r="P116" s="36">
        <v>4.3289999999999997</v>
      </c>
      <c r="Q116" s="36">
        <v>4.4020000000000001</v>
      </c>
      <c r="R116" s="36">
        <v>4.4640000000000004</v>
      </c>
      <c r="S116" s="36">
        <v>4.5259999999999998</v>
      </c>
      <c r="T116" s="36">
        <v>4.5990000000000002</v>
      </c>
      <c r="U116" s="36">
        <v>4.6710000000000003</v>
      </c>
      <c r="V116" s="36">
        <v>4.7510000000000003</v>
      </c>
      <c r="W116" s="36">
        <v>4.8440000000000003</v>
      </c>
      <c r="X116" s="36">
        <v>4.9249999999999998</v>
      </c>
      <c r="Y116" s="36">
        <v>4.992</v>
      </c>
      <c r="Z116" s="36">
        <v>5.0410000000000004</v>
      </c>
      <c r="AA116" s="36">
        <v>5.0960000000000001</v>
      </c>
      <c r="AB116" s="36">
        <v>5.2359999999999998</v>
      </c>
      <c r="AC116" s="36">
        <v>5.7430000000000003</v>
      </c>
      <c r="AD116" s="36">
        <v>6.3470000000000004</v>
      </c>
      <c r="AE116" s="36">
        <v>6.4720000000000004</v>
      </c>
      <c r="AF116" s="36">
        <v>6.3230000000000004</v>
      </c>
      <c r="AG116" s="36">
        <v>6.16</v>
      </c>
      <c r="AH116" s="36">
        <v>5.984</v>
      </c>
      <c r="AI116" s="36">
        <v>5.7949999999999999</v>
      </c>
      <c r="AJ116" s="36">
        <v>5.702</v>
      </c>
      <c r="AK116" s="36">
        <v>5.718</v>
      </c>
      <c r="AL116" s="36">
        <v>5.7439999999999998</v>
      </c>
      <c r="AM116" s="36">
        <v>5.7729999999999997</v>
      </c>
      <c r="AN116" s="36">
        <v>5.806</v>
      </c>
      <c r="AO116" s="36">
        <v>5.8490000000000002</v>
      </c>
      <c r="AP116" s="37">
        <v>5.8970000000000002</v>
      </c>
      <c r="AQ116" s="37">
        <v>5.9470000000000001</v>
      </c>
      <c r="AR116" s="37">
        <v>5.9980000000000002</v>
      </c>
      <c r="AS116" s="37">
        <v>6.05</v>
      </c>
      <c r="AT116" s="37">
        <v>6.1040000000000001</v>
      </c>
      <c r="AU116" s="37">
        <v>6.1580000000000004</v>
      </c>
      <c r="AV116" s="37">
        <v>6.2110000000000003</v>
      </c>
      <c r="AW116" s="37">
        <v>6.26</v>
      </c>
      <c r="AX116" s="37">
        <v>6.3090000000000002</v>
      </c>
      <c r="AY116" s="37">
        <v>6.3579999999999997</v>
      </c>
      <c r="AZ116" s="37">
        <v>6.4080000000000004</v>
      </c>
      <c r="BA116" s="37">
        <v>6.4619999999999997</v>
      </c>
      <c r="BB116" s="37">
        <v>6.516</v>
      </c>
      <c r="BC116" s="37">
        <v>6.569</v>
      </c>
      <c r="BD116" s="37">
        <v>6.62</v>
      </c>
      <c r="BE116" s="37">
        <v>6.6689999999999996</v>
      </c>
      <c r="BF116" s="37">
        <v>6.7140000000000004</v>
      </c>
      <c r="BG116" s="37">
        <v>6.7539999999999996</v>
      </c>
      <c r="BH116" s="37">
        <v>6.7939999999999996</v>
      </c>
      <c r="BI116" s="37">
        <v>6.835</v>
      </c>
      <c r="BJ116" s="37">
        <v>6.8719999999999999</v>
      </c>
      <c r="BK116" s="37">
        <v>6.9089999999999998</v>
      </c>
      <c r="BL116" s="37">
        <v>6.944</v>
      </c>
      <c r="BM116" s="37">
        <v>6.9729999999999999</v>
      </c>
      <c r="BN116" s="37">
        <v>6.9989999999999997</v>
      </c>
    </row>
    <row r="117" spans="1:66" x14ac:dyDescent="0.2">
      <c r="A117" s="2" t="s">
        <v>443</v>
      </c>
      <c r="B117" s="2" t="s">
        <v>444</v>
      </c>
      <c r="C117" s="11" t="s">
        <v>210</v>
      </c>
      <c r="D117" s="12" t="s">
        <v>697</v>
      </c>
      <c r="E117" s="35">
        <v>1.00000021156638</v>
      </c>
      <c r="F117" s="36">
        <v>1.81</v>
      </c>
      <c r="G117" s="36">
        <v>1.8420000000000001</v>
      </c>
      <c r="H117" s="36">
        <v>1.873</v>
      </c>
      <c r="I117" s="36">
        <v>1.9019999999999999</v>
      </c>
      <c r="J117" s="36">
        <v>1.9279999999999999</v>
      </c>
      <c r="K117" s="36">
        <v>1.9510000000000001</v>
      </c>
      <c r="L117" s="36">
        <v>1.972</v>
      </c>
      <c r="M117" s="36">
        <v>1.988</v>
      </c>
      <c r="N117" s="36">
        <v>1.998</v>
      </c>
      <c r="O117" s="36">
        <v>2.0030000000000001</v>
      </c>
      <c r="P117" s="36">
        <v>2.004</v>
      </c>
      <c r="Q117" s="36">
        <v>2.0009999999999999</v>
      </c>
      <c r="R117" s="36">
        <v>1.9950000000000001</v>
      </c>
      <c r="S117" s="36">
        <v>1.9850000000000001</v>
      </c>
      <c r="T117" s="36">
        <v>1.9710000000000001</v>
      </c>
      <c r="U117" s="36">
        <v>1.9530000000000001</v>
      </c>
      <c r="V117" s="36">
        <v>1.9450000000000001</v>
      </c>
      <c r="W117" s="36">
        <v>1.9530000000000001</v>
      </c>
      <c r="X117" s="36">
        <v>1.9670000000000001</v>
      </c>
      <c r="Y117" s="36">
        <v>1.9810000000000001</v>
      </c>
      <c r="Z117" s="36">
        <v>1.996</v>
      </c>
      <c r="AA117" s="36">
        <v>2.0139999999999998</v>
      </c>
      <c r="AB117" s="36">
        <v>2.0339999999999998</v>
      </c>
      <c r="AC117" s="36">
        <v>2.0569999999999999</v>
      </c>
      <c r="AD117" s="36">
        <v>2.08</v>
      </c>
      <c r="AE117" s="36">
        <v>2.105</v>
      </c>
      <c r="AF117" s="36">
        <v>2.13</v>
      </c>
      <c r="AG117" s="36">
        <v>2.157</v>
      </c>
      <c r="AH117" s="36">
        <v>2.1840000000000002</v>
      </c>
      <c r="AI117" s="36">
        <v>2.2090000000000001</v>
      </c>
      <c r="AJ117" s="36">
        <v>2.2360000000000002</v>
      </c>
      <c r="AK117" s="36">
        <v>2.262</v>
      </c>
      <c r="AL117" s="36">
        <v>2.286</v>
      </c>
      <c r="AM117" s="36">
        <v>2.3109999999999999</v>
      </c>
      <c r="AN117" s="36">
        <v>2.3370000000000002</v>
      </c>
      <c r="AO117" s="36">
        <v>2.363</v>
      </c>
      <c r="AP117" s="37">
        <v>2.3889999999999998</v>
      </c>
      <c r="AQ117" s="37">
        <v>2.415</v>
      </c>
      <c r="AR117" s="37">
        <v>2.4409999999999998</v>
      </c>
      <c r="AS117" s="37">
        <v>2.468</v>
      </c>
      <c r="AT117" s="37">
        <v>2.4940000000000002</v>
      </c>
      <c r="AU117" s="37">
        <v>2.52</v>
      </c>
      <c r="AV117" s="37">
        <v>2.5459999999999998</v>
      </c>
      <c r="AW117" s="37">
        <v>2.573</v>
      </c>
      <c r="AX117" s="37">
        <v>2.6</v>
      </c>
      <c r="AY117" s="37">
        <v>2.6269999999999998</v>
      </c>
      <c r="AZ117" s="37">
        <v>2.653</v>
      </c>
      <c r="BA117" s="37">
        <v>2.68</v>
      </c>
      <c r="BB117" s="37">
        <v>2.706</v>
      </c>
      <c r="BC117" s="37">
        <v>2.7320000000000002</v>
      </c>
      <c r="BD117" s="37">
        <v>2.758</v>
      </c>
      <c r="BE117" s="37">
        <v>2.7829999999999999</v>
      </c>
      <c r="BF117" s="37">
        <v>2.8090000000000002</v>
      </c>
      <c r="BG117" s="37">
        <v>2.8330000000000002</v>
      </c>
      <c r="BH117" s="37">
        <v>2.8580000000000001</v>
      </c>
      <c r="BI117" s="37">
        <v>2.8809999999999998</v>
      </c>
      <c r="BJ117" s="37">
        <v>2.9049999999999998</v>
      </c>
      <c r="BK117" s="37">
        <v>2.9279999999999999</v>
      </c>
      <c r="BL117" s="37">
        <v>2.95</v>
      </c>
      <c r="BM117" s="37">
        <v>2.972</v>
      </c>
      <c r="BN117" s="37">
        <v>2.9929999999999999</v>
      </c>
    </row>
    <row r="118" spans="1:66" x14ac:dyDescent="0.2">
      <c r="A118" s="2" t="s">
        <v>446</v>
      </c>
      <c r="B118" s="2" t="s">
        <v>447</v>
      </c>
      <c r="C118" s="11" t="s">
        <v>75</v>
      </c>
      <c r="D118" s="12" t="s">
        <v>697</v>
      </c>
      <c r="E118" s="35">
        <v>1</v>
      </c>
      <c r="F118" s="36">
        <v>2.2240000000000002</v>
      </c>
      <c r="G118" s="36">
        <v>1.9570000000000001</v>
      </c>
      <c r="H118" s="36">
        <v>2.0720000000000001</v>
      </c>
      <c r="I118" s="36">
        <v>2.1549999999999998</v>
      </c>
      <c r="J118" s="36">
        <v>2.15</v>
      </c>
      <c r="K118" s="36">
        <v>2.169</v>
      </c>
      <c r="L118" s="36">
        <v>2.2320000000000002</v>
      </c>
      <c r="M118" s="36">
        <v>2.4129999999999998</v>
      </c>
      <c r="N118" s="36">
        <v>2.67</v>
      </c>
      <c r="O118" s="36">
        <v>2.8220000000000001</v>
      </c>
      <c r="P118" s="36">
        <v>2.9279999999999999</v>
      </c>
      <c r="Q118" s="36">
        <v>3.0150000000000001</v>
      </c>
      <c r="R118" s="36">
        <v>3.0950000000000002</v>
      </c>
      <c r="S118" s="36">
        <v>3.12</v>
      </c>
      <c r="T118" s="36">
        <v>3.157</v>
      </c>
      <c r="U118" s="36">
        <v>3.3010000000000002</v>
      </c>
      <c r="V118" s="36">
        <v>3.4910000000000001</v>
      </c>
      <c r="W118" s="36">
        <v>3.669</v>
      </c>
      <c r="X118" s="36">
        <v>3.8210000000000002</v>
      </c>
      <c r="Y118" s="36">
        <v>3.9430000000000001</v>
      </c>
      <c r="Z118" s="36">
        <v>4.0590000000000002</v>
      </c>
      <c r="AA118" s="36">
        <v>4.2210000000000001</v>
      </c>
      <c r="AB118" s="36">
        <v>4.3730000000000002</v>
      </c>
      <c r="AC118" s="36">
        <v>4.47</v>
      </c>
      <c r="AD118" s="36">
        <v>4.5640000000000001</v>
      </c>
      <c r="AE118" s="36">
        <v>4.6589999999999998</v>
      </c>
      <c r="AF118" s="36">
        <v>4.7560000000000002</v>
      </c>
      <c r="AG118" s="36">
        <v>4.8490000000000002</v>
      </c>
      <c r="AH118" s="36">
        <v>4.9450000000000003</v>
      </c>
      <c r="AI118" s="36">
        <v>5.0439999999999996</v>
      </c>
      <c r="AJ118" s="36">
        <v>5.149</v>
      </c>
      <c r="AK118" s="36">
        <v>5.2590000000000003</v>
      </c>
      <c r="AL118" s="36">
        <v>5.3730000000000002</v>
      </c>
      <c r="AM118" s="36">
        <v>5.4930000000000003</v>
      </c>
      <c r="AN118" s="36">
        <v>5.6130000000000004</v>
      </c>
      <c r="AO118" s="36">
        <v>5.7309999999999999</v>
      </c>
      <c r="AP118" s="37">
        <v>5.8540000000000001</v>
      </c>
      <c r="AQ118" s="37">
        <v>5.9870000000000001</v>
      </c>
      <c r="AR118" s="37">
        <v>6.1189999999999998</v>
      </c>
      <c r="AS118" s="37">
        <v>6.2450000000000001</v>
      </c>
      <c r="AT118" s="37">
        <v>6.3659999999999997</v>
      </c>
      <c r="AU118" s="37">
        <v>6.4870000000000001</v>
      </c>
      <c r="AV118" s="37">
        <v>6.6139999999999999</v>
      </c>
      <c r="AW118" s="37">
        <v>6.7450000000000001</v>
      </c>
      <c r="AX118" s="37">
        <v>6.8739999999999997</v>
      </c>
      <c r="AY118" s="37">
        <v>7.0039999999999996</v>
      </c>
      <c r="AZ118" s="37">
        <v>7.1420000000000003</v>
      </c>
      <c r="BA118" s="37">
        <v>7.2789999999999999</v>
      </c>
      <c r="BB118" s="37">
        <v>7.4089999999999998</v>
      </c>
      <c r="BC118" s="37">
        <v>7.5460000000000003</v>
      </c>
      <c r="BD118" s="37">
        <v>7.6820000000000004</v>
      </c>
      <c r="BE118" s="37">
        <v>7.8170000000000002</v>
      </c>
      <c r="BF118" s="37">
        <v>7.9539999999999997</v>
      </c>
      <c r="BG118" s="37">
        <v>8.077</v>
      </c>
      <c r="BH118" s="37">
        <v>8.1940000000000008</v>
      </c>
      <c r="BI118" s="37">
        <v>8.3109999999999999</v>
      </c>
      <c r="BJ118" s="37">
        <v>8.4290000000000003</v>
      </c>
      <c r="BK118" s="37">
        <v>8.5519999999999996</v>
      </c>
      <c r="BL118" s="37">
        <v>8.6739999999999995</v>
      </c>
      <c r="BM118" s="37">
        <v>8.7959999999999994</v>
      </c>
      <c r="BN118" s="37">
        <v>8.9109999999999996</v>
      </c>
    </row>
    <row r="119" spans="1:66" x14ac:dyDescent="0.2">
      <c r="A119" s="2" t="s">
        <v>448</v>
      </c>
      <c r="B119" s="2" t="s">
        <v>449</v>
      </c>
      <c r="C119" s="11" t="s">
        <v>82</v>
      </c>
      <c r="D119" s="12" t="s">
        <v>697</v>
      </c>
      <c r="E119" s="35">
        <v>1.0000000670371201</v>
      </c>
      <c r="F119" s="36">
        <v>4.4450000000000003</v>
      </c>
      <c r="G119" s="36">
        <v>4.5439999999999996</v>
      </c>
      <c r="H119" s="36">
        <v>4.6399999999999997</v>
      </c>
      <c r="I119" s="36">
        <v>4.7329999999999997</v>
      </c>
      <c r="J119" s="36">
        <v>4.8220000000000001</v>
      </c>
      <c r="K119" s="36">
        <v>4.907</v>
      </c>
      <c r="L119" s="36">
        <v>4.9870000000000001</v>
      </c>
      <c r="M119" s="36">
        <v>5.0650000000000004</v>
      </c>
      <c r="N119" s="36">
        <v>5.141</v>
      </c>
      <c r="O119" s="36">
        <v>5.218</v>
      </c>
      <c r="P119" s="36">
        <v>5.3049999999999997</v>
      </c>
      <c r="Q119" s="36">
        <v>5.4039999999999999</v>
      </c>
      <c r="R119" s="36">
        <v>5.508</v>
      </c>
      <c r="S119" s="36">
        <v>5.6189999999999998</v>
      </c>
      <c r="T119" s="36">
        <v>5.7370000000000001</v>
      </c>
      <c r="U119" s="36">
        <v>5.859</v>
      </c>
      <c r="V119" s="36">
        <v>5.98</v>
      </c>
      <c r="W119" s="36">
        <v>6.1040000000000001</v>
      </c>
      <c r="X119" s="36">
        <v>6.2350000000000003</v>
      </c>
      <c r="Y119" s="36">
        <v>6.367</v>
      </c>
      <c r="Z119" s="36">
        <v>6.4980000000000002</v>
      </c>
      <c r="AA119" s="36">
        <v>6.343</v>
      </c>
      <c r="AB119" s="36">
        <v>6.1790000000000003</v>
      </c>
      <c r="AC119" s="36">
        <v>6.3049999999999997</v>
      </c>
      <c r="AD119" s="36">
        <v>6.4269999999999996</v>
      </c>
      <c r="AE119" s="36">
        <v>6.532</v>
      </c>
      <c r="AF119" s="36">
        <v>6.6319999999999997</v>
      </c>
      <c r="AG119" s="36">
        <v>6.7389999999999999</v>
      </c>
      <c r="AH119" s="36">
        <v>6.8490000000000002</v>
      </c>
      <c r="AI119" s="36">
        <v>6.9509999999999996</v>
      </c>
      <c r="AJ119" s="36">
        <v>7.0449999999999999</v>
      </c>
      <c r="AK119" s="36">
        <v>7.1349999999999998</v>
      </c>
      <c r="AL119" s="36">
        <v>7.2240000000000002</v>
      </c>
      <c r="AM119" s="36">
        <v>7.306</v>
      </c>
      <c r="AN119" s="36">
        <v>7.3810000000000002</v>
      </c>
      <c r="AO119" s="36">
        <v>7.4589999999999996</v>
      </c>
      <c r="AP119" s="37">
        <v>7.54</v>
      </c>
      <c r="AQ119" s="37">
        <v>7.6269999999999998</v>
      </c>
      <c r="AR119" s="37">
        <v>7.7169999999999996</v>
      </c>
      <c r="AS119" s="37">
        <v>7.8019999999999996</v>
      </c>
      <c r="AT119" s="37">
        <v>7.8860000000000001</v>
      </c>
      <c r="AU119" s="37">
        <v>7.9690000000000003</v>
      </c>
      <c r="AV119" s="37">
        <v>8.048</v>
      </c>
      <c r="AW119" s="37">
        <v>8.1270000000000007</v>
      </c>
      <c r="AX119" s="37">
        <v>8.2070000000000007</v>
      </c>
      <c r="AY119" s="37">
        <v>8.2840000000000007</v>
      </c>
      <c r="AZ119" s="37">
        <v>8.3569999999999993</v>
      </c>
      <c r="BA119" s="37">
        <v>8.4320000000000004</v>
      </c>
      <c r="BB119" s="37">
        <v>8.5069999999999997</v>
      </c>
      <c r="BC119" s="37">
        <v>8.58</v>
      </c>
      <c r="BD119" s="37">
        <v>8.6509999999999998</v>
      </c>
      <c r="BE119" s="37">
        <v>8.7200000000000006</v>
      </c>
      <c r="BF119" s="37">
        <v>8.7870000000000008</v>
      </c>
      <c r="BG119" s="37">
        <v>8.8539999999999992</v>
      </c>
      <c r="BH119" s="37">
        <v>8.92</v>
      </c>
      <c r="BI119" s="37">
        <v>8.984</v>
      </c>
      <c r="BJ119" s="37">
        <v>9.0440000000000005</v>
      </c>
      <c r="BK119" s="37">
        <v>9.0980000000000008</v>
      </c>
      <c r="BL119" s="37">
        <v>9.1539999999999999</v>
      </c>
      <c r="BM119" s="37">
        <v>9.2089999999999996</v>
      </c>
      <c r="BN119" s="37">
        <v>9.2609999999999992</v>
      </c>
    </row>
    <row r="120" spans="1:66" x14ac:dyDescent="0.2">
      <c r="A120" s="2" t="s">
        <v>450</v>
      </c>
      <c r="B120" s="2" t="s">
        <v>451</v>
      </c>
      <c r="C120" s="11" t="s">
        <v>79</v>
      </c>
      <c r="D120" s="12" t="s">
        <v>697</v>
      </c>
      <c r="E120" s="35">
        <v>1.0223285486443401</v>
      </c>
      <c r="F120" s="36">
        <v>2.9000000000000001E-2</v>
      </c>
      <c r="G120" s="36">
        <v>2.9000000000000001E-2</v>
      </c>
      <c r="H120" s="36">
        <v>0.03</v>
      </c>
      <c r="I120" s="36">
        <v>0.03</v>
      </c>
      <c r="J120" s="36">
        <v>0.03</v>
      </c>
      <c r="K120" s="36">
        <v>3.1E-2</v>
      </c>
      <c r="L120" s="36">
        <v>3.1E-2</v>
      </c>
      <c r="M120" s="36">
        <v>3.1E-2</v>
      </c>
      <c r="N120" s="36">
        <v>3.2000000000000001E-2</v>
      </c>
      <c r="O120" s="36">
        <v>3.2000000000000001E-2</v>
      </c>
      <c r="P120" s="36">
        <v>3.3000000000000002E-2</v>
      </c>
      <c r="Q120" s="36">
        <v>3.3000000000000002E-2</v>
      </c>
      <c r="R120" s="36">
        <v>3.4000000000000002E-2</v>
      </c>
      <c r="S120" s="36">
        <v>3.4000000000000002E-2</v>
      </c>
      <c r="T120" s="36">
        <v>3.4000000000000002E-2</v>
      </c>
      <c r="U120" s="36">
        <v>3.5000000000000003E-2</v>
      </c>
      <c r="V120" s="36">
        <v>3.5000000000000003E-2</v>
      </c>
      <c r="W120" s="36">
        <v>3.5000000000000003E-2</v>
      </c>
      <c r="X120" s="36">
        <v>3.5000000000000003E-2</v>
      </c>
      <c r="Y120" s="36">
        <v>3.5999999999999997E-2</v>
      </c>
      <c r="Z120" s="36">
        <v>3.5999999999999997E-2</v>
      </c>
      <c r="AA120" s="36">
        <v>3.5999999999999997E-2</v>
      </c>
      <c r="AB120" s="36">
        <v>3.6999999999999998E-2</v>
      </c>
      <c r="AC120" s="36">
        <v>3.6999999999999998E-2</v>
      </c>
      <c r="AD120" s="36">
        <v>3.6999999999999998E-2</v>
      </c>
      <c r="AE120" s="36">
        <v>3.6999999999999998E-2</v>
      </c>
      <c r="AF120" s="36">
        <v>3.7999999999999999E-2</v>
      </c>
      <c r="AG120" s="36">
        <v>3.7999999999999999E-2</v>
      </c>
      <c r="AH120" s="36">
        <v>3.7999999999999999E-2</v>
      </c>
      <c r="AI120" s="36">
        <v>3.9E-2</v>
      </c>
      <c r="AJ120" s="36">
        <v>3.9E-2</v>
      </c>
      <c r="AK120" s="36">
        <v>3.9E-2</v>
      </c>
      <c r="AL120" s="36">
        <v>3.9E-2</v>
      </c>
      <c r="AM120" s="36">
        <v>0.04</v>
      </c>
      <c r="AN120" s="36">
        <v>0.04</v>
      </c>
      <c r="AO120" s="36">
        <v>4.1000000000000002E-2</v>
      </c>
      <c r="AP120" s="37">
        <v>4.1000000000000002E-2</v>
      </c>
      <c r="AQ120" s="37">
        <v>4.2000000000000003E-2</v>
      </c>
      <c r="AR120" s="37">
        <v>4.2000000000000003E-2</v>
      </c>
      <c r="AS120" s="37">
        <v>4.2000000000000003E-2</v>
      </c>
      <c r="AT120" s="37">
        <v>4.2000000000000003E-2</v>
      </c>
      <c r="AU120" s="37">
        <v>4.2000000000000003E-2</v>
      </c>
      <c r="AV120" s="37">
        <v>4.2000000000000003E-2</v>
      </c>
      <c r="AW120" s="37">
        <v>4.2999999999999997E-2</v>
      </c>
      <c r="AX120" s="37">
        <v>4.2999999999999997E-2</v>
      </c>
      <c r="AY120" s="37">
        <v>4.2999999999999997E-2</v>
      </c>
      <c r="AZ120" s="37">
        <v>4.2999999999999997E-2</v>
      </c>
      <c r="BA120" s="37">
        <v>4.2999999999999997E-2</v>
      </c>
      <c r="BB120" s="37">
        <v>4.2999999999999997E-2</v>
      </c>
      <c r="BC120" s="37">
        <v>4.2999999999999997E-2</v>
      </c>
      <c r="BD120" s="37">
        <v>4.2999999999999997E-2</v>
      </c>
      <c r="BE120" s="37">
        <v>4.3999999999999997E-2</v>
      </c>
      <c r="BF120" s="37">
        <v>4.3999999999999997E-2</v>
      </c>
      <c r="BG120" s="37">
        <v>4.3999999999999997E-2</v>
      </c>
      <c r="BH120" s="37">
        <v>4.3999999999999997E-2</v>
      </c>
      <c r="BI120" s="37">
        <v>4.3999999999999997E-2</v>
      </c>
      <c r="BJ120" s="37">
        <v>4.3999999999999997E-2</v>
      </c>
      <c r="BK120" s="37">
        <v>4.3999999999999997E-2</v>
      </c>
      <c r="BL120" s="37">
        <v>4.3999999999999997E-2</v>
      </c>
      <c r="BM120" s="37">
        <v>4.3999999999999997E-2</v>
      </c>
      <c r="BN120" s="37">
        <v>4.3999999999999997E-2</v>
      </c>
    </row>
    <row r="121" spans="1:66" x14ac:dyDescent="0.2">
      <c r="A121" s="2" t="s">
        <v>452</v>
      </c>
      <c r="B121" s="2" t="s">
        <v>453</v>
      </c>
      <c r="C121" s="11" t="s">
        <v>79</v>
      </c>
      <c r="D121" s="12" t="s">
        <v>697</v>
      </c>
      <c r="E121" s="35">
        <v>1.02071608004468</v>
      </c>
      <c r="F121" s="36">
        <v>3.698</v>
      </c>
      <c r="G121" s="36">
        <v>3.7040000000000002</v>
      </c>
      <c r="H121" s="36">
        <v>3.7</v>
      </c>
      <c r="I121" s="36">
        <v>3.6829999999999998</v>
      </c>
      <c r="J121" s="36">
        <v>3.657</v>
      </c>
      <c r="K121" s="36">
        <v>3.629</v>
      </c>
      <c r="L121" s="36">
        <v>3.6019999999999999</v>
      </c>
      <c r="M121" s="36">
        <v>3.5750000000000002</v>
      </c>
      <c r="N121" s="36">
        <v>3.5489999999999999</v>
      </c>
      <c r="O121" s="36">
        <v>3.524</v>
      </c>
      <c r="P121" s="36">
        <v>3.5</v>
      </c>
      <c r="Q121" s="36">
        <v>3.4710000000000001</v>
      </c>
      <c r="R121" s="36">
        <v>3.4430000000000001</v>
      </c>
      <c r="S121" s="36">
        <v>3.415</v>
      </c>
      <c r="T121" s="36">
        <v>3.3769999999999998</v>
      </c>
      <c r="U121" s="36">
        <v>3.323</v>
      </c>
      <c r="V121" s="36">
        <v>3.27</v>
      </c>
      <c r="W121" s="36">
        <v>3.2309999999999999</v>
      </c>
      <c r="X121" s="36">
        <v>3.198</v>
      </c>
      <c r="Y121" s="36">
        <v>3.1629999999999998</v>
      </c>
      <c r="Z121" s="36">
        <v>3.097</v>
      </c>
      <c r="AA121" s="36">
        <v>3.028</v>
      </c>
      <c r="AB121" s="36">
        <v>2.9889999999999999</v>
      </c>
      <c r="AC121" s="36">
        <v>2.9609999999999999</v>
      </c>
      <c r="AD121" s="36">
        <v>2.9369999999999998</v>
      </c>
      <c r="AE121" s="36">
        <v>2.911</v>
      </c>
      <c r="AF121" s="36">
        <v>2.8769999999999998</v>
      </c>
      <c r="AG121" s="36">
        <v>2.843</v>
      </c>
      <c r="AH121" s="36">
        <v>2.819</v>
      </c>
      <c r="AI121" s="36">
        <v>2.8109999999999999</v>
      </c>
      <c r="AJ121" s="36">
        <v>2.81</v>
      </c>
      <c r="AK121" s="36">
        <v>2.8079999999999998</v>
      </c>
      <c r="AL121" s="36">
        <v>2.8319999999999999</v>
      </c>
      <c r="AM121" s="36">
        <v>2.8719999999999999</v>
      </c>
      <c r="AN121" s="36">
        <v>2.8879999999999999</v>
      </c>
      <c r="AO121" s="36">
        <v>2.8889999999999998</v>
      </c>
      <c r="AP121" s="37">
        <v>2.855</v>
      </c>
      <c r="AQ121" s="37">
        <v>2.8319999999999999</v>
      </c>
      <c r="AR121" s="37">
        <v>2.8079999999999998</v>
      </c>
      <c r="AS121" s="37">
        <v>2.7850000000000001</v>
      </c>
      <c r="AT121" s="37">
        <v>2.762</v>
      </c>
      <c r="AU121" s="37">
        <v>2.74</v>
      </c>
      <c r="AV121" s="37">
        <v>2.718</v>
      </c>
      <c r="AW121" s="37">
        <v>2.6960000000000002</v>
      </c>
      <c r="AX121" s="37">
        <v>2.6739999999999999</v>
      </c>
      <c r="AY121" s="37">
        <v>2.6509999999999998</v>
      </c>
      <c r="AZ121" s="37">
        <v>2.629</v>
      </c>
      <c r="BA121" s="37">
        <v>2.6059999999999999</v>
      </c>
      <c r="BB121" s="37">
        <v>2.5830000000000002</v>
      </c>
      <c r="BC121" s="37">
        <v>2.56</v>
      </c>
      <c r="BD121" s="37">
        <v>2.536</v>
      </c>
      <c r="BE121" s="37">
        <v>2.5129999999999999</v>
      </c>
      <c r="BF121" s="37">
        <v>2.4900000000000002</v>
      </c>
      <c r="BG121" s="37">
        <v>2.4670000000000001</v>
      </c>
      <c r="BH121" s="37">
        <v>2.444</v>
      </c>
      <c r="BI121" s="37">
        <v>2.4209999999999998</v>
      </c>
      <c r="BJ121" s="37">
        <v>2.399</v>
      </c>
      <c r="BK121" s="37">
        <v>2.375</v>
      </c>
      <c r="BL121" s="37">
        <v>2.3519999999999999</v>
      </c>
      <c r="BM121" s="37">
        <v>2.3290000000000002</v>
      </c>
      <c r="BN121" s="37">
        <v>2.306</v>
      </c>
    </row>
    <row r="122" spans="1:66" x14ac:dyDescent="0.2">
      <c r="A122" s="2" t="s">
        <v>455</v>
      </c>
      <c r="B122" s="2" t="s">
        <v>456</v>
      </c>
      <c r="C122" s="11" t="s">
        <v>79</v>
      </c>
      <c r="D122" s="12" t="s">
        <v>697</v>
      </c>
      <c r="E122" s="35">
        <v>1.00957670142045</v>
      </c>
      <c r="F122" s="36">
        <v>0.38200000000000001</v>
      </c>
      <c r="G122" s="36">
        <v>0.38700000000000001</v>
      </c>
      <c r="H122" s="36">
        <v>0.39200000000000002</v>
      </c>
      <c r="I122" s="36">
        <v>0.39700000000000002</v>
      </c>
      <c r="J122" s="36">
        <v>0.40300000000000002</v>
      </c>
      <c r="K122" s="36">
        <v>0.40899999999999997</v>
      </c>
      <c r="L122" s="36">
        <v>0.41399999999999998</v>
      </c>
      <c r="M122" s="36">
        <v>0.41899999999999998</v>
      </c>
      <c r="N122" s="36">
        <v>0.42499999999999999</v>
      </c>
      <c r="O122" s="36">
        <v>0.43</v>
      </c>
      <c r="P122" s="36">
        <v>0.436</v>
      </c>
      <c r="Q122" s="36">
        <v>0.442</v>
      </c>
      <c r="R122" s="36">
        <v>0.44600000000000001</v>
      </c>
      <c r="S122" s="36">
        <v>0.45200000000000001</v>
      </c>
      <c r="T122" s="36">
        <v>0.45800000000000002</v>
      </c>
      <c r="U122" s="36">
        <v>0.46500000000000002</v>
      </c>
      <c r="V122" s="36">
        <v>0.47299999999999998</v>
      </c>
      <c r="W122" s="36">
        <v>0.48</v>
      </c>
      <c r="X122" s="36">
        <v>0.48899999999999999</v>
      </c>
      <c r="Y122" s="36">
        <v>0.498</v>
      </c>
      <c r="Z122" s="36">
        <v>0.50700000000000001</v>
      </c>
      <c r="AA122" s="36">
        <v>0.51800000000000002</v>
      </c>
      <c r="AB122" s="36">
        <v>0.53100000000000003</v>
      </c>
      <c r="AC122" s="36">
        <v>0.54300000000000004</v>
      </c>
      <c r="AD122" s="36">
        <v>0.55600000000000005</v>
      </c>
      <c r="AE122" s="36">
        <v>0.56999999999999995</v>
      </c>
      <c r="AF122" s="36">
        <v>0.58199999999999996</v>
      </c>
      <c r="AG122" s="36">
        <v>0.59599999999999997</v>
      </c>
      <c r="AH122" s="36">
        <v>0.60799999999999998</v>
      </c>
      <c r="AI122" s="36">
        <v>0.62</v>
      </c>
      <c r="AJ122" s="36">
        <v>0.63</v>
      </c>
      <c r="AK122" s="36">
        <v>0.64</v>
      </c>
      <c r="AL122" s="36">
        <v>0.65300000000000002</v>
      </c>
      <c r="AM122" s="36">
        <v>0.66600000000000004</v>
      </c>
      <c r="AN122" s="36">
        <v>0.67700000000000005</v>
      </c>
      <c r="AO122" s="36">
        <v>0.68700000000000006</v>
      </c>
      <c r="AP122" s="37">
        <v>0.69399999999999995</v>
      </c>
      <c r="AQ122" s="37">
        <v>0.70099999999999996</v>
      </c>
      <c r="AR122" s="37">
        <v>0.70799999999999996</v>
      </c>
      <c r="AS122" s="37">
        <v>0.71399999999999997</v>
      </c>
      <c r="AT122" s="37">
        <v>0.72099999999999997</v>
      </c>
      <c r="AU122" s="37">
        <v>0.72599999999999998</v>
      </c>
      <c r="AV122" s="37">
        <v>0.73199999999999998</v>
      </c>
      <c r="AW122" s="37">
        <v>0.73799999999999999</v>
      </c>
      <c r="AX122" s="37">
        <v>0.74299999999999999</v>
      </c>
      <c r="AY122" s="37">
        <v>0.748</v>
      </c>
      <c r="AZ122" s="37">
        <v>0.753</v>
      </c>
      <c r="BA122" s="37">
        <v>0.75700000000000001</v>
      </c>
      <c r="BB122" s="37">
        <v>0.76200000000000001</v>
      </c>
      <c r="BC122" s="37">
        <v>0.76600000000000001</v>
      </c>
      <c r="BD122" s="37">
        <v>0.77</v>
      </c>
      <c r="BE122" s="37">
        <v>0.77400000000000002</v>
      </c>
      <c r="BF122" s="37">
        <v>0.77700000000000002</v>
      </c>
      <c r="BG122" s="37">
        <v>0.78100000000000003</v>
      </c>
      <c r="BH122" s="37">
        <v>0.78400000000000003</v>
      </c>
      <c r="BI122" s="37">
        <v>0.78700000000000003</v>
      </c>
      <c r="BJ122" s="37">
        <v>0.79</v>
      </c>
      <c r="BK122" s="37">
        <v>0.79200000000000004</v>
      </c>
      <c r="BL122" s="37">
        <v>0.79500000000000004</v>
      </c>
      <c r="BM122" s="37">
        <v>0.79700000000000004</v>
      </c>
      <c r="BN122" s="37">
        <v>0.79900000000000004</v>
      </c>
    </row>
    <row r="123" spans="1:66" x14ac:dyDescent="0.2">
      <c r="A123" s="2" t="s">
        <v>457</v>
      </c>
      <c r="B123" s="2" t="s">
        <v>458</v>
      </c>
      <c r="C123" s="11" t="s">
        <v>79</v>
      </c>
      <c r="D123" s="12" t="s">
        <v>697</v>
      </c>
      <c r="E123" s="38">
        <v>0.949990789562982</v>
      </c>
      <c r="F123" s="36">
        <v>0.33500000000000002</v>
      </c>
      <c r="G123" s="36">
        <v>0.35199999999999998</v>
      </c>
      <c r="H123" s="36">
        <v>0.371</v>
      </c>
      <c r="I123" s="36">
        <v>0.38400000000000001</v>
      </c>
      <c r="J123" s="36">
        <v>0.39700000000000002</v>
      </c>
      <c r="K123" s="36">
        <v>0.40899999999999997</v>
      </c>
      <c r="L123" s="36">
        <v>0.41499999999999998</v>
      </c>
      <c r="M123" s="36">
        <v>0.41699999999999998</v>
      </c>
      <c r="N123" s="36">
        <v>0.42199999999999999</v>
      </c>
      <c r="O123" s="36">
        <v>0.42699999999999999</v>
      </c>
      <c r="P123" s="36">
        <v>0.43099999999999999</v>
      </c>
      <c r="Q123" s="36">
        <v>0.434</v>
      </c>
      <c r="R123" s="36">
        <v>0.438</v>
      </c>
      <c r="S123" s="36">
        <v>0.44400000000000001</v>
      </c>
      <c r="T123" s="36">
        <v>0.45500000000000002</v>
      </c>
      <c r="U123" s="36">
        <v>0.47299999999999998</v>
      </c>
      <c r="V123" s="36">
        <v>0.499</v>
      </c>
      <c r="W123" s="36">
        <v>0.52100000000000002</v>
      </c>
      <c r="X123" s="36">
        <v>0.54100000000000004</v>
      </c>
      <c r="Y123" s="36">
        <v>0.53500000000000003</v>
      </c>
      <c r="Z123" s="36">
        <v>0.53700000000000003</v>
      </c>
      <c r="AA123" s="36">
        <v>0.55000000000000004</v>
      </c>
      <c r="AB123" s="36">
        <v>0.56799999999999995</v>
      </c>
      <c r="AC123" s="36">
        <v>0.59199999999999997</v>
      </c>
      <c r="AD123" s="36">
        <v>0.622</v>
      </c>
      <c r="AE123" s="36">
        <v>0.64300000000000002</v>
      </c>
      <c r="AF123" s="36">
        <v>0.65200000000000002</v>
      </c>
      <c r="AG123" s="36">
        <v>0.64800000000000002</v>
      </c>
      <c r="AH123" s="36">
        <v>0.65900000000000003</v>
      </c>
      <c r="AI123" s="36">
        <v>0.67200000000000004</v>
      </c>
      <c r="AJ123" s="36">
        <v>0.68500000000000005</v>
      </c>
      <c r="AK123" s="36">
        <v>0.68200000000000005</v>
      </c>
      <c r="AL123" s="36">
        <v>0.67700000000000005</v>
      </c>
      <c r="AM123" s="36">
        <v>0.67900000000000005</v>
      </c>
      <c r="AN123" s="36">
        <v>0.68700000000000006</v>
      </c>
      <c r="AO123" s="36">
        <v>0.68600000000000005</v>
      </c>
      <c r="AP123" s="37">
        <v>0.68700000000000006</v>
      </c>
      <c r="AQ123" s="37">
        <v>0.68799999999999994</v>
      </c>
      <c r="AR123" s="37">
        <v>0.68799999999999994</v>
      </c>
      <c r="AS123" s="37">
        <v>0.68899999999999995</v>
      </c>
      <c r="AT123" s="37">
        <v>0.69</v>
      </c>
      <c r="AU123" s="37">
        <v>0.69099999999999995</v>
      </c>
      <c r="AV123" s="37">
        <v>0.69099999999999995</v>
      </c>
      <c r="AW123" s="37">
        <v>0.69</v>
      </c>
      <c r="AX123" s="37">
        <v>0.68899999999999995</v>
      </c>
      <c r="AY123" s="37">
        <v>0.68799999999999994</v>
      </c>
      <c r="AZ123" s="37">
        <v>0.68500000000000005</v>
      </c>
      <c r="BA123" s="37">
        <v>0.68200000000000005</v>
      </c>
      <c r="BB123" s="37">
        <v>0.67800000000000005</v>
      </c>
      <c r="BC123" s="37">
        <v>0.67500000000000004</v>
      </c>
      <c r="BD123" s="37">
        <v>0.67200000000000004</v>
      </c>
      <c r="BE123" s="37">
        <v>0.66800000000000004</v>
      </c>
      <c r="BF123" s="37">
        <v>0.66400000000000003</v>
      </c>
      <c r="BG123" s="37">
        <v>0.66100000000000003</v>
      </c>
      <c r="BH123" s="37">
        <v>0.65700000000000003</v>
      </c>
      <c r="BI123" s="37">
        <v>0.65400000000000003</v>
      </c>
      <c r="BJ123" s="37">
        <v>0.65100000000000002</v>
      </c>
      <c r="BK123" s="37">
        <v>0.64700000000000002</v>
      </c>
      <c r="BL123" s="37">
        <v>0.64200000000000002</v>
      </c>
      <c r="BM123" s="37">
        <v>0.63900000000000001</v>
      </c>
      <c r="BN123" s="37">
        <v>0.63500000000000001</v>
      </c>
    </row>
    <row r="124" spans="1:66" x14ac:dyDescent="0.2">
      <c r="A124" s="2" t="s">
        <v>459</v>
      </c>
      <c r="B124" s="2" t="s">
        <v>460</v>
      </c>
      <c r="C124" s="11" t="s">
        <v>75</v>
      </c>
      <c r="D124" s="12" t="s">
        <v>697</v>
      </c>
      <c r="E124" s="35">
        <v>1</v>
      </c>
      <c r="F124" s="36">
        <v>12.055999999999999</v>
      </c>
      <c r="G124" s="36">
        <v>12.420999999999999</v>
      </c>
      <c r="H124" s="36">
        <v>12.801</v>
      </c>
      <c r="I124" s="36">
        <v>13.196999999999999</v>
      </c>
      <c r="J124" s="36">
        <v>13.614000000000001</v>
      </c>
      <c r="K124" s="36">
        <v>14.051</v>
      </c>
      <c r="L124" s="36">
        <v>14.510999999999999</v>
      </c>
      <c r="M124" s="36">
        <v>14.991</v>
      </c>
      <c r="N124" s="36">
        <v>15.489000000000001</v>
      </c>
      <c r="O124" s="36">
        <v>16.001000000000001</v>
      </c>
      <c r="P124" s="36">
        <v>16.515999999999998</v>
      </c>
      <c r="Q124" s="36">
        <v>17.033000000000001</v>
      </c>
      <c r="R124" s="36">
        <v>17.55</v>
      </c>
      <c r="S124" s="36">
        <v>18.071999999999999</v>
      </c>
      <c r="T124" s="36">
        <v>18.606999999999999</v>
      </c>
      <c r="U124" s="36">
        <v>19.16</v>
      </c>
      <c r="V124" s="36">
        <v>19.731000000000002</v>
      </c>
      <c r="W124" s="36">
        <v>20.318999999999999</v>
      </c>
      <c r="X124" s="36">
        <v>20.923999999999999</v>
      </c>
      <c r="Y124" s="36">
        <v>21.547000000000001</v>
      </c>
      <c r="Z124" s="36">
        <v>22.183</v>
      </c>
      <c r="AA124" s="36">
        <v>22.821999999999999</v>
      </c>
      <c r="AB124" s="36">
        <v>23.462</v>
      </c>
      <c r="AC124" s="36">
        <v>24.109000000000002</v>
      </c>
      <c r="AD124" s="36">
        <v>24.763999999999999</v>
      </c>
      <c r="AE124" s="36">
        <v>25.427</v>
      </c>
      <c r="AF124" s="36">
        <v>26.1</v>
      </c>
      <c r="AG124" s="36">
        <v>26.788</v>
      </c>
      <c r="AH124" s="36">
        <v>27.495000000000001</v>
      </c>
      <c r="AI124" s="36">
        <v>28.22</v>
      </c>
      <c r="AJ124" s="36">
        <v>28.954000000000001</v>
      </c>
      <c r="AK124" s="36">
        <v>29.690999999999999</v>
      </c>
      <c r="AL124" s="36">
        <v>30.437000000000001</v>
      </c>
      <c r="AM124" s="36">
        <v>31.196000000000002</v>
      </c>
      <c r="AN124" s="36">
        <v>31.965</v>
      </c>
      <c r="AO124" s="36">
        <v>32.741</v>
      </c>
      <c r="AP124" s="37">
        <v>33.521999999999998</v>
      </c>
      <c r="AQ124" s="37">
        <v>34.308999999999997</v>
      </c>
      <c r="AR124" s="37">
        <v>35.1</v>
      </c>
      <c r="AS124" s="37">
        <v>35.895000000000003</v>
      </c>
      <c r="AT124" s="37">
        <v>36.692999999999998</v>
      </c>
      <c r="AU124" s="37">
        <v>37.496000000000002</v>
      </c>
      <c r="AV124" s="37">
        <v>38.301000000000002</v>
      </c>
      <c r="AW124" s="37">
        <v>39.109000000000002</v>
      </c>
      <c r="AX124" s="37">
        <v>39.92</v>
      </c>
      <c r="AY124" s="37">
        <v>40.734000000000002</v>
      </c>
      <c r="AZ124" s="37">
        <v>41.551000000000002</v>
      </c>
      <c r="BA124" s="37">
        <v>42.371000000000002</v>
      </c>
      <c r="BB124" s="37">
        <v>43.194000000000003</v>
      </c>
      <c r="BC124" s="37">
        <v>44.018999999999998</v>
      </c>
      <c r="BD124" s="37">
        <v>44.847000000000001</v>
      </c>
      <c r="BE124" s="37">
        <v>45.677</v>
      </c>
      <c r="BF124" s="37">
        <v>46.509</v>
      </c>
      <c r="BG124" s="37">
        <v>47.341999999999999</v>
      </c>
      <c r="BH124" s="37">
        <v>48.177</v>
      </c>
      <c r="BI124" s="37">
        <v>49.011000000000003</v>
      </c>
      <c r="BJ124" s="37">
        <v>49.847000000000001</v>
      </c>
      <c r="BK124" s="37">
        <v>50.682000000000002</v>
      </c>
      <c r="BL124" s="37">
        <v>51.517000000000003</v>
      </c>
      <c r="BM124" s="37">
        <v>52.351999999999997</v>
      </c>
      <c r="BN124" s="37">
        <v>53.185000000000002</v>
      </c>
    </row>
    <row r="125" spans="1:66" x14ac:dyDescent="0.2">
      <c r="A125" s="2" t="s">
        <v>461</v>
      </c>
      <c r="B125" s="2" t="s">
        <v>462</v>
      </c>
      <c r="C125" s="11" t="s">
        <v>75</v>
      </c>
      <c r="D125" s="12" t="s">
        <v>697</v>
      </c>
      <c r="E125" s="35">
        <v>1.00000002250618</v>
      </c>
      <c r="F125" s="36">
        <v>9.5459999999999994</v>
      </c>
      <c r="G125" s="36">
        <v>9.8439999999999994</v>
      </c>
      <c r="H125" s="36">
        <v>10.135</v>
      </c>
      <c r="I125" s="36">
        <v>10.284000000000001</v>
      </c>
      <c r="J125" s="36">
        <v>10.164999999999999</v>
      </c>
      <c r="K125" s="36">
        <v>10.15</v>
      </c>
      <c r="L125" s="36">
        <v>10.352</v>
      </c>
      <c r="M125" s="36">
        <v>10.561999999999999</v>
      </c>
      <c r="N125" s="36">
        <v>10.792999999999999</v>
      </c>
      <c r="O125" s="36">
        <v>11.048</v>
      </c>
      <c r="P125" s="36">
        <v>11.316000000000001</v>
      </c>
      <c r="Q125" s="36">
        <v>11.593</v>
      </c>
      <c r="R125" s="36">
        <v>11.88</v>
      </c>
      <c r="S125" s="36">
        <v>12.182</v>
      </c>
      <c r="T125" s="36">
        <v>12.500999999999999</v>
      </c>
      <c r="U125" s="36">
        <v>12.84</v>
      </c>
      <c r="V125" s="36">
        <v>13.199</v>
      </c>
      <c r="W125" s="36">
        <v>13.576000000000001</v>
      </c>
      <c r="X125" s="36">
        <v>13.976000000000001</v>
      </c>
      <c r="Y125" s="36">
        <v>14.396000000000001</v>
      </c>
      <c r="Z125" s="36">
        <v>14.826000000000001</v>
      </c>
      <c r="AA125" s="36">
        <v>15.265000000000001</v>
      </c>
      <c r="AB125" s="36">
        <v>15.71</v>
      </c>
      <c r="AC125" s="36">
        <v>16.161999999999999</v>
      </c>
      <c r="AD125" s="36">
        <v>16.622</v>
      </c>
      <c r="AE125" s="36">
        <v>17.085999999999999</v>
      </c>
      <c r="AF125" s="36">
        <v>17.558</v>
      </c>
      <c r="AG125" s="36">
        <v>18.04</v>
      </c>
      <c r="AH125" s="36">
        <v>18.527999999999999</v>
      </c>
      <c r="AI125" s="36">
        <v>19.026</v>
      </c>
      <c r="AJ125" s="36">
        <v>19.533999999999999</v>
      </c>
      <c r="AK125" s="36">
        <v>20.047000000000001</v>
      </c>
      <c r="AL125" s="36">
        <v>20.568999999999999</v>
      </c>
      <c r="AM125" s="36">
        <v>21.103999999999999</v>
      </c>
      <c r="AN125" s="36">
        <v>21.655000000000001</v>
      </c>
      <c r="AO125" s="36">
        <v>22.216000000000001</v>
      </c>
      <c r="AP125" s="37">
        <v>22.786000000000001</v>
      </c>
      <c r="AQ125" s="37">
        <v>23.366</v>
      </c>
      <c r="AR125" s="37">
        <v>23.954000000000001</v>
      </c>
      <c r="AS125" s="37">
        <v>24.553999999999998</v>
      </c>
      <c r="AT125" s="37">
        <v>25.16</v>
      </c>
      <c r="AU125" s="37">
        <v>25.763999999999999</v>
      </c>
      <c r="AV125" s="37">
        <v>26.367000000000001</v>
      </c>
      <c r="AW125" s="37">
        <v>26.978000000000002</v>
      </c>
      <c r="AX125" s="37">
        <v>27.594999999999999</v>
      </c>
      <c r="AY125" s="37">
        <v>28.213999999999999</v>
      </c>
      <c r="AZ125" s="37">
        <v>28.835999999999999</v>
      </c>
      <c r="BA125" s="37">
        <v>29.463000000000001</v>
      </c>
      <c r="BB125" s="37">
        <v>30.082000000000001</v>
      </c>
      <c r="BC125" s="37">
        <v>30.692</v>
      </c>
      <c r="BD125" s="37">
        <v>31.302</v>
      </c>
      <c r="BE125" s="37">
        <v>31.911000000000001</v>
      </c>
      <c r="BF125" s="37">
        <v>32.518000000000001</v>
      </c>
      <c r="BG125" s="37">
        <v>33.122</v>
      </c>
      <c r="BH125" s="37">
        <v>33.737000000000002</v>
      </c>
      <c r="BI125" s="37">
        <v>34.350999999999999</v>
      </c>
      <c r="BJ125" s="37">
        <v>34.96</v>
      </c>
      <c r="BK125" s="37">
        <v>35.567999999999998</v>
      </c>
      <c r="BL125" s="37">
        <v>36.165999999999997</v>
      </c>
      <c r="BM125" s="37">
        <v>36.761000000000003</v>
      </c>
      <c r="BN125" s="37">
        <v>37.362000000000002</v>
      </c>
    </row>
    <row r="126" spans="1:66" x14ac:dyDescent="0.2">
      <c r="A126" s="2" t="s">
        <v>463</v>
      </c>
      <c r="B126" s="2" t="s">
        <v>464</v>
      </c>
      <c r="C126" s="11" t="s">
        <v>82</v>
      </c>
      <c r="D126" s="12" t="s">
        <v>697</v>
      </c>
      <c r="E126" s="35">
        <v>1</v>
      </c>
      <c r="F126" s="36">
        <v>17.832999999999998</v>
      </c>
      <c r="G126" s="36">
        <v>18.341999999999999</v>
      </c>
      <c r="H126" s="36">
        <v>18.835000000000001</v>
      </c>
      <c r="I126" s="36">
        <v>19.323</v>
      </c>
      <c r="J126" s="36">
        <v>19.82</v>
      </c>
      <c r="K126" s="36">
        <v>20.331</v>
      </c>
      <c r="L126" s="36">
        <v>20.85</v>
      </c>
      <c r="M126" s="36">
        <v>21.375</v>
      </c>
      <c r="N126" s="36">
        <v>21.907</v>
      </c>
      <c r="O126" s="36">
        <v>22.436</v>
      </c>
      <c r="P126" s="36">
        <v>22.968</v>
      </c>
      <c r="Q126" s="36">
        <v>23.527000000000001</v>
      </c>
      <c r="R126" s="36">
        <v>24.102</v>
      </c>
      <c r="S126" s="36">
        <v>24.68</v>
      </c>
      <c r="T126" s="36">
        <v>25.257000000000001</v>
      </c>
      <c r="U126" s="36">
        <v>25.835999999999999</v>
      </c>
      <c r="V126" s="36">
        <v>26.417999999999999</v>
      </c>
      <c r="W126" s="36">
        <v>26.998000000000001</v>
      </c>
      <c r="X126" s="36">
        <v>27.57</v>
      </c>
      <c r="Y126" s="36">
        <v>28.125</v>
      </c>
      <c r="Z126" s="36">
        <v>28.655999999999999</v>
      </c>
      <c r="AA126" s="36">
        <v>29.161999999999999</v>
      </c>
      <c r="AB126" s="36">
        <v>29.663</v>
      </c>
      <c r="AC126" s="36">
        <v>30.173999999999999</v>
      </c>
      <c r="AD126" s="36">
        <v>30.696000000000002</v>
      </c>
      <c r="AE126" s="36">
        <v>31.233000000000001</v>
      </c>
      <c r="AF126" s="36">
        <v>31.79</v>
      </c>
      <c r="AG126" s="36">
        <v>32.356000000000002</v>
      </c>
      <c r="AH126" s="36">
        <v>32.911000000000001</v>
      </c>
      <c r="AI126" s="36">
        <v>33.441000000000003</v>
      </c>
      <c r="AJ126" s="36">
        <v>33.89</v>
      </c>
      <c r="AK126" s="36">
        <v>34.281999999999996</v>
      </c>
      <c r="AL126" s="36">
        <v>34.695</v>
      </c>
      <c r="AM126" s="36">
        <v>35.125999999999998</v>
      </c>
      <c r="AN126" s="36">
        <v>35.558</v>
      </c>
      <c r="AO126" s="36">
        <v>35.978000000000002</v>
      </c>
      <c r="AP126" s="37">
        <v>36.384999999999998</v>
      </c>
      <c r="AQ126" s="37">
        <v>36.784999999999997</v>
      </c>
      <c r="AR126" s="37">
        <v>37.183</v>
      </c>
      <c r="AS126" s="37">
        <v>37.573999999999998</v>
      </c>
      <c r="AT126" s="37">
        <v>37.962000000000003</v>
      </c>
      <c r="AU126" s="37">
        <v>38.347999999999999</v>
      </c>
      <c r="AV126" s="37">
        <v>38.728000000000002</v>
      </c>
      <c r="AW126" s="37">
        <v>39.097999999999999</v>
      </c>
      <c r="AX126" s="37">
        <v>39.457999999999998</v>
      </c>
      <c r="AY126" s="37">
        <v>39.814999999999998</v>
      </c>
      <c r="AZ126" s="37">
        <v>40.167000000000002</v>
      </c>
      <c r="BA126" s="37">
        <v>40.512</v>
      </c>
      <c r="BB126" s="37">
        <v>40.853000000000002</v>
      </c>
      <c r="BC126" s="37">
        <v>41.186</v>
      </c>
      <c r="BD126" s="37">
        <v>41.51</v>
      </c>
      <c r="BE126" s="37">
        <v>41.829000000000001</v>
      </c>
      <c r="BF126" s="37">
        <v>42.143999999999998</v>
      </c>
      <c r="BG126" s="37">
        <v>42.456000000000003</v>
      </c>
      <c r="BH126" s="37">
        <v>42.753999999999998</v>
      </c>
      <c r="BI126" s="37">
        <v>43.037999999999997</v>
      </c>
      <c r="BJ126" s="37">
        <v>43.314</v>
      </c>
      <c r="BK126" s="37">
        <v>43.58</v>
      </c>
      <c r="BL126" s="37">
        <v>43.832000000000001</v>
      </c>
      <c r="BM126" s="37">
        <v>44.066000000000003</v>
      </c>
      <c r="BN126" s="37">
        <v>44.29</v>
      </c>
    </row>
    <row r="127" spans="1:66" x14ac:dyDescent="0.2">
      <c r="A127" s="2" t="s">
        <v>465</v>
      </c>
      <c r="B127" s="2" t="s">
        <v>466</v>
      </c>
      <c r="C127" s="11" t="s">
        <v>82</v>
      </c>
      <c r="D127" s="12" t="s">
        <v>697</v>
      </c>
      <c r="E127" s="35">
        <v>1</v>
      </c>
      <c r="F127" s="36">
        <v>0.22500000000000001</v>
      </c>
      <c r="G127" s="36">
        <v>0.23200000000000001</v>
      </c>
      <c r="H127" s="36">
        <v>0.23899999999999999</v>
      </c>
      <c r="I127" s="36">
        <v>0.245</v>
      </c>
      <c r="J127" s="36">
        <v>0.251</v>
      </c>
      <c r="K127" s="36">
        <v>0.25700000000000001</v>
      </c>
      <c r="L127" s="36">
        <v>0.26200000000000001</v>
      </c>
      <c r="M127" s="36">
        <v>0.26800000000000002</v>
      </c>
      <c r="N127" s="36">
        <v>0.27300000000000002</v>
      </c>
      <c r="O127" s="36">
        <v>0.27700000000000002</v>
      </c>
      <c r="P127" s="36">
        <v>0.28199999999999997</v>
      </c>
      <c r="Q127" s="36">
        <v>0.28699999999999998</v>
      </c>
      <c r="R127" s="36">
        <v>0.29199999999999998</v>
      </c>
      <c r="S127" s="36">
        <v>0.29599999999999999</v>
      </c>
      <c r="T127" s="36">
        <v>0.30099999999999999</v>
      </c>
      <c r="U127" s="36">
        <v>0.30599999999999999</v>
      </c>
      <c r="V127" s="36">
        <v>0.314</v>
      </c>
      <c r="W127" s="36">
        <v>0.32400000000000001</v>
      </c>
      <c r="X127" s="36">
        <v>0.33600000000000002</v>
      </c>
      <c r="Y127" s="36">
        <v>0.34799999999999998</v>
      </c>
      <c r="Z127" s="36">
        <v>0.36099999999999999</v>
      </c>
      <c r="AA127" s="36">
        <v>0.374</v>
      </c>
      <c r="AB127" s="36">
        <v>0.38700000000000001</v>
      </c>
      <c r="AC127" s="36">
        <v>0.4</v>
      </c>
      <c r="AD127" s="36">
        <v>0.41399999999999998</v>
      </c>
      <c r="AE127" s="36">
        <v>0.42799999999999999</v>
      </c>
      <c r="AF127" s="36">
        <v>0.443</v>
      </c>
      <c r="AG127" s="36">
        <v>0.45800000000000002</v>
      </c>
      <c r="AH127" s="36">
        <v>0.47299999999999998</v>
      </c>
      <c r="AI127" s="36">
        <v>0.48799999999999999</v>
      </c>
      <c r="AJ127" s="36">
        <v>0.502</v>
      </c>
      <c r="AK127" s="36">
        <v>0.51600000000000001</v>
      </c>
      <c r="AL127" s="36">
        <v>0.52400000000000002</v>
      </c>
      <c r="AM127" s="36">
        <v>0.52600000000000002</v>
      </c>
      <c r="AN127" s="36">
        <v>0.52800000000000002</v>
      </c>
      <c r="AO127" s="36">
        <v>0.53</v>
      </c>
      <c r="AP127" s="37">
        <v>0.53200000000000003</v>
      </c>
      <c r="AQ127" s="37">
        <v>0.53300000000000003</v>
      </c>
      <c r="AR127" s="37">
        <v>0.53500000000000003</v>
      </c>
      <c r="AS127" s="37">
        <v>0.53800000000000003</v>
      </c>
      <c r="AT127" s="37">
        <v>0.54</v>
      </c>
      <c r="AU127" s="37">
        <v>0.54200000000000004</v>
      </c>
      <c r="AV127" s="37">
        <v>0.54400000000000004</v>
      </c>
      <c r="AW127" s="37">
        <v>0.54700000000000004</v>
      </c>
      <c r="AX127" s="37">
        <v>0.54900000000000004</v>
      </c>
      <c r="AY127" s="37">
        <v>0.55200000000000005</v>
      </c>
      <c r="AZ127" s="37">
        <v>0.55400000000000005</v>
      </c>
      <c r="BA127" s="37">
        <v>0.55700000000000005</v>
      </c>
      <c r="BB127" s="37">
        <v>0.55900000000000005</v>
      </c>
      <c r="BC127" s="37">
        <v>0.56200000000000006</v>
      </c>
      <c r="BD127" s="37">
        <v>0.56499999999999995</v>
      </c>
      <c r="BE127" s="37">
        <v>0.56799999999999995</v>
      </c>
      <c r="BF127" s="37">
        <v>0.56999999999999995</v>
      </c>
      <c r="BG127" s="37">
        <v>0.57299999999999995</v>
      </c>
      <c r="BH127" s="37">
        <v>0.57599999999999996</v>
      </c>
      <c r="BI127" s="37">
        <v>0.57799999999999996</v>
      </c>
      <c r="BJ127" s="37">
        <v>0.58099999999999996</v>
      </c>
      <c r="BK127" s="37">
        <v>0.58299999999999996</v>
      </c>
      <c r="BL127" s="37">
        <v>0.58599999999999997</v>
      </c>
      <c r="BM127" s="37">
        <v>0.58799999999999997</v>
      </c>
      <c r="BN127" s="37">
        <v>0.59</v>
      </c>
    </row>
    <row r="128" spans="1:66" x14ac:dyDescent="0.2">
      <c r="A128" s="2" t="s">
        <v>467</v>
      </c>
      <c r="B128" s="2" t="s">
        <v>468</v>
      </c>
      <c r="C128" s="11" t="s">
        <v>75</v>
      </c>
      <c r="D128" s="12" t="s">
        <v>697</v>
      </c>
      <c r="E128" s="35">
        <v>0.999999980157802</v>
      </c>
      <c r="F128" s="36">
        <v>9.1790000000000003</v>
      </c>
      <c r="G128" s="36">
        <v>9.3629999999999995</v>
      </c>
      <c r="H128" s="36">
        <v>9.5540000000000003</v>
      </c>
      <c r="I128" s="36">
        <v>9.7550000000000008</v>
      </c>
      <c r="J128" s="36">
        <v>9.9670000000000005</v>
      </c>
      <c r="K128" s="36">
        <v>10.185</v>
      </c>
      <c r="L128" s="36">
        <v>10.407</v>
      </c>
      <c r="M128" s="36">
        <v>10.646000000000001</v>
      </c>
      <c r="N128" s="36">
        <v>10.92</v>
      </c>
      <c r="O128" s="36">
        <v>11.227</v>
      </c>
      <c r="P128" s="36">
        <v>11.558999999999999</v>
      </c>
      <c r="Q128" s="36">
        <v>11.912000000000001</v>
      </c>
      <c r="R128" s="36">
        <v>12.288</v>
      </c>
      <c r="S128" s="36">
        <v>12.685</v>
      </c>
      <c r="T128" s="36">
        <v>13.102</v>
      </c>
      <c r="U128" s="36">
        <v>13.539</v>
      </c>
      <c r="V128" s="36">
        <v>13.99</v>
      </c>
      <c r="W128" s="36">
        <v>14.458</v>
      </c>
      <c r="X128" s="36">
        <v>14.941000000000001</v>
      </c>
      <c r="Y128" s="36">
        <v>15.436</v>
      </c>
      <c r="Z128" s="36">
        <v>15.945</v>
      </c>
      <c r="AA128" s="36">
        <v>16.469000000000001</v>
      </c>
      <c r="AB128" s="36">
        <v>16.957000000000001</v>
      </c>
      <c r="AC128" s="36">
        <v>17.46</v>
      </c>
      <c r="AD128" s="36">
        <v>18.02</v>
      </c>
      <c r="AE128" s="36">
        <v>18.593</v>
      </c>
      <c r="AF128" s="36">
        <v>19.190999999999999</v>
      </c>
      <c r="AG128" s="36">
        <v>19.812999999999999</v>
      </c>
      <c r="AH128" s="36">
        <v>20.442</v>
      </c>
      <c r="AI128" s="36">
        <v>21.068000000000001</v>
      </c>
      <c r="AJ128" s="36">
        <v>21.713999999999999</v>
      </c>
      <c r="AK128" s="36">
        <v>22.388999999999999</v>
      </c>
      <c r="AL128" s="36">
        <v>23.073</v>
      </c>
      <c r="AM128" s="36">
        <v>23.768999999999998</v>
      </c>
      <c r="AN128" s="36">
        <v>24.478999999999999</v>
      </c>
      <c r="AO128" s="36">
        <v>25.199000000000002</v>
      </c>
      <c r="AP128" s="37">
        <v>25.931999999999999</v>
      </c>
      <c r="AQ128" s="37">
        <v>26.678999999999998</v>
      </c>
      <c r="AR128" s="37">
        <v>27.440999999999999</v>
      </c>
      <c r="AS128" s="37">
        <v>28.216000000000001</v>
      </c>
      <c r="AT128" s="37">
        <v>29.003</v>
      </c>
      <c r="AU128" s="37">
        <v>29.805</v>
      </c>
      <c r="AV128" s="37">
        <v>30.619</v>
      </c>
      <c r="AW128" s="37">
        <v>31.443000000000001</v>
      </c>
      <c r="AX128" s="37">
        <v>32.277000000000001</v>
      </c>
      <c r="AY128" s="37">
        <v>33.118000000000002</v>
      </c>
      <c r="AZ128" s="37">
        <v>33.968000000000004</v>
      </c>
      <c r="BA128" s="37">
        <v>34.823</v>
      </c>
      <c r="BB128" s="37">
        <v>35.686</v>
      </c>
      <c r="BC128" s="37">
        <v>36.548999999999999</v>
      </c>
      <c r="BD128" s="37">
        <v>37.414000000000001</v>
      </c>
      <c r="BE128" s="37">
        <v>38.280999999999999</v>
      </c>
      <c r="BF128" s="37">
        <v>39.151000000000003</v>
      </c>
      <c r="BG128" s="37">
        <v>40.026000000000003</v>
      </c>
      <c r="BH128" s="37">
        <v>40.902999999999999</v>
      </c>
      <c r="BI128" s="37">
        <v>41.779000000000003</v>
      </c>
      <c r="BJ128" s="37">
        <v>42.655999999999999</v>
      </c>
      <c r="BK128" s="37">
        <v>43.530999999999999</v>
      </c>
      <c r="BL128" s="37">
        <v>44.405999999999999</v>
      </c>
      <c r="BM128" s="37">
        <v>45.28</v>
      </c>
      <c r="BN128" s="37">
        <v>46.154000000000003</v>
      </c>
    </row>
    <row r="129" spans="1:66" x14ac:dyDescent="0.2">
      <c r="A129" s="2" t="s">
        <v>469</v>
      </c>
      <c r="B129" s="2" t="s">
        <v>470</v>
      </c>
      <c r="C129" s="11" t="s">
        <v>79</v>
      </c>
      <c r="D129" s="12" t="s">
        <v>697</v>
      </c>
      <c r="E129" s="38">
        <v>1.0628872122551101</v>
      </c>
      <c r="F129" s="36">
        <v>0.35399999999999998</v>
      </c>
      <c r="G129" s="36">
        <v>0.36399999999999999</v>
      </c>
      <c r="H129" s="36">
        <v>0.36799999999999999</v>
      </c>
      <c r="I129" s="36">
        <v>0.371</v>
      </c>
      <c r="J129" s="36">
        <v>0.375</v>
      </c>
      <c r="K129" s="36">
        <v>0.377</v>
      </c>
      <c r="L129" s="36">
        <v>0.38</v>
      </c>
      <c r="M129" s="36">
        <v>0.38300000000000001</v>
      </c>
      <c r="N129" s="36">
        <v>0.38500000000000001</v>
      </c>
      <c r="O129" s="36">
        <v>0.38800000000000001</v>
      </c>
      <c r="P129" s="36">
        <v>0.39</v>
      </c>
      <c r="Q129" s="36">
        <v>0.39300000000000002</v>
      </c>
      <c r="R129" s="36">
        <v>0.39600000000000002</v>
      </c>
      <c r="S129" s="36">
        <v>0.39900000000000002</v>
      </c>
      <c r="T129" s="36">
        <v>0.40100000000000002</v>
      </c>
      <c r="U129" s="36">
        <v>0.40400000000000003</v>
      </c>
      <c r="V129" s="36">
        <v>0.40500000000000003</v>
      </c>
      <c r="W129" s="36">
        <v>0.40699999999999997</v>
      </c>
      <c r="X129" s="36">
        <v>0.40899999999999997</v>
      </c>
      <c r="Y129" s="36">
        <v>0.41199999999999998</v>
      </c>
      <c r="Z129" s="36">
        <v>0.41499999999999998</v>
      </c>
      <c r="AA129" s="36">
        <v>0.41599999999999998</v>
      </c>
      <c r="AB129" s="36">
        <v>0.42</v>
      </c>
      <c r="AC129" s="36">
        <v>0.42499999999999999</v>
      </c>
      <c r="AD129" s="36">
        <v>0.433</v>
      </c>
      <c r="AE129" s="36">
        <v>0.44400000000000001</v>
      </c>
      <c r="AF129" s="36">
        <v>0.45500000000000002</v>
      </c>
      <c r="AG129" s="36">
        <v>0.46700000000000003</v>
      </c>
      <c r="AH129" s="36">
        <v>0.48399999999999999</v>
      </c>
      <c r="AI129" s="36">
        <v>0.504</v>
      </c>
      <c r="AJ129" s="36">
        <v>0.51500000000000001</v>
      </c>
      <c r="AK129" s="36">
        <v>0.51800000000000002</v>
      </c>
      <c r="AL129" s="36">
        <v>0.53100000000000003</v>
      </c>
      <c r="AM129" s="36">
        <v>0.55300000000000005</v>
      </c>
      <c r="AN129" s="36">
        <v>0.56899999999999995</v>
      </c>
      <c r="AO129" s="36">
        <v>0.57999999999999996</v>
      </c>
      <c r="AP129" s="37">
        <v>0.58399999999999996</v>
      </c>
      <c r="AQ129" s="37">
        <v>0.58599999999999997</v>
      </c>
      <c r="AR129" s="37">
        <v>0.58699999999999997</v>
      </c>
      <c r="AS129" s="37">
        <v>0.58899999999999997</v>
      </c>
      <c r="AT129" s="37">
        <v>0.59</v>
      </c>
      <c r="AU129" s="37">
        <v>0.59099999999999997</v>
      </c>
      <c r="AV129" s="37">
        <v>0.59199999999999997</v>
      </c>
      <c r="AW129" s="37">
        <v>0.59199999999999997</v>
      </c>
      <c r="AX129" s="37">
        <v>0.59199999999999997</v>
      </c>
      <c r="AY129" s="37">
        <v>0.59199999999999997</v>
      </c>
      <c r="AZ129" s="37">
        <v>0.59099999999999997</v>
      </c>
      <c r="BA129" s="37">
        <v>0.59</v>
      </c>
      <c r="BB129" s="37">
        <v>0.58899999999999997</v>
      </c>
      <c r="BC129" s="37">
        <v>0.58799999999999997</v>
      </c>
      <c r="BD129" s="37">
        <v>0.58599999999999997</v>
      </c>
      <c r="BE129" s="37">
        <v>0.58499999999999996</v>
      </c>
      <c r="BF129" s="37">
        <v>0.58399999999999996</v>
      </c>
      <c r="BG129" s="37">
        <v>0.58199999999999996</v>
      </c>
      <c r="BH129" s="37">
        <v>0.58099999999999996</v>
      </c>
      <c r="BI129" s="37">
        <v>0.57899999999999996</v>
      </c>
      <c r="BJ129" s="37">
        <v>0.57699999999999996</v>
      </c>
      <c r="BK129" s="37">
        <v>0.57499999999999996</v>
      </c>
      <c r="BL129" s="37">
        <v>0.57299999999999995</v>
      </c>
      <c r="BM129" s="37">
        <v>0.57099999999999995</v>
      </c>
      <c r="BN129" s="37">
        <v>0.56899999999999995</v>
      </c>
    </row>
    <row r="130" spans="1:66" x14ac:dyDescent="0.2">
      <c r="A130" s="2" t="s">
        <v>471</v>
      </c>
      <c r="B130" s="2" t="s">
        <v>472</v>
      </c>
      <c r="C130" s="11" t="s">
        <v>82</v>
      </c>
      <c r="D130" s="12" t="s">
        <v>697</v>
      </c>
      <c r="E130" s="35">
        <v>1</v>
      </c>
      <c r="F130" s="36">
        <v>4.4999999999999998E-2</v>
      </c>
      <c r="G130" s="36">
        <v>4.5999999999999999E-2</v>
      </c>
      <c r="H130" s="36">
        <v>4.5999999999999999E-2</v>
      </c>
      <c r="I130" s="36">
        <v>4.7E-2</v>
      </c>
      <c r="J130" s="36">
        <v>4.8000000000000001E-2</v>
      </c>
      <c r="K130" s="36">
        <v>4.8000000000000001E-2</v>
      </c>
      <c r="L130" s="36">
        <v>4.9000000000000002E-2</v>
      </c>
      <c r="M130" s="36">
        <v>4.9000000000000002E-2</v>
      </c>
      <c r="N130" s="36">
        <v>0.05</v>
      </c>
      <c r="O130" s="36">
        <v>0.05</v>
      </c>
      <c r="P130" s="36">
        <v>5.0999999999999997E-2</v>
      </c>
      <c r="Q130" s="36">
        <v>5.0999999999999997E-2</v>
      </c>
      <c r="R130" s="36">
        <v>5.0999999999999997E-2</v>
      </c>
      <c r="S130" s="36">
        <v>5.1999999999999998E-2</v>
      </c>
      <c r="T130" s="36">
        <v>5.1999999999999998E-2</v>
      </c>
      <c r="U130" s="36">
        <v>5.1999999999999998E-2</v>
      </c>
      <c r="V130" s="36">
        <v>5.1999999999999998E-2</v>
      </c>
      <c r="W130" s="36">
        <v>5.1999999999999998E-2</v>
      </c>
      <c r="X130" s="36">
        <v>5.1999999999999998E-2</v>
      </c>
      <c r="Y130" s="36">
        <v>5.1999999999999998E-2</v>
      </c>
      <c r="Z130" s="36">
        <v>5.1999999999999998E-2</v>
      </c>
      <c r="AA130" s="36">
        <v>5.1999999999999998E-2</v>
      </c>
      <c r="AB130" s="36">
        <v>5.0999999999999997E-2</v>
      </c>
      <c r="AC130" s="36">
        <v>5.0999999999999997E-2</v>
      </c>
      <c r="AD130" s="36">
        <v>0.05</v>
      </c>
      <c r="AE130" s="36">
        <v>4.9000000000000002E-2</v>
      </c>
      <c r="AF130" s="36">
        <v>4.8000000000000001E-2</v>
      </c>
      <c r="AG130" s="36">
        <v>4.7E-2</v>
      </c>
      <c r="AH130" s="36">
        <v>4.4999999999999998E-2</v>
      </c>
      <c r="AI130" s="36">
        <v>4.3999999999999997E-2</v>
      </c>
      <c r="AJ130" s="36">
        <v>4.2999999999999997E-2</v>
      </c>
      <c r="AK130" s="36">
        <v>4.1000000000000002E-2</v>
      </c>
      <c r="AL130" s="36">
        <v>0.04</v>
      </c>
      <c r="AM130" s="36">
        <v>3.9E-2</v>
      </c>
      <c r="AN130" s="36">
        <v>3.7999999999999999E-2</v>
      </c>
      <c r="AO130" s="36">
        <v>3.5999999999999997E-2</v>
      </c>
      <c r="AP130" s="37">
        <v>3.5000000000000003E-2</v>
      </c>
      <c r="AQ130" s="37">
        <v>3.4000000000000002E-2</v>
      </c>
      <c r="AR130" s="37">
        <v>3.3000000000000002E-2</v>
      </c>
      <c r="AS130" s="37">
        <v>3.2000000000000001E-2</v>
      </c>
      <c r="AT130" s="37">
        <v>3.1E-2</v>
      </c>
      <c r="AU130" s="37">
        <v>0.03</v>
      </c>
      <c r="AV130" s="37">
        <v>0.03</v>
      </c>
      <c r="AW130" s="37">
        <v>2.9000000000000001E-2</v>
      </c>
      <c r="AX130" s="37">
        <v>2.9000000000000001E-2</v>
      </c>
      <c r="AY130" s="37">
        <v>2.8000000000000001E-2</v>
      </c>
      <c r="AZ130" s="37">
        <v>2.8000000000000001E-2</v>
      </c>
      <c r="BA130" s="37">
        <v>2.7E-2</v>
      </c>
      <c r="BB130" s="37">
        <v>2.7E-2</v>
      </c>
      <c r="BC130" s="37">
        <v>2.7E-2</v>
      </c>
      <c r="BD130" s="37">
        <v>2.7E-2</v>
      </c>
      <c r="BE130" s="37">
        <v>2.5999999999999999E-2</v>
      </c>
      <c r="BF130" s="37">
        <v>2.5999999999999999E-2</v>
      </c>
      <c r="BG130" s="37">
        <v>2.5999999999999999E-2</v>
      </c>
      <c r="BH130" s="37">
        <v>2.5999999999999999E-2</v>
      </c>
      <c r="BI130" s="37">
        <v>2.5999999999999999E-2</v>
      </c>
      <c r="BJ130" s="37">
        <v>2.5999999999999999E-2</v>
      </c>
      <c r="BK130" s="37">
        <v>2.5999999999999999E-2</v>
      </c>
      <c r="BL130" s="37">
        <v>2.5000000000000001E-2</v>
      </c>
      <c r="BM130" s="37">
        <v>2.5000000000000001E-2</v>
      </c>
      <c r="BN130" s="37">
        <v>2.5000000000000001E-2</v>
      </c>
    </row>
    <row r="131" spans="1:66" x14ac:dyDescent="0.2">
      <c r="A131" s="2" t="s">
        <v>473</v>
      </c>
      <c r="B131" s="2" t="s">
        <v>474</v>
      </c>
      <c r="C131" s="11" t="s">
        <v>210</v>
      </c>
      <c r="D131" s="12" t="s">
        <v>697</v>
      </c>
      <c r="E131" s="35">
        <v>1.00000009407224</v>
      </c>
      <c r="F131" s="36">
        <v>1.952</v>
      </c>
      <c r="G131" s="36">
        <v>2.0099999999999998</v>
      </c>
      <c r="H131" s="36">
        <v>2.0880000000000001</v>
      </c>
      <c r="I131" s="36">
        <v>2.1739999999999999</v>
      </c>
      <c r="J131" s="36">
        <v>2.2490000000000001</v>
      </c>
      <c r="K131" s="36">
        <v>2.3119999999999998</v>
      </c>
      <c r="L131" s="36">
        <v>2.3580000000000001</v>
      </c>
      <c r="M131" s="36">
        <v>2.411</v>
      </c>
      <c r="N131" s="36">
        <v>2.4750000000000001</v>
      </c>
      <c r="O131" s="36">
        <v>2.5419999999999998</v>
      </c>
      <c r="P131" s="36">
        <v>2.613</v>
      </c>
      <c r="Q131" s="36">
        <v>2.6789999999999998</v>
      </c>
      <c r="R131" s="36">
        <v>2.7389999999999999</v>
      </c>
      <c r="S131" s="36">
        <v>2.802</v>
      </c>
      <c r="T131" s="36">
        <v>2.8690000000000002</v>
      </c>
      <c r="U131" s="36">
        <v>2.9390000000000001</v>
      </c>
      <c r="V131" s="36">
        <v>3.0139999999999998</v>
      </c>
      <c r="W131" s="36">
        <v>3.093</v>
      </c>
      <c r="X131" s="36">
        <v>3.1829999999999998</v>
      </c>
      <c r="Y131" s="36">
        <v>3.2839999999999998</v>
      </c>
      <c r="Z131" s="36">
        <v>3.391</v>
      </c>
      <c r="AA131" s="36">
        <v>3.5030000000000001</v>
      </c>
      <c r="AB131" s="36">
        <v>3.6190000000000002</v>
      </c>
      <c r="AC131" s="36">
        <v>3.734</v>
      </c>
      <c r="AD131" s="36">
        <v>3.8490000000000002</v>
      </c>
      <c r="AE131" s="36">
        <v>3.9660000000000002</v>
      </c>
      <c r="AF131" s="36">
        <v>4.0869999999999997</v>
      </c>
      <c r="AG131" s="36">
        <v>4.2110000000000003</v>
      </c>
      <c r="AH131" s="36">
        <v>4.3380000000000001</v>
      </c>
      <c r="AI131" s="36">
        <v>4.468</v>
      </c>
      <c r="AJ131" s="36">
        <v>4.5999999999999996</v>
      </c>
      <c r="AK131" s="36">
        <v>4.7350000000000003</v>
      </c>
      <c r="AL131" s="36">
        <v>4.8760000000000003</v>
      </c>
      <c r="AM131" s="36">
        <v>5.0220000000000002</v>
      </c>
      <c r="AN131" s="36">
        <v>5.1689999999999996</v>
      </c>
      <c r="AO131" s="36">
        <v>5.3150000000000004</v>
      </c>
      <c r="AP131" s="37">
        <v>5.4610000000000003</v>
      </c>
      <c r="AQ131" s="37">
        <v>5.609</v>
      </c>
      <c r="AR131" s="37">
        <v>5.758</v>
      </c>
      <c r="AS131" s="37">
        <v>5.9089999999999998</v>
      </c>
      <c r="AT131" s="37">
        <v>6.0629999999999997</v>
      </c>
      <c r="AU131" s="37">
        <v>6.218</v>
      </c>
      <c r="AV131" s="37">
        <v>6.375</v>
      </c>
      <c r="AW131" s="37">
        <v>6.5339999999999998</v>
      </c>
      <c r="AX131" s="37">
        <v>6.694</v>
      </c>
      <c r="AY131" s="37">
        <v>6.8559999999999999</v>
      </c>
      <c r="AZ131" s="37">
        <v>7.0190000000000001</v>
      </c>
      <c r="BA131" s="37">
        <v>7.1829999999999998</v>
      </c>
      <c r="BB131" s="37">
        <v>7.3479999999999999</v>
      </c>
      <c r="BC131" s="37">
        <v>7.5149999999999997</v>
      </c>
      <c r="BD131" s="37">
        <v>7.6820000000000004</v>
      </c>
      <c r="BE131" s="37">
        <v>7.85</v>
      </c>
      <c r="BF131" s="37">
        <v>8.02</v>
      </c>
      <c r="BG131" s="37">
        <v>8.1929999999999996</v>
      </c>
      <c r="BH131" s="37">
        <v>8.3650000000000002</v>
      </c>
      <c r="BI131" s="37">
        <v>8.5389999999999997</v>
      </c>
      <c r="BJ131" s="37">
        <v>8.7129999999999992</v>
      </c>
      <c r="BK131" s="37">
        <v>8.8879999999999999</v>
      </c>
      <c r="BL131" s="37">
        <v>9.0640000000000001</v>
      </c>
      <c r="BM131" s="37">
        <v>9.24</v>
      </c>
      <c r="BN131" s="37">
        <v>9.4160000000000004</v>
      </c>
    </row>
    <row r="132" spans="1:66" x14ac:dyDescent="0.2">
      <c r="A132" s="2" t="s">
        <v>475</v>
      </c>
      <c r="B132" s="2" t="s">
        <v>476</v>
      </c>
      <c r="C132" s="11" t="s">
        <v>82</v>
      </c>
      <c r="D132" s="12" t="s">
        <v>697</v>
      </c>
      <c r="E132" s="35">
        <v>0.98065213543229202</v>
      </c>
      <c r="F132" s="36">
        <v>1.0589999999999999</v>
      </c>
      <c r="G132" s="36">
        <v>1.07</v>
      </c>
      <c r="H132" s="36">
        <v>1.0840000000000001</v>
      </c>
      <c r="I132" s="36">
        <v>1.097</v>
      </c>
      <c r="J132" s="36">
        <v>1.113</v>
      </c>
      <c r="K132" s="36">
        <v>1.1220000000000001</v>
      </c>
      <c r="L132" s="36">
        <v>1.1339999999999999</v>
      </c>
      <c r="M132" s="36">
        <v>1.1479999999999999</v>
      </c>
      <c r="N132" s="36">
        <v>1.1599999999999999</v>
      </c>
      <c r="O132" s="36">
        <v>1.175</v>
      </c>
      <c r="P132" s="36">
        <v>1.1870000000000001</v>
      </c>
      <c r="Q132" s="36">
        <v>1.196</v>
      </c>
      <c r="R132" s="36">
        <v>1.2050000000000001</v>
      </c>
      <c r="S132" s="36">
        <v>1.2130000000000001</v>
      </c>
      <c r="T132" s="36">
        <v>1.2210000000000001</v>
      </c>
      <c r="U132" s="36">
        <v>1.228</v>
      </c>
      <c r="V132" s="36">
        <v>1.234</v>
      </c>
      <c r="W132" s="36">
        <v>1.24</v>
      </c>
      <c r="X132" s="36">
        <v>1.244</v>
      </c>
      <c r="Y132" s="36">
        <v>1.2470000000000001</v>
      </c>
      <c r="Z132" s="36">
        <v>1.25</v>
      </c>
      <c r="AA132" s="36">
        <v>1.252</v>
      </c>
      <c r="AB132" s="36">
        <v>1.256</v>
      </c>
      <c r="AC132" s="36">
        <v>1.2589999999999999</v>
      </c>
      <c r="AD132" s="36">
        <v>1.2609999999999999</v>
      </c>
      <c r="AE132" s="36">
        <v>1.2629999999999999</v>
      </c>
      <c r="AF132" s="36">
        <v>1.264</v>
      </c>
      <c r="AG132" s="36">
        <v>1.2649999999999999</v>
      </c>
      <c r="AH132" s="36">
        <v>1.266</v>
      </c>
      <c r="AI132" s="36">
        <v>1.266</v>
      </c>
      <c r="AJ132" s="36">
        <v>1.266</v>
      </c>
      <c r="AK132" s="36">
        <v>1.266</v>
      </c>
      <c r="AL132" s="36">
        <v>1.2629999999999999</v>
      </c>
      <c r="AM132" s="36">
        <v>1.2490000000000001</v>
      </c>
      <c r="AN132" s="36">
        <v>1.246</v>
      </c>
      <c r="AO132" s="36">
        <v>1.244</v>
      </c>
      <c r="AP132" s="37">
        <v>1.2410000000000001</v>
      </c>
      <c r="AQ132" s="37">
        <v>1.2370000000000001</v>
      </c>
      <c r="AR132" s="37">
        <v>1.234</v>
      </c>
      <c r="AS132" s="37">
        <v>1.23</v>
      </c>
      <c r="AT132" s="37">
        <v>1.226</v>
      </c>
      <c r="AU132" s="37">
        <v>1.222</v>
      </c>
      <c r="AV132" s="37">
        <v>1.218</v>
      </c>
      <c r="AW132" s="37">
        <v>1.2130000000000001</v>
      </c>
      <c r="AX132" s="37">
        <v>1.208</v>
      </c>
      <c r="AY132" s="37">
        <v>1.2030000000000001</v>
      </c>
      <c r="AZ132" s="37">
        <v>1.198</v>
      </c>
      <c r="BA132" s="37">
        <v>1.1919999999999999</v>
      </c>
      <c r="BB132" s="37">
        <v>1.1859999999999999</v>
      </c>
      <c r="BC132" s="37">
        <v>1.179</v>
      </c>
      <c r="BD132" s="37">
        <v>1.1719999999999999</v>
      </c>
      <c r="BE132" s="37">
        <v>1.165</v>
      </c>
      <c r="BF132" s="37">
        <v>1.157</v>
      </c>
      <c r="BG132" s="37">
        <v>1.149</v>
      </c>
      <c r="BH132" s="37">
        <v>1.141</v>
      </c>
      <c r="BI132" s="37">
        <v>1.1319999999999999</v>
      </c>
      <c r="BJ132" s="37">
        <v>1.123</v>
      </c>
      <c r="BK132" s="37">
        <v>1.1140000000000001</v>
      </c>
      <c r="BL132" s="37">
        <v>1.105</v>
      </c>
      <c r="BM132" s="37">
        <v>1.095</v>
      </c>
      <c r="BN132" s="37">
        <v>1.0860000000000001</v>
      </c>
    </row>
    <row r="133" spans="1:66" x14ac:dyDescent="0.2">
      <c r="A133" s="2" t="s">
        <v>477</v>
      </c>
      <c r="B133" s="2" t="s">
        <v>478</v>
      </c>
      <c r="C133" s="11" t="s">
        <v>82</v>
      </c>
      <c r="D133" s="12" t="s">
        <v>697</v>
      </c>
      <c r="E133" s="35">
        <v>1</v>
      </c>
      <c r="F133" s="36">
        <v>82.82</v>
      </c>
      <c r="G133" s="36">
        <v>84.430999999999997</v>
      </c>
      <c r="H133" s="36">
        <v>86.045000000000002</v>
      </c>
      <c r="I133" s="36">
        <v>87.653999999999996</v>
      </c>
      <c r="J133" s="36">
        <v>89.259</v>
      </c>
      <c r="K133" s="36">
        <v>90.861999999999995</v>
      </c>
      <c r="L133" s="36">
        <v>92.453000000000003</v>
      </c>
      <c r="M133" s="36">
        <v>94.021000000000001</v>
      </c>
      <c r="N133" s="36">
        <v>95.575000000000003</v>
      </c>
      <c r="O133" s="36">
        <v>97.116</v>
      </c>
      <c r="P133" s="36">
        <v>98.626000000000005</v>
      </c>
      <c r="Q133" s="36">
        <v>100.099</v>
      </c>
      <c r="R133" s="36">
        <v>101.54900000000001</v>
      </c>
      <c r="S133" s="36">
        <v>102.979</v>
      </c>
      <c r="T133" s="36">
        <v>104.39400000000001</v>
      </c>
      <c r="U133" s="36">
        <v>105.812</v>
      </c>
      <c r="V133" s="36">
        <v>107.254</v>
      </c>
      <c r="W133" s="36">
        <v>108.774</v>
      </c>
      <c r="X133" s="36">
        <v>110.374</v>
      </c>
      <c r="Y133" s="36">
        <v>112</v>
      </c>
      <c r="Z133" s="36">
        <v>113.624</v>
      </c>
      <c r="AA133" s="36">
        <v>115.244</v>
      </c>
      <c r="AB133" s="36">
        <v>116.818</v>
      </c>
      <c r="AC133" s="36">
        <v>118.34399999999999</v>
      </c>
      <c r="AD133" s="36">
        <v>119.78400000000001</v>
      </c>
      <c r="AE133" s="36">
        <v>121.072</v>
      </c>
      <c r="AF133" s="36">
        <v>122.251</v>
      </c>
      <c r="AG133" s="36">
        <v>123.4</v>
      </c>
      <c r="AH133" s="36">
        <v>124.574</v>
      </c>
      <c r="AI133" s="36">
        <v>125.76300000000001</v>
      </c>
      <c r="AJ133" s="36">
        <v>126.79900000000001</v>
      </c>
      <c r="AK133" s="36">
        <v>127.648</v>
      </c>
      <c r="AL133" s="36">
        <v>128.613</v>
      </c>
      <c r="AM133" s="36">
        <v>129.74</v>
      </c>
      <c r="AN133" s="36">
        <v>130.86099999999999</v>
      </c>
      <c r="AO133" s="36">
        <v>131.947</v>
      </c>
      <c r="AP133" s="37">
        <v>132.99799999999999</v>
      </c>
      <c r="AQ133" s="37">
        <v>134.018</v>
      </c>
      <c r="AR133" s="37">
        <v>135.00899999999999</v>
      </c>
      <c r="AS133" s="37">
        <v>135.971</v>
      </c>
      <c r="AT133" s="37">
        <v>136.905</v>
      </c>
      <c r="AU133" s="37">
        <v>137.81100000000001</v>
      </c>
      <c r="AV133" s="37">
        <v>138.69</v>
      </c>
      <c r="AW133" s="37">
        <v>139.542</v>
      </c>
      <c r="AX133" s="37">
        <v>140.36199999999999</v>
      </c>
      <c r="AY133" s="37">
        <v>141.15100000000001</v>
      </c>
      <c r="AZ133" s="37">
        <v>141.90899999999999</v>
      </c>
      <c r="BA133" s="37">
        <v>142.63800000000001</v>
      </c>
      <c r="BB133" s="37">
        <v>143.33600000000001</v>
      </c>
      <c r="BC133" s="37">
        <v>143.99799999999999</v>
      </c>
      <c r="BD133" s="37">
        <v>144.624</v>
      </c>
      <c r="BE133" s="37">
        <v>145.21799999999999</v>
      </c>
      <c r="BF133" s="37">
        <v>145.77699999999999</v>
      </c>
      <c r="BG133" s="37">
        <v>146.30000000000001</v>
      </c>
      <c r="BH133" s="37">
        <v>146.78800000000001</v>
      </c>
      <c r="BI133" s="37">
        <v>147.24</v>
      </c>
      <c r="BJ133" s="37">
        <v>147.654</v>
      </c>
      <c r="BK133" s="37">
        <v>148.03</v>
      </c>
      <c r="BL133" s="37">
        <v>148.37200000000001</v>
      </c>
      <c r="BM133" s="37">
        <v>148.678</v>
      </c>
      <c r="BN133" s="37">
        <v>148.946</v>
      </c>
    </row>
    <row r="134" spans="1:66" x14ac:dyDescent="0.2">
      <c r="A134" s="2" t="s">
        <v>479</v>
      </c>
      <c r="B134" s="2" t="s">
        <v>480</v>
      </c>
      <c r="C134" s="11" t="s">
        <v>82</v>
      </c>
      <c r="D134" s="12" t="s">
        <v>697</v>
      </c>
      <c r="E134" s="35">
        <v>1</v>
      </c>
      <c r="F134" s="36">
        <v>0.10100000000000001</v>
      </c>
      <c r="G134" s="36">
        <v>0.10299999999999999</v>
      </c>
      <c r="H134" s="36">
        <v>0.105</v>
      </c>
      <c r="I134" s="36">
        <v>0.107</v>
      </c>
      <c r="J134" s="36">
        <v>0.109</v>
      </c>
      <c r="K134" s="36">
        <v>0.11</v>
      </c>
      <c r="L134" s="36">
        <v>0.111</v>
      </c>
      <c r="M134" s="36">
        <v>0.111</v>
      </c>
      <c r="N134" s="36">
        <v>0.111</v>
      </c>
      <c r="O134" s="36">
        <v>0.112</v>
      </c>
      <c r="P134" s="36">
        <v>0.112</v>
      </c>
      <c r="Q134" s="36">
        <v>0.112</v>
      </c>
      <c r="R134" s="36">
        <v>0.112</v>
      </c>
      <c r="S134" s="36">
        <v>0.112</v>
      </c>
      <c r="T134" s="36">
        <v>0.112</v>
      </c>
      <c r="U134" s="36">
        <v>0.111</v>
      </c>
      <c r="V134" s="36">
        <v>0.111</v>
      </c>
      <c r="W134" s="36">
        <v>0.11</v>
      </c>
      <c r="X134" s="36">
        <v>0.109</v>
      </c>
      <c r="Y134" s="36">
        <v>0.108</v>
      </c>
      <c r="Z134" s="36">
        <v>0.108</v>
      </c>
      <c r="AA134" s="36">
        <v>0.108</v>
      </c>
      <c r="AB134" s="36">
        <v>0.108</v>
      </c>
      <c r="AC134" s="36">
        <v>0.108</v>
      </c>
      <c r="AD134" s="36">
        <v>0.108</v>
      </c>
      <c r="AE134" s="36">
        <v>0.109</v>
      </c>
      <c r="AF134" s="36">
        <v>0.109</v>
      </c>
      <c r="AG134" s="36">
        <v>0.109</v>
      </c>
      <c r="AH134" s="36">
        <v>0.11</v>
      </c>
      <c r="AI134" s="36">
        <v>0.11</v>
      </c>
      <c r="AJ134" s="36">
        <v>0.111</v>
      </c>
      <c r="AK134" s="36">
        <v>0.112</v>
      </c>
      <c r="AL134" s="36">
        <v>0.112</v>
      </c>
      <c r="AM134" s="36">
        <v>0.113</v>
      </c>
      <c r="AN134" s="36">
        <v>0.113</v>
      </c>
      <c r="AO134" s="36">
        <v>0.114</v>
      </c>
      <c r="AP134" s="37">
        <v>0.114</v>
      </c>
      <c r="AQ134" s="37">
        <v>0.115</v>
      </c>
      <c r="AR134" s="37">
        <v>0.115</v>
      </c>
      <c r="AS134" s="37">
        <v>0.11600000000000001</v>
      </c>
      <c r="AT134" s="37">
        <v>0.11600000000000001</v>
      </c>
      <c r="AU134" s="37">
        <v>0.11700000000000001</v>
      </c>
      <c r="AV134" s="37">
        <v>0.11700000000000001</v>
      </c>
      <c r="AW134" s="37">
        <v>0.11799999999999999</v>
      </c>
      <c r="AX134" s="37">
        <v>0.11899999999999999</v>
      </c>
      <c r="AY134" s="37">
        <v>0.11899999999999999</v>
      </c>
      <c r="AZ134" s="37">
        <v>0.12</v>
      </c>
      <c r="BA134" s="37">
        <v>0.12</v>
      </c>
      <c r="BB134" s="37">
        <v>0.121</v>
      </c>
      <c r="BC134" s="37">
        <v>0.121</v>
      </c>
      <c r="BD134" s="37">
        <v>0.122</v>
      </c>
      <c r="BE134" s="37">
        <v>0.122</v>
      </c>
      <c r="BF134" s="37">
        <v>0.123</v>
      </c>
      <c r="BG134" s="37">
        <v>0.123</v>
      </c>
      <c r="BH134" s="37">
        <v>0.124</v>
      </c>
      <c r="BI134" s="37">
        <v>0.124</v>
      </c>
      <c r="BJ134" s="37">
        <v>0.125</v>
      </c>
      <c r="BK134" s="37">
        <v>0.125</v>
      </c>
      <c r="BL134" s="37">
        <v>0.125</v>
      </c>
      <c r="BM134" s="37">
        <v>0.126</v>
      </c>
      <c r="BN134" s="37">
        <v>0.126</v>
      </c>
    </row>
    <row r="135" spans="1:66" x14ac:dyDescent="0.2">
      <c r="A135" s="2" t="s">
        <v>481</v>
      </c>
      <c r="B135" s="2" t="s">
        <v>482</v>
      </c>
      <c r="C135" s="11" t="s">
        <v>82</v>
      </c>
      <c r="D135" s="12" t="s">
        <v>697</v>
      </c>
      <c r="E135" s="38">
        <v>0.78786511356158895</v>
      </c>
      <c r="F135" s="36">
        <v>2.9780000000000002</v>
      </c>
      <c r="G135" s="36">
        <v>2.9820000000000002</v>
      </c>
      <c r="H135" s="36">
        <v>2.9809999999999999</v>
      </c>
      <c r="I135" s="36">
        <v>2.976</v>
      </c>
      <c r="J135" s="36">
        <v>2.9670000000000001</v>
      </c>
      <c r="K135" s="36">
        <v>2.9529999999999998</v>
      </c>
      <c r="L135" s="36">
        <v>2.9470000000000001</v>
      </c>
      <c r="M135" s="36">
        <v>2.9359999999999999</v>
      </c>
      <c r="N135" s="36">
        <v>2.9350000000000001</v>
      </c>
      <c r="O135" s="36">
        <v>2.931</v>
      </c>
      <c r="P135" s="36">
        <v>2.9249999999999998</v>
      </c>
      <c r="Q135" s="36">
        <v>2.9180000000000001</v>
      </c>
      <c r="R135" s="36">
        <v>2.911</v>
      </c>
      <c r="S135" s="36">
        <v>2.903</v>
      </c>
      <c r="T135" s="36">
        <v>2.8959999999999999</v>
      </c>
      <c r="U135" s="36">
        <v>2.8889999999999998</v>
      </c>
      <c r="V135" s="36">
        <v>2.8809999999999998</v>
      </c>
      <c r="W135" s="36">
        <v>2.8740000000000001</v>
      </c>
      <c r="X135" s="36">
        <v>2.8690000000000002</v>
      </c>
      <c r="Y135" s="36">
        <v>2.8650000000000002</v>
      </c>
      <c r="Z135" s="36">
        <v>2.8620000000000001</v>
      </c>
      <c r="AA135" s="36">
        <v>2.8610000000000002</v>
      </c>
      <c r="AB135" s="36">
        <v>2.86</v>
      </c>
      <c r="AC135" s="36">
        <v>2.86</v>
      </c>
      <c r="AD135" s="36">
        <v>2.8580000000000001</v>
      </c>
      <c r="AE135" s="36">
        <v>2.8359999999999999</v>
      </c>
      <c r="AF135" s="36">
        <v>2.8029999999999999</v>
      </c>
      <c r="AG135" s="36">
        <v>2.7549999999999999</v>
      </c>
      <c r="AH135" s="36">
        <v>2.7069999999999999</v>
      </c>
      <c r="AI135" s="36">
        <v>2.6640000000000001</v>
      </c>
      <c r="AJ135" s="36">
        <v>2.6349999999999998</v>
      </c>
      <c r="AK135" s="36">
        <v>2.5960000000000001</v>
      </c>
      <c r="AL135" s="36">
        <v>2.5289999999999999</v>
      </c>
      <c r="AM135" s="36">
        <v>2.4580000000000002</v>
      </c>
      <c r="AN135" s="36">
        <v>2.4020000000000001</v>
      </c>
      <c r="AO135" s="36">
        <v>2.3610000000000002</v>
      </c>
      <c r="AP135" s="37">
        <v>2.3330000000000002</v>
      </c>
      <c r="AQ135" s="37">
        <v>2.31</v>
      </c>
      <c r="AR135" s="37">
        <v>2.2879999999999998</v>
      </c>
      <c r="AS135" s="37">
        <v>2.2650000000000001</v>
      </c>
      <c r="AT135" s="37">
        <v>2.242</v>
      </c>
      <c r="AU135" s="37">
        <v>2.2189999999999999</v>
      </c>
      <c r="AV135" s="37">
        <v>2.1960000000000002</v>
      </c>
      <c r="AW135" s="37">
        <v>2.1739999999999999</v>
      </c>
      <c r="AX135" s="37">
        <v>2.1509999999999998</v>
      </c>
      <c r="AY135" s="37">
        <v>2.129</v>
      </c>
      <c r="AZ135" s="37">
        <v>2.1070000000000002</v>
      </c>
      <c r="BA135" s="37">
        <v>2.085</v>
      </c>
      <c r="BB135" s="37">
        <v>2.0640000000000001</v>
      </c>
      <c r="BC135" s="37">
        <v>2.044</v>
      </c>
      <c r="BD135" s="37">
        <v>2.024</v>
      </c>
      <c r="BE135" s="37">
        <v>2.0049999999999999</v>
      </c>
      <c r="BF135" s="37">
        <v>1.986</v>
      </c>
      <c r="BG135" s="37">
        <v>1.968</v>
      </c>
      <c r="BH135" s="37">
        <v>1.9510000000000001</v>
      </c>
      <c r="BI135" s="37">
        <v>1.9339999999999999</v>
      </c>
      <c r="BJ135" s="37">
        <v>1.917</v>
      </c>
      <c r="BK135" s="37">
        <v>1.901</v>
      </c>
      <c r="BL135" s="37">
        <v>1.885</v>
      </c>
      <c r="BM135" s="37">
        <v>1.869</v>
      </c>
      <c r="BN135" s="37">
        <v>1.853</v>
      </c>
    </row>
    <row r="136" spans="1:66" x14ac:dyDescent="0.2">
      <c r="A136" s="2" t="s">
        <v>484</v>
      </c>
      <c r="B136" s="2" t="s">
        <v>485</v>
      </c>
      <c r="C136" s="11" t="s">
        <v>79</v>
      </c>
      <c r="D136" s="12" t="s">
        <v>697</v>
      </c>
      <c r="E136" s="35">
        <v>1</v>
      </c>
      <c r="F136" s="36">
        <v>0.03</v>
      </c>
      <c r="G136" s="36">
        <v>3.1E-2</v>
      </c>
      <c r="H136" s="36">
        <v>3.1E-2</v>
      </c>
      <c r="I136" s="36">
        <v>3.1E-2</v>
      </c>
      <c r="J136" s="36">
        <v>3.1E-2</v>
      </c>
      <c r="K136" s="36">
        <v>3.2000000000000001E-2</v>
      </c>
      <c r="L136" s="36">
        <v>3.2000000000000001E-2</v>
      </c>
      <c r="M136" s="36">
        <v>3.2000000000000001E-2</v>
      </c>
      <c r="N136" s="36">
        <v>3.2000000000000001E-2</v>
      </c>
      <c r="O136" s="36">
        <v>3.2000000000000001E-2</v>
      </c>
      <c r="P136" s="36">
        <v>3.2000000000000001E-2</v>
      </c>
      <c r="Q136" s="36">
        <v>3.2000000000000001E-2</v>
      </c>
      <c r="R136" s="36">
        <v>3.2000000000000001E-2</v>
      </c>
      <c r="S136" s="36">
        <v>3.2000000000000001E-2</v>
      </c>
      <c r="T136" s="36">
        <v>3.2000000000000001E-2</v>
      </c>
      <c r="U136" s="36">
        <v>3.2000000000000001E-2</v>
      </c>
      <c r="V136" s="36">
        <v>3.2000000000000001E-2</v>
      </c>
      <c r="W136" s="36">
        <v>3.2000000000000001E-2</v>
      </c>
      <c r="X136" s="36">
        <v>3.2000000000000001E-2</v>
      </c>
      <c r="Y136" s="36">
        <v>3.2000000000000001E-2</v>
      </c>
      <c r="Z136" s="36">
        <v>3.3000000000000002E-2</v>
      </c>
      <c r="AA136" s="36">
        <v>3.4000000000000002E-2</v>
      </c>
      <c r="AB136" s="36">
        <v>3.5000000000000003E-2</v>
      </c>
      <c r="AC136" s="36">
        <v>3.5000000000000003E-2</v>
      </c>
      <c r="AD136" s="36">
        <v>3.5999999999999997E-2</v>
      </c>
      <c r="AE136" s="36">
        <v>3.6999999999999998E-2</v>
      </c>
      <c r="AF136" s="36">
        <v>3.6999999999999998E-2</v>
      </c>
      <c r="AG136" s="36">
        <v>3.7999999999999999E-2</v>
      </c>
      <c r="AH136" s="36">
        <v>3.7999999999999999E-2</v>
      </c>
      <c r="AI136" s="36">
        <v>3.7999999999999999E-2</v>
      </c>
      <c r="AJ136" s="36">
        <v>3.7999999999999999E-2</v>
      </c>
      <c r="AK136" s="36">
        <v>3.9E-2</v>
      </c>
      <c r="AL136" s="36">
        <v>3.9E-2</v>
      </c>
      <c r="AM136" s="36">
        <v>3.9E-2</v>
      </c>
      <c r="AN136" s="36">
        <v>3.9E-2</v>
      </c>
      <c r="AO136" s="36">
        <v>3.7999999999999999E-2</v>
      </c>
      <c r="AP136" s="37">
        <v>3.7999999999999999E-2</v>
      </c>
      <c r="AQ136" s="37">
        <v>3.7999999999999999E-2</v>
      </c>
      <c r="AR136" s="37">
        <v>3.7999999999999999E-2</v>
      </c>
      <c r="AS136" s="37">
        <v>3.7999999999999999E-2</v>
      </c>
      <c r="AT136" s="37">
        <v>3.6999999999999998E-2</v>
      </c>
      <c r="AU136" s="37">
        <v>3.6999999999999998E-2</v>
      </c>
      <c r="AV136" s="37">
        <v>3.6999999999999998E-2</v>
      </c>
      <c r="AW136" s="37">
        <v>3.6999999999999998E-2</v>
      </c>
      <c r="AX136" s="37">
        <v>3.6999999999999998E-2</v>
      </c>
      <c r="AY136" s="37">
        <v>3.6999999999999998E-2</v>
      </c>
      <c r="AZ136" s="37">
        <v>3.6999999999999998E-2</v>
      </c>
      <c r="BA136" s="37">
        <v>3.6999999999999998E-2</v>
      </c>
      <c r="BB136" s="37">
        <v>3.6999999999999998E-2</v>
      </c>
      <c r="BC136" s="37">
        <v>3.6999999999999998E-2</v>
      </c>
      <c r="BD136" s="37">
        <v>3.6999999999999998E-2</v>
      </c>
      <c r="BE136" s="37">
        <v>3.6999999999999998E-2</v>
      </c>
      <c r="BF136" s="37">
        <v>3.6999999999999998E-2</v>
      </c>
      <c r="BG136" s="37">
        <v>3.6999999999999998E-2</v>
      </c>
      <c r="BH136" s="37">
        <v>3.6999999999999998E-2</v>
      </c>
      <c r="BI136" s="37">
        <v>3.6999999999999998E-2</v>
      </c>
      <c r="BJ136" s="37">
        <v>3.6999999999999998E-2</v>
      </c>
      <c r="BK136" s="37">
        <v>3.6999999999999998E-2</v>
      </c>
      <c r="BL136" s="37">
        <v>3.6999999999999998E-2</v>
      </c>
      <c r="BM136" s="37">
        <v>3.6999999999999998E-2</v>
      </c>
      <c r="BN136" s="37">
        <v>3.6999999999999998E-2</v>
      </c>
    </row>
    <row r="137" spans="1:66" x14ac:dyDescent="0.2">
      <c r="A137" s="2" t="s">
        <v>486</v>
      </c>
      <c r="B137" s="2" t="s">
        <v>487</v>
      </c>
      <c r="C137" s="11" t="s">
        <v>82</v>
      </c>
      <c r="D137" s="12" t="s">
        <v>697</v>
      </c>
      <c r="E137" s="35">
        <v>1.01475022035199</v>
      </c>
      <c r="F137" s="36">
        <v>2.0990000000000002</v>
      </c>
      <c r="G137" s="36">
        <v>2.165</v>
      </c>
      <c r="H137" s="36">
        <v>2.1680000000000001</v>
      </c>
      <c r="I137" s="36">
        <v>2.165</v>
      </c>
      <c r="J137" s="36">
        <v>2.1890000000000001</v>
      </c>
      <c r="K137" s="36">
        <v>2.2250000000000001</v>
      </c>
      <c r="L137" s="36">
        <v>2.2599999999999998</v>
      </c>
      <c r="M137" s="36">
        <v>2.2919999999999998</v>
      </c>
      <c r="N137" s="36">
        <v>2.3239999999999998</v>
      </c>
      <c r="O137" s="36">
        <v>2.3570000000000002</v>
      </c>
      <c r="P137" s="36">
        <v>2.3879999999999999</v>
      </c>
      <c r="Q137" s="36">
        <v>2.4180000000000001</v>
      </c>
      <c r="R137" s="36">
        <v>2.4489999999999998</v>
      </c>
      <c r="S137" s="36">
        <v>2.48</v>
      </c>
      <c r="T137" s="36">
        <v>2.508</v>
      </c>
      <c r="U137" s="36">
        <v>2.536</v>
      </c>
      <c r="V137" s="36">
        <v>2.5670000000000002</v>
      </c>
      <c r="W137" s="36">
        <v>2.6019999999999999</v>
      </c>
      <c r="X137" s="36">
        <v>2.6429999999999998</v>
      </c>
      <c r="Y137" s="36">
        <v>2.6909999999999998</v>
      </c>
      <c r="Z137" s="36">
        <v>2.7389999999999999</v>
      </c>
      <c r="AA137" s="36">
        <v>2.786</v>
      </c>
      <c r="AB137" s="36">
        <v>2.84</v>
      </c>
      <c r="AC137" s="36">
        <v>2.899</v>
      </c>
      <c r="AD137" s="36">
        <v>2.9630000000000001</v>
      </c>
      <c r="AE137" s="36">
        <v>3.0270000000000001</v>
      </c>
      <c r="AF137" s="36">
        <v>3.089</v>
      </c>
      <c r="AG137" s="36">
        <v>3.149</v>
      </c>
      <c r="AH137" s="36">
        <v>3.2080000000000002</v>
      </c>
      <c r="AI137" s="36">
        <v>3.2679999999999998</v>
      </c>
      <c r="AJ137" s="36">
        <v>3.327</v>
      </c>
      <c r="AK137" s="36">
        <v>3.3839999999999999</v>
      </c>
      <c r="AL137" s="36">
        <v>3.4340000000000002</v>
      </c>
      <c r="AM137" s="36">
        <v>3.4809999999999999</v>
      </c>
      <c r="AN137" s="36">
        <v>3.5249999999999999</v>
      </c>
      <c r="AO137" s="36">
        <v>3.569</v>
      </c>
      <c r="AP137" s="37">
        <v>3.609</v>
      </c>
      <c r="AQ137" s="37">
        <v>3.6480000000000001</v>
      </c>
      <c r="AR137" s="37">
        <v>3.6859999999999999</v>
      </c>
      <c r="AS137" s="37">
        <v>3.7229999999999999</v>
      </c>
      <c r="AT137" s="37">
        <v>3.76</v>
      </c>
      <c r="AU137" s="37">
        <v>3.7959999999999998</v>
      </c>
      <c r="AV137" s="37">
        <v>3.8330000000000002</v>
      </c>
      <c r="AW137" s="37">
        <v>3.87</v>
      </c>
      <c r="AX137" s="37">
        <v>3.9079999999999999</v>
      </c>
      <c r="AY137" s="37">
        <v>3.9470000000000001</v>
      </c>
      <c r="AZ137" s="37">
        <v>3.9870000000000001</v>
      </c>
      <c r="BA137" s="37">
        <v>4.0279999999999996</v>
      </c>
      <c r="BB137" s="37">
        <v>4.07</v>
      </c>
      <c r="BC137" s="37">
        <v>4.1130000000000004</v>
      </c>
      <c r="BD137" s="37">
        <v>4.1559999999999997</v>
      </c>
      <c r="BE137" s="37">
        <v>4.1989999999999998</v>
      </c>
      <c r="BF137" s="37">
        <v>4.2430000000000003</v>
      </c>
      <c r="BG137" s="37">
        <v>4.2869999999999999</v>
      </c>
      <c r="BH137" s="37">
        <v>4.3289999999999997</v>
      </c>
      <c r="BI137" s="37">
        <v>4.3719999999999999</v>
      </c>
      <c r="BJ137" s="37">
        <v>4.4139999999999997</v>
      </c>
      <c r="BK137" s="37">
        <v>4.4550000000000001</v>
      </c>
      <c r="BL137" s="37">
        <v>4.4939999999999998</v>
      </c>
      <c r="BM137" s="37">
        <v>4.532</v>
      </c>
      <c r="BN137" s="37">
        <v>4.5679999999999996</v>
      </c>
    </row>
    <row r="138" spans="1:66" x14ac:dyDescent="0.2">
      <c r="A138" s="2" t="s">
        <v>488</v>
      </c>
      <c r="B138" s="2" t="s">
        <v>489</v>
      </c>
      <c r="C138" s="11" t="s">
        <v>82</v>
      </c>
      <c r="D138" s="12" t="s">
        <v>697</v>
      </c>
      <c r="E138" s="35">
        <v>0.98482762762572895</v>
      </c>
      <c r="F138" s="36">
        <v>0.60599999999999998</v>
      </c>
      <c r="G138" s="36">
        <v>0.60699999999999998</v>
      </c>
      <c r="H138" s="36">
        <v>0.60899999999999999</v>
      </c>
      <c r="I138" s="36">
        <v>0.61</v>
      </c>
      <c r="J138" s="36">
        <v>0.61099999999999999</v>
      </c>
      <c r="K138" s="36">
        <v>0.61199999999999999</v>
      </c>
      <c r="L138" s="36">
        <v>0.61099999999999999</v>
      </c>
      <c r="M138" s="36">
        <v>0.61</v>
      </c>
      <c r="N138" s="36">
        <v>0.60799999999999998</v>
      </c>
      <c r="O138" s="36">
        <v>0.60599999999999998</v>
      </c>
      <c r="P138" s="36">
        <v>0.60499999999999998</v>
      </c>
      <c r="Q138" s="36">
        <v>0.60699999999999998</v>
      </c>
      <c r="R138" s="36">
        <v>0.61</v>
      </c>
      <c r="S138" s="36">
        <v>0.61199999999999999</v>
      </c>
      <c r="T138" s="36">
        <v>0.61299999999999999</v>
      </c>
      <c r="U138" s="36">
        <v>0.61399999999999999</v>
      </c>
      <c r="V138" s="36">
        <v>0.61499999999999999</v>
      </c>
      <c r="W138" s="36">
        <v>0.61599999999999999</v>
      </c>
      <c r="X138" s="36">
        <v>0.61699999999999999</v>
      </c>
      <c r="Y138" s="36">
        <v>0.61799999999999999</v>
      </c>
      <c r="Z138" s="36">
        <v>0.61899999999999999</v>
      </c>
      <c r="AA138" s="36">
        <v>0.62</v>
      </c>
      <c r="AB138" s="36">
        <v>0.621</v>
      </c>
      <c r="AC138" s="36">
        <v>0.623</v>
      </c>
      <c r="AD138" s="36">
        <v>0.624</v>
      </c>
      <c r="AE138" s="36">
        <v>0.625</v>
      </c>
      <c r="AF138" s="36">
        <v>0.625</v>
      </c>
      <c r="AG138" s="36">
        <v>0.626</v>
      </c>
      <c r="AH138" s="36">
        <v>0.626</v>
      </c>
      <c r="AI138" s="36">
        <v>0.627</v>
      </c>
      <c r="AJ138" s="36">
        <v>0.627</v>
      </c>
      <c r="AK138" s="36">
        <v>0.625</v>
      </c>
      <c r="AL138" s="36">
        <v>0.624</v>
      </c>
      <c r="AM138" s="36">
        <v>0.624</v>
      </c>
      <c r="AN138" s="36">
        <v>0.624</v>
      </c>
      <c r="AO138" s="36">
        <v>0.623</v>
      </c>
      <c r="AP138" s="37">
        <v>0.61699999999999999</v>
      </c>
      <c r="AQ138" s="37">
        <v>0.61299999999999999</v>
      </c>
      <c r="AR138" s="37">
        <v>0.61</v>
      </c>
      <c r="AS138" s="37">
        <v>0.60699999999999998</v>
      </c>
      <c r="AT138" s="37">
        <v>0.60299999999999998</v>
      </c>
      <c r="AU138" s="37">
        <v>0.6</v>
      </c>
      <c r="AV138" s="37">
        <v>0.59599999999999997</v>
      </c>
      <c r="AW138" s="37">
        <v>0.59299999999999997</v>
      </c>
      <c r="AX138" s="37">
        <v>0.58899999999999997</v>
      </c>
      <c r="AY138" s="37">
        <v>0.58499999999999996</v>
      </c>
      <c r="AZ138" s="37">
        <v>0.58099999999999996</v>
      </c>
      <c r="BA138" s="37">
        <v>0.57699999999999996</v>
      </c>
      <c r="BB138" s="37">
        <v>0.57399999999999995</v>
      </c>
      <c r="BC138" s="37">
        <v>0.56999999999999995</v>
      </c>
      <c r="BD138" s="37">
        <v>0.56599999999999995</v>
      </c>
      <c r="BE138" s="37">
        <v>0.56200000000000006</v>
      </c>
      <c r="BF138" s="37">
        <v>0.55800000000000005</v>
      </c>
      <c r="BG138" s="37">
        <v>0.55400000000000005</v>
      </c>
      <c r="BH138" s="37">
        <v>0.55000000000000004</v>
      </c>
      <c r="BI138" s="37">
        <v>0.54600000000000004</v>
      </c>
      <c r="BJ138" s="37">
        <v>0.54200000000000004</v>
      </c>
      <c r="BK138" s="37">
        <v>0.53800000000000003</v>
      </c>
      <c r="BL138" s="37">
        <v>0.53400000000000003</v>
      </c>
      <c r="BM138" s="37">
        <v>0.52900000000000003</v>
      </c>
      <c r="BN138" s="37">
        <v>0.52500000000000002</v>
      </c>
    </row>
    <row r="139" spans="1:66" x14ac:dyDescent="0.2">
      <c r="A139" s="2" t="s">
        <v>491</v>
      </c>
      <c r="B139" s="2" t="s">
        <v>492</v>
      </c>
      <c r="C139" s="11" t="s">
        <v>210</v>
      </c>
      <c r="D139" s="12" t="s">
        <v>697</v>
      </c>
      <c r="E139" s="35">
        <v>1</v>
      </c>
      <c r="F139" s="36">
        <v>24.376000000000001</v>
      </c>
      <c r="G139" s="36">
        <v>24.798999999999999</v>
      </c>
      <c r="H139" s="36">
        <v>25.212</v>
      </c>
      <c r="I139" s="36">
        <v>25.614999999999998</v>
      </c>
      <c r="J139" s="36">
        <v>26.001000000000001</v>
      </c>
      <c r="K139" s="36">
        <v>26.399000000000001</v>
      </c>
      <c r="L139" s="36">
        <v>26.808</v>
      </c>
      <c r="M139" s="36">
        <v>27.213000000000001</v>
      </c>
      <c r="N139" s="36">
        <v>27.622</v>
      </c>
      <c r="O139" s="36">
        <v>28.027000000000001</v>
      </c>
      <c r="P139" s="36">
        <v>28.422999999999998</v>
      </c>
      <c r="Q139" s="36">
        <v>28.815000000000001</v>
      </c>
      <c r="R139" s="36">
        <v>29.198</v>
      </c>
      <c r="S139" s="36">
        <v>29.571000000000002</v>
      </c>
      <c r="T139" s="36">
        <v>29.952999999999999</v>
      </c>
      <c r="U139" s="36">
        <v>30.358000000000001</v>
      </c>
      <c r="V139" s="36">
        <v>30.771000000000001</v>
      </c>
      <c r="W139" s="36">
        <v>31.186</v>
      </c>
      <c r="X139" s="36">
        <v>31.606999999999999</v>
      </c>
      <c r="Y139" s="36">
        <v>32.030999999999999</v>
      </c>
      <c r="Z139" s="36">
        <v>32.466999999999999</v>
      </c>
      <c r="AA139" s="36">
        <v>32.912999999999997</v>
      </c>
      <c r="AB139" s="36">
        <v>33.354999999999997</v>
      </c>
      <c r="AC139" s="36">
        <v>33.787999999999997</v>
      </c>
      <c r="AD139" s="36">
        <v>34.204999999999998</v>
      </c>
      <c r="AE139" s="36">
        <v>34.607999999999997</v>
      </c>
      <c r="AF139" s="36">
        <v>35.023000000000003</v>
      </c>
      <c r="AG139" s="36">
        <v>35.445999999999998</v>
      </c>
      <c r="AH139" s="36">
        <v>35.840000000000003</v>
      </c>
      <c r="AI139" s="36">
        <v>36.210999999999999</v>
      </c>
      <c r="AJ139" s="36">
        <v>36.584000000000003</v>
      </c>
      <c r="AK139" s="36">
        <v>36.954000000000001</v>
      </c>
      <c r="AL139" s="36">
        <v>37.329000000000001</v>
      </c>
      <c r="AM139" s="36">
        <v>37.713000000000001</v>
      </c>
      <c r="AN139" s="36">
        <v>38.081000000000003</v>
      </c>
      <c r="AO139" s="36">
        <v>38.430999999999997</v>
      </c>
      <c r="AP139" s="37">
        <v>38.762</v>
      </c>
      <c r="AQ139" s="37">
        <v>39.08</v>
      </c>
      <c r="AR139" s="37">
        <v>39.384</v>
      </c>
      <c r="AS139" s="37">
        <v>39.674999999999997</v>
      </c>
      <c r="AT139" s="37">
        <v>39.953000000000003</v>
      </c>
      <c r="AU139" s="37">
        <v>40.222000000000001</v>
      </c>
      <c r="AV139" s="37">
        <v>40.478000000000002</v>
      </c>
      <c r="AW139" s="37">
        <v>40.722999999999999</v>
      </c>
      <c r="AX139" s="37">
        <v>40.957000000000001</v>
      </c>
      <c r="AY139" s="37">
        <v>41.182000000000002</v>
      </c>
      <c r="AZ139" s="37">
        <v>41.398000000000003</v>
      </c>
      <c r="BA139" s="37">
        <v>41.603999999999999</v>
      </c>
      <c r="BB139" s="37">
        <v>41.802</v>
      </c>
      <c r="BC139" s="37">
        <v>41.99</v>
      </c>
      <c r="BD139" s="37">
        <v>42.167999999999999</v>
      </c>
      <c r="BE139" s="37">
        <v>42.338999999999999</v>
      </c>
      <c r="BF139" s="37">
        <v>42.5</v>
      </c>
      <c r="BG139" s="37">
        <v>42.65</v>
      </c>
      <c r="BH139" s="37">
        <v>42.792000000000002</v>
      </c>
      <c r="BI139" s="37">
        <v>42.924999999999997</v>
      </c>
      <c r="BJ139" s="37">
        <v>43.045999999999999</v>
      </c>
      <c r="BK139" s="37">
        <v>43.158000000000001</v>
      </c>
      <c r="BL139" s="37">
        <v>43.262</v>
      </c>
      <c r="BM139" s="37">
        <v>43.356000000000002</v>
      </c>
      <c r="BN139" s="37">
        <v>43.44</v>
      </c>
    </row>
    <row r="140" spans="1:66" x14ac:dyDescent="0.2">
      <c r="A140" s="2" t="s">
        <v>493</v>
      </c>
      <c r="B140" s="2" t="s">
        <v>494</v>
      </c>
      <c r="C140" s="11" t="s">
        <v>75</v>
      </c>
      <c r="D140" s="12" t="s">
        <v>697</v>
      </c>
      <c r="E140" s="35">
        <v>1</v>
      </c>
      <c r="F140" s="36">
        <v>13.095000000000001</v>
      </c>
      <c r="G140" s="36">
        <v>13.352</v>
      </c>
      <c r="H140" s="36">
        <v>13.613</v>
      </c>
      <c r="I140" s="36">
        <v>14.051</v>
      </c>
      <c r="J140" s="36">
        <v>15.034000000000001</v>
      </c>
      <c r="K140" s="36">
        <v>15.961</v>
      </c>
      <c r="L140" s="36">
        <v>16.492000000000001</v>
      </c>
      <c r="M140" s="36">
        <v>16.95</v>
      </c>
      <c r="N140" s="36">
        <v>17.34</v>
      </c>
      <c r="O140" s="36">
        <v>17.734999999999999</v>
      </c>
      <c r="P140" s="36">
        <v>18.13</v>
      </c>
      <c r="Q140" s="36">
        <v>18.538</v>
      </c>
      <c r="R140" s="36">
        <v>18.957999999999998</v>
      </c>
      <c r="S140" s="36">
        <v>19.391999999999999</v>
      </c>
      <c r="T140" s="36">
        <v>19.84</v>
      </c>
      <c r="U140" s="36">
        <v>20.305</v>
      </c>
      <c r="V140" s="36">
        <v>20.786999999999999</v>
      </c>
      <c r="W140" s="36">
        <v>21.288</v>
      </c>
      <c r="X140" s="36">
        <v>21.818999999999999</v>
      </c>
      <c r="Y140" s="36">
        <v>22.391999999999999</v>
      </c>
      <c r="Z140" s="36">
        <v>22.998999999999999</v>
      </c>
      <c r="AA140" s="36">
        <v>23.649000000000001</v>
      </c>
      <c r="AB140" s="36">
        <v>24.338000000000001</v>
      </c>
      <c r="AC140" s="36">
        <v>25.052</v>
      </c>
      <c r="AD140" s="36">
        <v>25.788</v>
      </c>
      <c r="AE140" s="36">
        <v>26.547999999999998</v>
      </c>
      <c r="AF140" s="36">
        <v>27.337</v>
      </c>
      <c r="AG140" s="36">
        <v>28.166</v>
      </c>
      <c r="AH140" s="36">
        <v>29.018999999999998</v>
      </c>
      <c r="AI140" s="36">
        <v>29.884</v>
      </c>
      <c r="AJ140" s="36">
        <v>30.783999999999999</v>
      </c>
      <c r="AK140" s="36">
        <v>31.707999999999998</v>
      </c>
      <c r="AL140" s="36">
        <v>32.655999999999999</v>
      </c>
      <c r="AM140" s="36">
        <v>33.634999999999998</v>
      </c>
      <c r="AN140" s="36">
        <v>34.631999999999998</v>
      </c>
      <c r="AO140" s="36">
        <v>35.631999999999998</v>
      </c>
      <c r="AP140" s="37">
        <v>36.64</v>
      </c>
      <c r="AQ140" s="37">
        <v>37.668999999999997</v>
      </c>
      <c r="AR140" s="37">
        <v>38.713999999999999</v>
      </c>
      <c r="AS140" s="37">
        <v>39.774999999999999</v>
      </c>
      <c r="AT140" s="37">
        <v>40.847000000000001</v>
      </c>
      <c r="AU140" s="37">
        <v>41.930999999999997</v>
      </c>
      <c r="AV140" s="37">
        <v>43.033000000000001</v>
      </c>
      <c r="AW140" s="37">
        <v>44.145000000000003</v>
      </c>
      <c r="AX140" s="37">
        <v>45.274000000000001</v>
      </c>
      <c r="AY140" s="37">
        <v>46.411999999999999</v>
      </c>
      <c r="AZ140" s="37">
        <v>47.548999999999999</v>
      </c>
      <c r="BA140" s="37">
        <v>48.685000000000002</v>
      </c>
      <c r="BB140" s="37">
        <v>49.822000000000003</v>
      </c>
      <c r="BC140" s="37">
        <v>50.970999999999997</v>
      </c>
      <c r="BD140" s="37">
        <v>52.124000000000002</v>
      </c>
      <c r="BE140" s="37">
        <v>53.271000000000001</v>
      </c>
      <c r="BF140" s="37">
        <v>54.423000000000002</v>
      </c>
      <c r="BG140" s="37">
        <v>55.575000000000003</v>
      </c>
      <c r="BH140" s="37">
        <v>56.716999999999999</v>
      </c>
      <c r="BI140" s="37">
        <v>57.851999999999997</v>
      </c>
      <c r="BJ140" s="37">
        <v>58.981000000000002</v>
      </c>
      <c r="BK140" s="37">
        <v>60.118000000000002</v>
      </c>
      <c r="BL140" s="37">
        <v>61.255000000000003</v>
      </c>
      <c r="BM140" s="37">
        <v>62.396999999999998</v>
      </c>
      <c r="BN140" s="37">
        <v>63.530999999999999</v>
      </c>
    </row>
    <row r="141" spans="1:66" x14ac:dyDescent="0.2">
      <c r="A141" s="2" t="s">
        <v>495</v>
      </c>
      <c r="B141" s="2" t="s">
        <v>496</v>
      </c>
      <c r="C141" s="11" t="s">
        <v>210</v>
      </c>
      <c r="D141" s="12" t="s">
        <v>697</v>
      </c>
      <c r="E141" s="35">
        <v>1</v>
      </c>
      <c r="F141" s="36">
        <v>39.817</v>
      </c>
      <c r="G141" s="36">
        <v>40.393999999999998</v>
      </c>
      <c r="H141" s="36">
        <v>40.950000000000003</v>
      </c>
      <c r="I141" s="36">
        <v>41.502000000000002</v>
      </c>
      <c r="J141" s="36">
        <v>42.055</v>
      </c>
      <c r="K141" s="36">
        <v>42.604999999999997</v>
      </c>
      <c r="L141" s="36">
        <v>43.155000000000001</v>
      </c>
      <c r="M141" s="36">
        <v>43.709000000000003</v>
      </c>
      <c r="N141" s="36">
        <v>44.258000000000003</v>
      </c>
      <c r="O141" s="36">
        <v>44.787999999999997</v>
      </c>
      <c r="P141" s="36">
        <v>45.290999999999997</v>
      </c>
      <c r="Q141" s="36">
        <v>45.771000000000001</v>
      </c>
      <c r="R141" s="36">
        <v>46.232999999999997</v>
      </c>
      <c r="S141" s="36">
        <v>46.667000000000002</v>
      </c>
      <c r="T141" s="36">
        <v>47.069000000000003</v>
      </c>
      <c r="U141" s="36">
        <v>47.438000000000002</v>
      </c>
      <c r="V141" s="36">
        <v>47.784999999999997</v>
      </c>
      <c r="W141" s="36">
        <v>48.125</v>
      </c>
      <c r="X141" s="36">
        <v>48.390999999999998</v>
      </c>
      <c r="Y141" s="36">
        <v>48.66</v>
      </c>
      <c r="Z141" s="36">
        <v>49.024000000000001</v>
      </c>
      <c r="AA141" s="36">
        <v>49.42</v>
      </c>
      <c r="AB141" s="36">
        <v>49.837000000000003</v>
      </c>
      <c r="AC141" s="36">
        <v>50.262999999999998</v>
      </c>
      <c r="AD141" s="36">
        <v>50.682000000000002</v>
      </c>
      <c r="AE141" s="36">
        <v>51.088999999999999</v>
      </c>
      <c r="AF141" s="36">
        <v>51.496000000000002</v>
      </c>
      <c r="AG141" s="36">
        <v>51.895000000000003</v>
      </c>
      <c r="AH141" s="36">
        <v>52.271999999999998</v>
      </c>
      <c r="AI141" s="36">
        <v>52.640999999999998</v>
      </c>
      <c r="AJ141" s="36">
        <v>53.017000000000003</v>
      </c>
      <c r="AK141" s="36">
        <v>53.387</v>
      </c>
      <c r="AL141" s="36">
        <v>53.756999999999998</v>
      </c>
      <c r="AM141" s="36">
        <v>54.134</v>
      </c>
      <c r="AN141" s="36">
        <v>54.5</v>
      </c>
      <c r="AO141" s="36">
        <v>54.850999999999999</v>
      </c>
      <c r="AP141" s="37">
        <v>55.185000000000002</v>
      </c>
      <c r="AQ141" s="37">
        <v>55.502000000000002</v>
      </c>
      <c r="AR141" s="37">
        <v>55.802999999999997</v>
      </c>
      <c r="AS141" s="37">
        <v>56.085000000000001</v>
      </c>
      <c r="AT141" s="37">
        <v>56.350999999999999</v>
      </c>
      <c r="AU141" s="37">
        <v>56.601999999999997</v>
      </c>
      <c r="AV141" s="37">
        <v>56.835999999999999</v>
      </c>
      <c r="AW141" s="37">
        <v>57.055</v>
      </c>
      <c r="AX141" s="37">
        <v>57.256999999999998</v>
      </c>
      <c r="AY141" s="37">
        <v>57.444000000000003</v>
      </c>
      <c r="AZ141" s="37">
        <v>57.616</v>
      </c>
      <c r="BA141" s="37">
        <v>57.774000000000001</v>
      </c>
      <c r="BB141" s="37">
        <v>57.92</v>
      </c>
      <c r="BC141" s="37">
        <v>58.052</v>
      </c>
      <c r="BD141" s="37">
        <v>58.17</v>
      </c>
      <c r="BE141" s="37">
        <v>58.274000000000001</v>
      </c>
      <c r="BF141" s="37">
        <v>58.366</v>
      </c>
      <c r="BG141" s="37">
        <v>58.442999999999998</v>
      </c>
      <c r="BH141" s="37">
        <v>58.506</v>
      </c>
      <c r="BI141" s="37">
        <v>58.558</v>
      </c>
      <c r="BJ141" s="37">
        <v>58.597000000000001</v>
      </c>
      <c r="BK141" s="37">
        <v>58.621000000000002</v>
      </c>
      <c r="BL141" s="37">
        <v>58.633000000000003</v>
      </c>
      <c r="BM141" s="37">
        <v>58.633000000000003</v>
      </c>
      <c r="BN141" s="37">
        <v>58.622999999999998</v>
      </c>
    </row>
    <row r="142" spans="1:66" x14ac:dyDescent="0.2">
      <c r="A142" s="2" t="s">
        <v>497</v>
      </c>
      <c r="B142" s="2" t="s">
        <v>498</v>
      </c>
      <c r="C142" s="11" t="s">
        <v>210</v>
      </c>
      <c r="D142" s="12" t="s">
        <v>697</v>
      </c>
      <c r="E142" s="35">
        <v>0.99999983833505801</v>
      </c>
      <c r="F142" s="36">
        <v>1.369</v>
      </c>
      <c r="G142" s="36">
        <v>1.4159999999999999</v>
      </c>
      <c r="H142" s="36">
        <v>1.4610000000000001</v>
      </c>
      <c r="I142" s="36">
        <v>1.5089999999999999</v>
      </c>
      <c r="J142" s="36">
        <v>1.556</v>
      </c>
      <c r="K142" s="36">
        <v>1.6020000000000001</v>
      </c>
      <c r="L142" s="36">
        <v>1.6459999999999999</v>
      </c>
      <c r="M142" s="36">
        <v>1.6890000000000001</v>
      </c>
      <c r="N142" s="36">
        <v>1.7330000000000001</v>
      </c>
      <c r="O142" s="36">
        <v>1.776</v>
      </c>
      <c r="P142" s="36">
        <v>1.819</v>
      </c>
      <c r="Q142" s="36">
        <v>1.857</v>
      </c>
      <c r="R142" s="36">
        <v>1.89</v>
      </c>
      <c r="S142" s="36">
        <v>1.917</v>
      </c>
      <c r="T142" s="36">
        <v>1.9419999999999999</v>
      </c>
      <c r="U142" s="36">
        <v>1.9670000000000001</v>
      </c>
      <c r="V142" s="36">
        <v>1.992</v>
      </c>
      <c r="W142" s="36">
        <v>2.0190000000000001</v>
      </c>
      <c r="X142" s="36">
        <v>2.0470000000000002</v>
      </c>
      <c r="Y142" s="36">
        <v>2.077</v>
      </c>
      <c r="Z142" s="36">
        <v>2.11</v>
      </c>
      <c r="AA142" s="36">
        <v>2.1459999999999999</v>
      </c>
      <c r="AB142" s="36">
        <v>2.1949999999999998</v>
      </c>
      <c r="AC142" s="36">
        <v>2.2530000000000001</v>
      </c>
      <c r="AD142" s="36">
        <v>2.3119999999999998</v>
      </c>
      <c r="AE142" s="36">
        <v>2.3740000000000001</v>
      </c>
      <c r="AF142" s="36">
        <v>2.4390000000000001</v>
      </c>
      <c r="AG142" s="36">
        <v>2.5070000000000001</v>
      </c>
      <c r="AH142" s="36">
        <v>2.577</v>
      </c>
      <c r="AI142" s="36">
        <v>2.65</v>
      </c>
      <c r="AJ142" s="36">
        <v>2.7290000000000001</v>
      </c>
      <c r="AK142" s="36">
        <v>2.8109999999999999</v>
      </c>
      <c r="AL142" s="36">
        <v>2.89</v>
      </c>
      <c r="AM142" s="36">
        <v>2.9630000000000001</v>
      </c>
      <c r="AN142" s="36">
        <v>3.03</v>
      </c>
      <c r="AO142" s="36">
        <v>3.093</v>
      </c>
      <c r="AP142" s="37">
        <v>3.153</v>
      </c>
      <c r="AQ142" s="37">
        <v>3.2130000000000001</v>
      </c>
      <c r="AR142" s="37">
        <v>3.2719999999999998</v>
      </c>
      <c r="AS142" s="37">
        <v>3.331</v>
      </c>
      <c r="AT142" s="37">
        <v>3.39</v>
      </c>
      <c r="AU142" s="37">
        <v>3.4489999999999998</v>
      </c>
      <c r="AV142" s="37">
        <v>3.508</v>
      </c>
      <c r="AW142" s="37">
        <v>3.5649999999999999</v>
      </c>
      <c r="AX142" s="37">
        <v>3.6219999999999999</v>
      </c>
      <c r="AY142" s="37">
        <v>3.6789999999999998</v>
      </c>
      <c r="AZ142" s="37">
        <v>3.7360000000000002</v>
      </c>
      <c r="BA142" s="37">
        <v>3.7930000000000001</v>
      </c>
      <c r="BB142" s="37">
        <v>3.85</v>
      </c>
      <c r="BC142" s="37">
        <v>3.907</v>
      </c>
      <c r="BD142" s="37">
        <v>3.9620000000000002</v>
      </c>
      <c r="BE142" s="37">
        <v>4.0179999999999998</v>
      </c>
      <c r="BF142" s="37">
        <v>4.0730000000000004</v>
      </c>
      <c r="BG142" s="37">
        <v>4.13</v>
      </c>
      <c r="BH142" s="37">
        <v>4.1859999999999999</v>
      </c>
      <c r="BI142" s="37">
        <v>4.2430000000000003</v>
      </c>
      <c r="BJ142" s="37">
        <v>4.3</v>
      </c>
      <c r="BK142" s="37">
        <v>4.3550000000000004</v>
      </c>
      <c r="BL142" s="37">
        <v>4.4089999999999998</v>
      </c>
      <c r="BM142" s="37">
        <v>4.4610000000000003</v>
      </c>
      <c r="BN142" s="37">
        <v>4.5119999999999996</v>
      </c>
    </row>
    <row r="143" spans="1:66" x14ac:dyDescent="0.2">
      <c r="A143" s="2" t="s">
        <v>499</v>
      </c>
      <c r="B143" s="2" t="s">
        <v>500</v>
      </c>
      <c r="C143" s="11" t="s">
        <v>79</v>
      </c>
      <c r="D143" s="12" t="s">
        <v>697</v>
      </c>
      <c r="E143" s="35">
        <v>0.99995842168724802</v>
      </c>
      <c r="F143" s="36">
        <v>0.01</v>
      </c>
      <c r="G143" s="36">
        <v>0.01</v>
      </c>
      <c r="H143" s="36">
        <v>0.01</v>
      </c>
      <c r="I143" s="36">
        <v>0.01</v>
      </c>
      <c r="J143" s="36">
        <v>0.01</v>
      </c>
      <c r="K143" s="36">
        <v>0.01</v>
      </c>
      <c r="L143" s="36">
        <v>0.01</v>
      </c>
      <c r="M143" s="36">
        <v>0.01</v>
      </c>
      <c r="N143" s="36">
        <v>0.01</v>
      </c>
      <c r="O143" s="36">
        <v>0.01</v>
      </c>
      <c r="P143" s="36">
        <v>0.01</v>
      </c>
      <c r="Q143" s="36">
        <v>0.01</v>
      </c>
      <c r="R143" s="36">
        <v>0.01</v>
      </c>
      <c r="S143" s="36">
        <v>0.01</v>
      </c>
      <c r="T143" s="36">
        <v>0.01</v>
      </c>
      <c r="U143" s="36">
        <v>0.01</v>
      </c>
      <c r="V143" s="36">
        <v>0.01</v>
      </c>
      <c r="W143" s="36">
        <v>0.01</v>
      </c>
      <c r="X143" s="36">
        <v>0.01</v>
      </c>
      <c r="Y143" s="36">
        <v>0.01</v>
      </c>
      <c r="Z143" s="36">
        <v>0.01</v>
      </c>
      <c r="AA143" s="36">
        <v>0.01</v>
      </c>
      <c r="AB143" s="36">
        <v>0.01</v>
      </c>
      <c r="AC143" s="36">
        <v>1.0999999999999999E-2</v>
      </c>
      <c r="AD143" s="36">
        <v>1.0999999999999999E-2</v>
      </c>
      <c r="AE143" s="36">
        <v>1.0999999999999999E-2</v>
      </c>
      <c r="AF143" s="36">
        <v>1.0999999999999999E-2</v>
      </c>
      <c r="AG143" s="36">
        <v>1.0999999999999999E-2</v>
      </c>
      <c r="AH143" s="36">
        <v>1.0999999999999999E-2</v>
      </c>
      <c r="AI143" s="36">
        <v>1.2E-2</v>
      </c>
      <c r="AJ143" s="36">
        <v>1.2E-2</v>
      </c>
      <c r="AK143" s="36">
        <v>1.2E-2</v>
      </c>
      <c r="AL143" s="36">
        <v>1.2E-2</v>
      </c>
      <c r="AM143" s="36">
        <v>1.2E-2</v>
      </c>
      <c r="AN143" s="36">
        <v>1.2E-2</v>
      </c>
      <c r="AO143" s="36">
        <v>1.2E-2</v>
      </c>
      <c r="AP143" s="37">
        <v>1.2E-2</v>
      </c>
      <c r="AQ143" s="37">
        <v>1.2E-2</v>
      </c>
      <c r="AR143" s="37">
        <v>1.2E-2</v>
      </c>
      <c r="AS143" s="37">
        <v>1.2E-2</v>
      </c>
      <c r="AT143" s="37">
        <v>1.2999999999999999E-2</v>
      </c>
      <c r="AU143" s="37">
        <v>1.2999999999999999E-2</v>
      </c>
      <c r="AV143" s="37">
        <v>1.2999999999999999E-2</v>
      </c>
      <c r="AW143" s="37">
        <v>1.2999999999999999E-2</v>
      </c>
      <c r="AX143" s="37">
        <v>1.2999999999999999E-2</v>
      </c>
      <c r="AY143" s="37">
        <v>1.2999999999999999E-2</v>
      </c>
      <c r="AZ143" s="37">
        <v>1.2999999999999999E-2</v>
      </c>
      <c r="BA143" s="37">
        <v>1.4E-2</v>
      </c>
      <c r="BB143" s="37">
        <v>1.4E-2</v>
      </c>
      <c r="BC143" s="37">
        <v>1.4E-2</v>
      </c>
      <c r="BD143" s="37">
        <v>1.4E-2</v>
      </c>
      <c r="BE143" s="37">
        <v>1.4E-2</v>
      </c>
      <c r="BF143" s="37">
        <v>1.4E-2</v>
      </c>
      <c r="BG143" s="37">
        <v>1.4999999999999999E-2</v>
      </c>
      <c r="BH143" s="37">
        <v>1.4999999999999999E-2</v>
      </c>
      <c r="BI143" s="37">
        <v>1.4999999999999999E-2</v>
      </c>
      <c r="BJ143" s="37">
        <v>1.4999999999999999E-2</v>
      </c>
      <c r="BK143" s="37">
        <v>1.4999999999999999E-2</v>
      </c>
      <c r="BL143" s="37">
        <v>1.4999999999999999E-2</v>
      </c>
      <c r="BM143" s="37">
        <v>1.6E-2</v>
      </c>
      <c r="BN143" s="37">
        <v>1.6E-2</v>
      </c>
    </row>
    <row r="144" spans="1:66" x14ac:dyDescent="0.2">
      <c r="A144" s="2" t="s">
        <v>501</v>
      </c>
      <c r="B144" s="2" t="s">
        <v>502</v>
      </c>
      <c r="C144" s="11" t="s">
        <v>210</v>
      </c>
      <c r="D144" s="12" t="s">
        <v>697</v>
      </c>
      <c r="E144" s="35">
        <v>1.0000000168815599</v>
      </c>
      <c r="F144" s="36">
        <v>19.524999999999999</v>
      </c>
      <c r="G144" s="36">
        <v>20.036999999999999</v>
      </c>
      <c r="H144" s="36">
        <v>20.61</v>
      </c>
      <c r="I144" s="36">
        <v>21.18</v>
      </c>
      <c r="J144" s="36">
        <v>21.716999999999999</v>
      </c>
      <c r="K144" s="36">
        <v>22.245000000000001</v>
      </c>
      <c r="L144" s="36">
        <v>22.742000000000001</v>
      </c>
      <c r="M144" s="36">
        <v>23.219000000000001</v>
      </c>
      <c r="N144" s="36">
        <v>23.68</v>
      </c>
      <c r="O144" s="36">
        <v>24.125</v>
      </c>
      <c r="P144" s="36">
        <v>24.547000000000001</v>
      </c>
      <c r="Q144" s="36">
        <v>24.946999999999999</v>
      </c>
      <c r="R144" s="36">
        <v>25.329000000000001</v>
      </c>
      <c r="S144" s="36">
        <v>25.689</v>
      </c>
      <c r="T144" s="36">
        <v>26.016999999999999</v>
      </c>
      <c r="U144" s="36">
        <v>26.309000000000001</v>
      </c>
      <c r="V144" s="36">
        <v>26.565000000000001</v>
      </c>
      <c r="W144" s="36">
        <v>26.788</v>
      </c>
      <c r="X144" s="36">
        <v>26.99</v>
      </c>
      <c r="Y144" s="36">
        <v>27.172999999999998</v>
      </c>
      <c r="Z144" s="36">
        <v>27.341999999999999</v>
      </c>
      <c r="AA144" s="36">
        <v>27.463999999999999</v>
      </c>
      <c r="AB144" s="36">
        <v>27.535</v>
      </c>
      <c r="AC144" s="36">
        <v>27.59</v>
      </c>
      <c r="AD144" s="36">
        <v>27.672000000000001</v>
      </c>
      <c r="AE144" s="36">
        <v>27.824000000000002</v>
      </c>
      <c r="AF144" s="36">
        <v>27.954999999999998</v>
      </c>
      <c r="AG144" s="36">
        <v>28.010999999999999</v>
      </c>
      <c r="AH144" s="36">
        <v>28.08</v>
      </c>
      <c r="AI144" s="36">
        <v>28.414000000000001</v>
      </c>
      <c r="AJ144" s="36">
        <v>28.966999999999999</v>
      </c>
      <c r="AK144" s="36">
        <v>29.475000000000001</v>
      </c>
      <c r="AL144" s="36">
        <v>29.715</v>
      </c>
      <c r="AM144" s="36">
        <v>29.695</v>
      </c>
      <c r="AN144" s="36">
        <v>29.651</v>
      </c>
      <c r="AO144" s="36">
        <v>29.617999999999999</v>
      </c>
      <c r="AP144" s="37">
        <v>29.629000000000001</v>
      </c>
      <c r="AQ144" s="37">
        <v>29.727</v>
      </c>
      <c r="AR144" s="37">
        <v>29.948</v>
      </c>
      <c r="AS144" s="37">
        <v>30.231999999999999</v>
      </c>
      <c r="AT144" s="37">
        <v>30.51</v>
      </c>
      <c r="AU144" s="37">
        <v>30.780999999999999</v>
      </c>
      <c r="AV144" s="37">
        <v>31.045000000000002</v>
      </c>
      <c r="AW144" s="37">
        <v>31.303999999999998</v>
      </c>
      <c r="AX144" s="37">
        <v>31.555</v>
      </c>
      <c r="AY144" s="37">
        <v>31.797999999999998</v>
      </c>
      <c r="AZ144" s="37">
        <v>32.033999999999999</v>
      </c>
      <c r="BA144" s="37">
        <v>32.262</v>
      </c>
      <c r="BB144" s="37">
        <v>32.484999999999999</v>
      </c>
      <c r="BC144" s="37">
        <v>32.701000000000001</v>
      </c>
      <c r="BD144" s="37">
        <v>32.909999999999997</v>
      </c>
      <c r="BE144" s="37">
        <v>33.112000000000002</v>
      </c>
      <c r="BF144" s="37">
        <v>33.308999999999997</v>
      </c>
      <c r="BG144" s="37">
        <v>33.499000000000002</v>
      </c>
      <c r="BH144" s="37">
        <v>33.683</v>
      </c>
      <c r="BI144" s="37">
        <v>33.860999999999997</v>
      </c>
      <c r="BJ144" s="37">
        <v>34.033000000000001</v>
      </c>
      <c r="BK144" s="37">
        <v>34.197000000000003</v>
      </c>
      <c r="BL144" s="37">
        <v>34.351999999999997</v>
      </c>
      <c r="BM144" s="37">
        <v>34.5</v>
      </c>
      <c r="BN144" s="37">
        <v>34.642000000000003</v>
      </c>
    </row>
    <row r="145" spans="1:66" x14ac:dyDescent="0.2">
      <c r="A145" s="2" t="s">
        <v>503</v>
      </c>
      <c r="B145" s="2" t="s">
        <v>504</v>
      </c>
      <c r="C145" s="11" t="s">
        <v>79</v>
      </c>
      <c r="D145" s="12" t="s">
        <v>697</v>
      </c>
      <c r="E145" s="35">
        <v>0.98587297340209201</v>
      </c>
      <c r="F145" s="36">
        <v>14.952</v>
      </c>
      <c r="G145" s="36">
        <v>15.07</v>
      </c>
      <c r="H145" s="36">
        <v>15.183999999999999</v>
      </c>
      <c r="I145" s="36">
        <v>15.29</v>
      </c>
      <c r="J145" s="36">
        <v>15.382999999999999</v>
      </c>
      <c r="K145" s="36">
        <v>15.459</v>
      </c>
      <c r="L145" s="36">
        <v>15.53</v>
      </c>
      <c r="M145" s="36">
        <v>15.611000000000001</v>
      </c>
      <c r="N145" s="36">
        <v>15.707000000000001</v>
      </c>
      <c r="O145" s="36">
        <v>15.811999999999999</v>
      </c>
      <c r="P145" s="36">
        <v>15.926</v>
      </c>
      <c r="Q145" s="36">
        <v>16.045999999999999</v>
      </c>
      <c r="R145" s="36">
        <v>16.149000000000001</v>
      </c>
      <c r="S145" s="36">
        <v>16.225000000000001</v>
      </c>
      <c r="T145" s="36">
        <v>16.282</v>
      </c>
      <c r="U145" s="36">
        <v>16.32</v>
      </c>
      <c r="V145" s="36">
        <v>16.346</v>
      </c>
      <c r="W145" s="36">
        <v>16.382000000000001</v>
      </c>
      <c r="X145" s="36">
        <v>16.446000000000002</v>
      </c>
      <c r="Y145" s="36">
        <v>16.53</v>
      </c>
      <c r="Z145" s="36">
        <v>16.614999999999998</v>
      </c>
      <c r="AA145" s="36">
        <v>16.693000000000001</v>
      </c>
      <c r="AB145" s="36">
        <v>16.754999999999999</v>
      </c>
      <c r="AC145" s="36">
        <v>16.803999999999998</v>
      </c>
      <c r="AD145" s="36">
        <v>16.864999999999998</v>
      </c>
      <c r="AE145" s="36">
        <v>16.940000000000001</v>
      </c>
      <c r="AF145" s="36">
        <v>17.03</v>
      </c>
      <c r="AG145" s="36">
        <v>17.131</v>
      </c>
      <c r="AH145" s="36">
        <v>17.231999999999999</v>
      </c>
      <c r="AI145" s="36">
        <v>17.344999999999999</v>
      </c>
      <c r="AJ145" s="36">
        <v>17.442</v>
      </c>
      <c r="AK145" s="36">
        <v>17.533000000000001</v>
      </c>
      <c r="AL145" s="36">
        <v>17.701000000000001</v>
      </c>
      <c r="AM145" s="36">
        <v>17.876999999999999</v>
      </c>
      <c r="AN145" s="36">
        <v>17.992999999999999</v>
      </c>
      <c r="AO145" s="36">
        <v>18.088000000000001</v>
      </c>
      <c r="AP145" s="37">
        <v>18.187999999999999</v>
      </c>
      <c r="AQ145" s="37">
        <v>18.276</v>
      </c>
      <c r="AR145" s="37">
        <v>18.356000000000002</v>
      </c>
      <c r="AS145" s="37">
        <v>18.428000000000001</v>
      </c>
      <c r="AT145" s="37">
        <v>18.492000000000001</v>
      </c>
      <c r="AU145" s="37">
        <v>18.547999999999998</v>
      </c>
      <c r="AV145" s="37">
        <v>18.597000000000001</v>
      </c>
      <c r="AW145" s="37">
        <v>18.640999999999998</v>
      </c>
      <c r="AX145" s="37">
        <v>18.678999999999998</v>
      </c>
      <c r="AY145" s="37">
        <v>18.709</v>
      </c>
      <c r="AZ145" s="37">
        <v>18.736000000000001</v>
      </c>
      <c r="BA145" s="37">
        <v>18.757999999999999</v>
      </c>
      <c r="BB145" s="37">
        <v>18.774000000000001</v>
      </c>
      <c r="BC145" s="37">
        <v>18.786000000000001</v>
      </c>
      <c r="BD145" s="37">
        <v>18.794</v>
      </c>
      <c r="BE145" s="37">
        <v>18.797000000000001</v>
      </c>
      <c r="BF145" s="37">
        <v>18.795999999999999</v>
      </c>
      <c r="BG145" s="37">
        <v>18.791</v>
      </c>
      <c r="BH145" s="37">
        <v>18.783999999999999</v>
      </c>
      <c r="BI145" s="37">
        <v>18.773</v>
      </c>
      <c r="BJ145" s="37">
        <v>18.762</v>
      </c>
      <c r="BK145" s="37">
        <v>18.748000000000001</v>
      </c>
      <c r="BL145" s="37">
        <v>18.73</v>
      </c>
      <c r="BM145" s="37">
        <v>18.710999999999999</v>
      </c>
      <c r="BN145" s="37">
        <v>18.690999999999999</v>
      </c>
    </row>
    <row r="146" spans="1:66" x14ac:dyDescent="0.2">
      <c r="A146" s="2" t="s">
        <v>505</v>
      </c>
      <c r="B146" s="2" t="s">
        <v>506</v>
      </c>
      <c r="C146" s="11" t="s">
        <v>79</v>
      </c>
      <c r="D146" s="12" t="s">
        <v>697</v>
      </c>
      <c r="E146" s="35">
        <v>1</v>
      </c>
      <c r="F146" s="36">
        <v>0.17599999999999999</v>
      </c>
      <c r="G146" s="36">
        <v>0.18099999999999999</v>
      </c>
      <c r="H146" s="36">
        <v>0.186</v>
      </c>
      <c r="I146" s="36">
        <v>0.191</v>
      </c>
      <c r="J146" s="36">
        <v>0.19600000000000001</v>
      </c>
      <c r="K146" s="36">
        <v>0.2</v>
      </c>
      <c r="L146" s="36">
        <v>0.20499999999999999</v>
      </c>
      <c r="M146" s="36">
        <v>0.21</v>
      </c>
      <c r="N146" s="36">
        <v>0.214</v>
      </c>
      <c r="O146" s="36">
        <v>0.219</v>
      </c>
      <c r="P146" s="36">
        <v>0.223</v>
      </c>
      <c r="Q146" s="36">
        <v>0.22800000000000001</v>
      </c>
      <c r="R146" s="36">
        <v>0.23200000000000001</v>
      </c>
      <c r="S146" s="36">
        <v>0.23699999999999999</v>
      </c>
      <c r="T146" s="36">
        <v>0.24099999999999999</v>
      </c>
      <c r="U146" s="36">
        <v>0.24399999999999999</v>
      </c>
      <c r="V146" s="36">
        <v>0.248</v>
      </c>
      <c r="W146" s="36">
        <v>0.251</v>
      </c>
      <c r="X146" s="36">
        <v>0.254</v>
      </c>
      <c r="Y146" s="36">
        <v>0.25700000000000001</v>
      </c>
      <c r="Z146" s="36">
        <v>0.26200000000000001</v>
      </c>
      <c r="AA146" s="36">
        <v>0.26700000000000002</v>
      </c>
      <c r="AB146" s="36">
        <v>0.27200000000000002</v>
      </c>
      <c r="AC146" s="36">
        <v>0.27700000000000002</v>
      </c>
      <c r="AD146" s="36">
        <v>0.28100000000000003</v>
      </c>
      <c r="AE146" s="36">
        <v>0.28299999999999997</v>
      </c>
      <c r="AF146" s="36">
        <v>0.28299999999999997</v>
      </c>
      <c r="AG146" s="36">
        <v>0.28399999999999997</v>
      </c>
      <c r="AH146" s="36">
        <v>0.28399999999999997</v>
      </c>
      <c r="AI146" s="36">
        <v>0.28399999999999997</v>
      </c>
      <c r="AJ146" s="36">
        <v>0.28399999999999997</v>
      </c>
      <c r="AK146" s="36">
        <v>0.28499999999999998</v>
      </c>
      <c r="AL146" s="36">
        <v>0.28699999999999998</v>
      </c>
      <c r="AM146" s="36">
        <v>0.28999999999999998</v>
      </c>
      <c r="AN146" s="36">
        <v>0.29299999999999998</v>
      </c>
      <c r="AO146" s="36">
        <v>0.29499999999999998</v>
      </c>
      <c r="AP146" s="37">
        <v>0.29799999999999999</v>
      </c>
      <c r="AQ146" s="37">
        <v>0.3</v>
      </c>
      <c r="AR146" s="37">
        <v>0.30299999999999999</v>
      </c>
      <c r="AS146" s="37">
        <v>0.30499999999999999</v>
      </c>
      <c r="AT146" s="37">
        <v>0.308</v>
      </c>
      <c r="AU146" s="37">
        <v>0.31</v>
      </c>
      <c r="AV146" s="37">
        <v>0.312</v>
      </c>
      <c r="AW146" s="37">
        <v>0.314</v>
      </c>
      <c r="AX146" s="37">
        <v>0.316</v>
      </c>
      <c r="AY146" s="37">
        <v>0.318</v>
      </c>
      <c r="AZ146" s="37">
        <v>0.32</v>
      </c>
      <c r="BA146" s="37">
        <v>0.32200000000000001</v>
      </c>
      <c r="BB146" s="37">
        <v>0.32400000000000001</v>
      </c>
      <c r="BC146" s="37">
        <v>0.32600000000000001</v>
      </c>
      <c r="BD146" s="37">
        <v>0.32700000000000001</v>
      </c>
      <c r="BE146" s="37">
        <v>0.32900000000000001</v>
      </c>
      <c r="BF146" s="37">
        <v>0.33100000000000002</v>
      </c>
      <c r="BG146" s="37">
        <v>0.33200000000000002</v>
      </c>
      <c r="BH146" s="37">
        <v>0.33400000000000002</v>
      </c>
      <c r="BI146" s="37">
        <v>0.33500000000000002</v>
      </c>
      <c r="BJ146" s="37">
        <v>0.33600000000000002</v>
      </c>
      <c r="BK146" s="37">
        <v>0.33800000000000002</v>
      </c>
      <c r="BL146" s="37">
        <v>0.33900000000000002</v>
      </c>
      <c r="BM146" s="37">
        <v>0.34</v>
      </c>
      <c r="BN146" s="37">
        <v>0.34100000000000003</v>
      </c>
    </row>
    <row r="147" spans="1:66" x14ac:dyDescent="0.2">
      <c r="A147" s="2" t="s">
        <v>508</v>
      </c>
      <c r="B147" s="2" t="s">
        <v>509</v>
      </c>
      <c r="C147" s="11" t="s">
        <v>79</v>
      </c>
      <c r="D147" s="12" t="s">
        <v>697</v>
      </c>
      <c r="E147" s="35">
        <v>1.0138618431161801</v>
      </c>
      <c r="F147" s="36">
        <v>3.33</v>
      </c>
      <c r="G147" s="36">
        <v>3.4950000000000001</v>
      </c>
      <c r="H147" s="36">
        <v>3.532</v>
      </c>
      <c r="I147" s="36">
        <v>3.5720000000000001</v>
      </c>
      <c r="J147" s="36">
        <v>3.62</v>
      </c>
      <c r="K147" s="36">
        <v>3.673</v>
      </c>
      <c r="L147" s="36">
        <v>3.7320000000000002</v>
      </c>
      <c r="M147" s="36">
        <v>3.7810000000000001</v>
      </c>
      <c r="N147" s="36">
        <v>3.8149999999999999</v>
      </c>
      <c r="O147" s="36">
        <v>3.835</v>
      </c>
      <c r="P147" s="36">
        <v>3.8580000000000001</v>
      </c>
      <c r="Q147" s="36">
        <v>3.8809999999999998</v>
      </c>
      <c r="R147" s="36">
        <v>3.9489999999999998</v>
      </c>
      <c r="S147" s="36">
        <v>4.0270000000000001</v>
      </c>
      <c r="T147" s="36">
        <v>4.0880000000000001</v>
      </c>
      <c r="U147" s="36">
        <v>4.1340000000000003</v>
      </c>
      <c r="V147" s="36">
        <v>4.1849999999999996</v>
      </c>
      <c r="W147" s="36">
        <v>4.2240000000000002</v>
      </c>
      <c r="X147" s="36">
        <v>4.26</v>
      </c>
      <c r="Y147" s="36">
        <v>4.3029999999999999</v>
      </c>
      <c r="Z147" s="36">
        <v>4.351</v>
      </c>
      <c r="AA147" s="36">
        <v>4.3840000000000003</v>
      </c>
      <c r="AB147" s="36">
        <v>4.4080000000000004</v>
      </c>
      <c r="AC147" s="36">
        <v>4.4420000000000002</v>
      </c>
      <c r="AD147" s="36">
        <v>4.516</v>
      </c>
      <c r="AE147" s="36">
        <v>4.609</v>
      </c>
      <c r="AF147" s="36">
        <v>4.7140000000000004</v>
      </c>
      <c r="AG147" s="36">
        <v>4.8140000000000001</v>
      </c>
      <c r="AH147" s="36">
        <v>4.9009999999999998</v>
      </c>
      <c r="AI147" s="36">
        <v>4.97</v>
      </c>
      <c r="AJ147" s="36">
        <v>5.0720000000000001</v>
      </c>
      <c r="AK147" s="36">
        <v>5.085</v>
      </c>
      <c r="AL147" s="36">
        <v>5.0819999999999999</v>
      </c>
      <c r="AM147" s="36">
        <v>5.2</v>
      </c>
      <c r="AN147" s="36">
        <v>5.29</v>
      </c>
      <c r="AO147" s="36">
        <v>5.3250000000000002</v>
      </c>
      <c r="AP147" s="37">
        <v>5.3609999999999998</v>
      </c>
      <c r="AQ147" s="37">
        <v>5.3949999999999996</v>
      </c>
      <c r="AR147" s="37">
        <v>5.4260000000000002</v>
      </c>
      <c r="AS147" s="37">
        <v>5.4550000000000001</v>
      </c>
      <c r="AT147" s="37">
        <v>5.4820000000000002</v>
      </c>
      <c r="AU147" s="37">
        <v>5.508</v>
      </c>
      <c r="AV147" s="37">
        <v>5.532</v>
      </c>
      <c r="AW147" s="37">
        <v>5.5549999999999997</v>
      </c>
      <c r="AX147" s="37">
        <v>5.5759999999999996</v>
      </c>
      <c r="AY147" s="37">
        <v>5.5970000000000004</v>
      </c>
      <c r="AZ147" s="37">
        <v>5.6180000000000003</v>
      </c>
      <c r="BA147" s="37">
        <v>5.6369999999999996</v>
      </c>
      <c r="BB147" s="37">
        <v>5.657</v>
      </c>
      <c r="BC147" s="37">
        <v>5.6769999999999996</v>
      </c>
      <c r="BD147" s="37">
        <v>5.6950000000000003</v>
      </c>
      <c r="BE147" s="37">
        <v>5.7140000000000004</v>
      </c>
      <c r="BF147" s="37">
        <v>5.7320000000000002</v>
      </c>
      <c r="BG147" s="37">
        <v>5.75</v>
      </c>
      <c r="BH147" s="37">
        <v>5.7649999999999997</v>
      </c>
      <c r="BI147" s="37">
        <v>5.78</v>
      </c>
      <c r="BJ147" s="37">
        <v>5.7930000000000001</v>
      </c>
      <c r="BK147" s="37">
        <v>5.8040000000000003</v>
      </c>
      <c r="BL147" s="37">
        <v>5.8150000000000004</v>
      </c>
      <c r="BM147" s="37">
        <v>5.8250000000000002</v>
      </c>
      <c r="BN147" s="37">
        <v>5.835</v>
      </c>
    </row>
    <row r="148" spans="1:66" x14ac:dyDescent="0.2">
      <c r="A148" s="2" t="s">
        <v>511</v>
      </c>
      <c r="B148" s="2" t="s">
        <v>512</v>
      </c>
      <c r="C148" s="11" t="s">
        <v>210</v>
      </c>
      <c r="D148" s="12" t="s">
        <v>697</v>
      </c>
      <c r="E148" s="35">
        <v>1</v>
      </c>
      <c r="F148" s="36">
        <v>4.1630000000000003</v>
      </c>
      <c r="G148" s="36">
        <v>4.26</v>
      </c>
      <c r="H148" s="36">
        <v>4.3570000000000002</v>
      </c>
      <c r="I148" s="36">
        <v>4.4539999999999997</v>
      </c>
      <c r="J148" s="36">
        <v>4.5490000000000004</v>
      </c>
      <c r="K148" s="36">
        <v>4.6429999999999998</v>
      </c>
      <c r="L148" s="36">
        <v>4.7300000000000004</v>
      </c>
      <c r="M148" s="36">
        <v>4.8099999999999996</v>
      </c>
      <c r="N148" s="36">
        <v>4.8840000000000003</v>
      </c>
      <c r="O148" s="36">
        <v>4.9539999999999997</v>
      </c>
      <c r="P148" s="36">
        <v>5.0229999999999997</v>
      </c>
      <c r="Q148" s="36">
        <v>5.0880000000000001</v>
      </c>
      <c r="R148" s="36">
        <v>5.15</v>
      </c>
      <c r="S148" s="36">
        <v>5.2110000000000003</v>
      </c>
      <c r="T148" s="36">
        <v>5.2729999999999997</v>
      </c>
      <c r="U148" s="36">
        <v>5.3419999999999996</v>
      </c>
      <c r="V148" s="36">
        <v>5.4189999999999996</v>
      </c>
      <c r="W148" s="36">
        <v>5.4969999999999999</v>
      </c>
      <c r="X148" s="36">
        <v>5.577</v>
      </c>
      <c r="Y148" s="36">
        <v>5.657</v>
      </c>
      <c r="Z148" s="36">
        <v>5.7370000000000001</v>
      </c>
      <c r="AA148" s="36">
        <v>5.819</v>
      </c>
      <c r="AB148" s="36">
        <v>5.9009999999999998</v>
      </c>
      <c r="AC148" s="36">
        <v>5.984</v>
      </c>
      <c r="AD148" s="36">
        <v>6.0659999999999998</v>
      </c>
      <c r="AE148" s="36">
        <v>6.149</v>
      </c>
      <c r="AF148" s="36">
        <v>6.2329999999999997</v>
      </c>
      <c r="AG148" s="36">
        <v>6.3159999999999998</v>
      </c>
      <c r="AH148" s="36">
        <v>6.4</v>
      </c>
      <c r="AI148" s="36">
        <v>6.484</v>
      </c>
      <c r="AJ148" s="36">
        <v>6.5650000000000004</v>
      </c>
      <c r="AK148" s="36">
        <v>6.6449999999999996</v>
      </c>
      <c r="AL148" s="36">
        <v>6.7309999999999999</v>
      </c>
      <c r="AM148" s="36">
        <v>6.8239999999999998</v>
      </c>
      <c r="AN148" s="36">
        <v>6.9160000000000004</v>
      </c>
      <c r="AO148" s="36">
        <v>7.008</v>
      </c>
      <c r="AP148" s="37">
        <v>7.0970000000000004</v>
      </c>
      <c r="AQ148" s="37">
        <v>7.1859999999999999</v>
      </c>
      <c r="AR148" s="37">
        <v>7.2729999999999997</v>
      </c>
      <c r="AS148" s="37">
        <v>7.3579999999999997</v>
      </c>
      <c r="AT148" s="37">
        <v>7.4420000000000002</v>
      </c>
      <c r="AU148" s="37">
        <v>7.524</v>
      </c>
      <c r="AV148" s="37">
        <v>7.6040000000000001</v>
      </c>
      <c r="AW148" s="37">
        <v>7.6829999999999998</v>
      </c>
      <c r="AX148" s="37">
        <v>7.7610000000000001</v>
      </c>
      <c r="AY148" s="37">
        <v>7.8369999999999997</v>
      </c>
      <c r="AZ148" s="37">
        <v>7.9109999999999996</v>
      </c>
      <c r="BA148" s="37">
        <v>7.9829999999999997</v>
      </c>
      <c r="BB148" s="37">
        <v>8.0540000000000003</v>
      </c>
      <c r="BC148" s="37">
        <v>8.1229999999999993</v>
      </c>
      <c r="BD148" s="37">
        <v>8.19</v>
      </c>
      <c r="BE148" s="37">
        <v>8.2550000000000008</v>
      </c>
      <c r="BF148" s="37">
        <v>8.3190000000000008</v>
      </c>
      <c r="BG148" s="37">
        <v>8.3800000000000008</v>
      </c>
      <c r="BH148" s="37">
        <v>8.44</v>
      </c>
      <c r="BI148" s="37">
        <v>8.4979999999999993</v>
      </c>
      <c r="BJ148" s="37">
        <v>8.5530000000000008</v>
      </c>
      <c r="BK148" s="37">
        <v>8.6069999999999993</v>
      </c>
      <c r="BL148" s="37">
        <v>8.6590000000000007</v>
      </c>
      <c r="BM148" s="37">
        <v>8.7089999999999996</v>
      </c>
      <c r="BN148" s="37">
        <v>8.7560000000000002</v>
      </c>
    </row>
    <row r="149" spans="1:66" x14ac:dyDescent="0.2">
      <c r="A149" s="2" t="s">
        <v>513</v>
      </c>
      <c r="B149" s="2" t="s">
        <v>514</v>
      </c>
      <c r="C149" s="11" t="s">
        <v>75</v>
      </c>
      <c r="D149" s="12" t="s">
        <v>697</v>
      </c>
      <c r="E149" s="35">
        <v>1</v>
      </c>
      <c r="F149" s="36">
        <v>8.2859999999999996</v>
      </c>
      <c r="G149" s="36">
        <v>8.5470000000000006</v>
      </c>
      <c r="H149" s="36">
        <v>8.8179999999999996</v>
      </c>
      <c r="I149" s="36">
        <v>9.1010000000000009</v>
      </c>
      <c r="J149" s="36">
        <v>9.3979999999999997</v>
      </c>
      <c r="K149" s="36">
        <v>9.7149999999999999</v>
      </c>
      <c r="L149" s="36">
        <v>10.045</v>
      </c>
      <c r="M149" s="36">
        <v>10.384</v>
      </c>
      <c r="N149" s="36">
        <v>10.741</v>
      </c>
      <c r="O149" s="36">
        <v>11.117000000000001</v>
      </c>
      <c r="P149" s="36">
        <v>11.51</v>
      </c>
      <c r="Q149" s="36">
        <v>11.920999999999999</v>
      </c>
      <c r="R149" s="36">
        <v>12.349</v>
      </c>
      <c r="S149" s="36">
        <v>12.797000000000001</v>
      </c>
      <c r="T149" s="36">
        <v>13.266</v>
      </c>
      <c r="U149" s="36">
        <v>13.756</v>
      </c>
      <c r="V149" s="36">
        <v>14.269</v>
      </c>
      <c r="W149" s="36">
        <v>14.804</v>
      </c>
      <c r="X149" s="36">
        <v>15.362</v>
      </c>
      <c r="Y149" s="36">
        <v>15.944000000000001</v>
      </c>
      <c r="Z149" s="36">
        <v>16.548999999999999</v>
      </c>
      <c r="AA149" s="36">
        <v>17.175999999999998</v>
      </c>
      <c r="AB149" s="36">
        <v>17.837</v>
      </c>
      <c r="AC149" s="36">
        <v>18.52</v>
      </c>
      <c r="AD149" s="36">
        <v>19.216000000000001</v>
      </c>
      <c r="AE149" s="36">
        <v>19.939</v>
      </c>
      <c r="AF149" s="36">
        <v>20.686</v>
      </c>
      <c r="AG149" s="36">
        <v>21.434999999999999</v>
      </c>
      <c r="AH149" s="36">
        <v>22.187999999999999</v>
      </c>
      <c r="AI149" s="36">
        <v>22.948</v>
      </c>
      <c r="AJ149" s="36">
        <v>23.718</v>
      </c>
      <c r="AK149" s="36">
        <v>24.501999999999999</v>
      </c>
      <c r="AL149" s="36">
        <v>25.312000000000001</v>
      </c>
      <c r="AM149" s="36">
        <v>26.16</v>
      </c>
      <c r="AN149" s="36">
        <v>27.032</v>
      </c>
      <c r="AO149" s="36">
        <v>27.917999999999999</v>
      </c>
      <c r="AP149" s="37">
        <v>28.815000000000001</v>
      </c>
      <c r="AQ149" s="37">
        <v>29.724</v>
      </c>
      <c r="AR149" s="37">
        <v>30.643999999999998</v>
      </c>
      <c r="AS149" s="37">
        <v>31.574999999999999</v>
      </c>
      <c r="AT149" s="37">
        <v>32.518000000000001</v>
      </c>
      <c r="AU149" s="37">
        <v>33.47</v>
      </c>
      <c r="AV149" s="37">
        <v>34.429000000000002</v>
      </c>
      <c r="AW149" s="37">
        <v>35.396999999999998</v>
      </c>
      <c r="AX149" s="37">
        <v>36.372</v>
      </c>
      <c r="AY149" s="37">
        <v>37.353000000000002</v>
      </c>
      <c r="AZ149" s="37">
        <v>38.340000000000003</v>
      </c>
      <c r="BA149" s="37">
        <v>39.33</v>
      </c>
      <c r="BB149" s="37">
        <v>40.323</v>
      </c>
      <c r="BC149" s="37">
        <v>41.317999999999998</v>
      </c>
      <c r="BD149" s="37">
        <v>42.317</v>
      </c>
      <c r="BE149" s="37">
        <v>43.319000000000003</v>
      </c>
      <c r="BF149" s="37">
        <v>44.326000000000001</v>
      </c>
      <c r="BG149" s="37">
        <v>45.337000000000003</v>
      </c>
      <c r="BH149" s="37">
        <v>46.353000000000002</v>
      </c>
      <c r="BI149" s="37">
        <v>47.374000000000002</v>
      </c>
      <c r="BJ149" s="37">
        <v>48.398000000000003</v>
      </c>
      <c r="BK149" s="37">
        <v>49.423999999999999</v>
      </c>
      <c r="BL149" s="37">
        <v>50.451999999999998</v>
      </c>
      <c r="BM149" s="37">
        <v>51.482999999999997</v>
      </c>
      <c r="BN149" s="37">
        <v>52.514000000000003</v>
      </c>
    </row>
    <row r="150" spans="1:66" x14ac:dyDescent="0.2">
      <c r="A150" s="2" t="s">
        <v>515</v>
      </c>
      <c r="B150" s="2" t="s">
        <v>516</v>
      </c>
      <c r="C150" s="11" t="s">
        <v>210</v>
      </c>
      <c r="D150" s="12" t="s">
        <v>697</v>
      </c>
      <c r="E150" s="35">
        <v>1.0000000021050199</v>
      </c>
      <c r="F150" s="36">
        <v>97.120999999999995</v>
      </c>
      <c r="G150" s="36">
        <v>99.72</v>
      </c>
      <c r="H150" s="36">
        <v>102.373</v>
      </c>
      <c r="I150" s="36">
        <v>105.122</v>
      </c>
      <c r="J150" s="36">
        <v>107.93600000000001</v>
      </c>
      <c r="K150" s="36">
        <v>110.819</v>
      </c>
      <c r="L150" s="36">
        <v>113.755</v>
      </c>
      <c r="M150" s="36">
        <v>116.755</v>
      </c>
      <c r="N150" s="36">
        <v>119.846</v>
      </c>
      <c r="O150" s="36">
        <v>123.047</v>
      </c>
      <c r="P150" s="36">
        <v>126.38200000000001</v>
      </c>
      <c r="Q150" s="36">
        <v>129.863</v>
      </c>
      <c r="R150" s="36">
        <v>133.47200000000001</v>
      </c>
      <c r="S150" s="36">
        <v>137.203</v>
      </c>
      <c r="T150" s="36">
        <v>141.05699999999999</v>
      </c>
      <c r="U150" s="36">
        <v>145.017</v>
      </c>
      <c r="V150" s="36">
        <v>149.077</v>
      </c>
      <c r="W150" s="36">
        <v>153.267</v>
      </c>
      <c r="X150" s="36">
        <v>157.595</v>
      </c>
      <c r="Y150" s="36">
        <v>162.04900000000001</v>
      </c>
      <c r="Z150" s="36">
        <v>166.643</v>
      </c>
      <c r="AA150" s="36">
        <v>171.38</v>
      </c>
      <c r="AB150" s="36">
        <v>176.20099999999999</v>
      </c>
      <c r="AC150" s="36">
        <v>181.04900000000001</v>
      </c>
      <c r="AD150" s="36">
        <v>185.89699999999999</v>
      </c>
      <c r="AE150" s="36">
        <v>190.672</v>
      </c>
      <c r="AF150" s="36">
        <v>195.44399999999999</v>
      </c>
      <c r="AG150" s="36">
        <v>200.255</v>
      </c>
      <c r="AH150" s="36">
        <v>204.93899999999999</v>
      </c>
      <c r="AI150" s="36">
        <v>209.48599999999999</v>
      </c>
      <c r="AJ150" s="36">
        <v>213.99600000000001</v>
      </c>
      <c r="AK150" s="36">
        <v>218.529</v>
      </c>
      <c r="AL150" s="36">
        <v>223.15100000000001</v>
      </c>
      <c r="AM150" s="36">
        <v>227.88300000000001</v>
      </c>
      <c r="AN150" s="36">
        <v>232.679</v>
      </c>
      <c r="AO150" s="36">
        <v>237.52799999999999</v>
      </c>
      <c r="AP150" s="37">
        <v>242.43199999999999</v>
      </c>
      <c r="AQ150" s="37">
        <v>247.374</v>
      </c>
      <c r="AR150" s="37">
        <v>252.346</v>
      </c>
      <c r="AS150" s="37">
        <v>257.35300000000001</v>
      </c>
      <c r="AT150" s="37">
        <v>262.38099999999997</v>
      </c>
      <c r="AU150" s="37">
        <v>267.42099999999999</v>
      </c>
      <c r="AV150" s="37">
        <v>272.48399999999998</v>
      </c>
      <c r="AW150" s="37">
        <v>277.55500000000001</v>
      </c>
      <c r="AX150" s="37">
        <v>282.62200000000001</v>
      </c>
      <c r="AY150" s="37">
        <v>287.68599999999998</v>
      </c>
      <c r="AZ150" s="37">
        <v>292.73899999999998</v>
      </c>
      <c r="BA150" s="37">
        <v>297.77300000000002</v>
      </c>
      <c r="BB150" s="37">
        <v>302.78199999999998</v>
      </c>
      <c r="BC150" s="37">
        <v>307.76499999999999</v>
      </c>
      <c r="BD150" s="37">
        <v>312.70999999999998</v>
      </c>
      <c r="BE150" s="37">
        <v>317.60700000000003</v>
      </c>
      <c r="BF150" s="37">
        <v>322.45</v>
      </c>
      <c r="BG150" s="37">
        <v>327.24400000000003</v>
      </c>
      <c r="BH150" s="37">
        <v>331.983</v>
      </c>
      <c r="BI150" s="37">
        <v>336.66300000000001</v>
      </c>
      <c r="BJ150" s="37">
        <v>341.28199999999998</v>
      </c>
      <c r="BK150" s="37">
        <v>345.84399999999999</v>
      </c>
      <c r="BL150" s="37">
        <v>350.34800000000001</v>
      </c>
      <c r="BM150" s="37">
        <v>354.79199999999997</v>
      </c>
      <c r="BN150" s="37">
        <v>359.18599999999998</v>
      </c>
    </row>
    <row r="151" spans="1:66" x14ac:dyDescent="0.2">
      <c r="A151" s="2" t="s">
        <v>518</v>
      </c>
      <c r="B151" s="2" t="s">
        <v>519</v>
      </c>
      <c r="C151" s="11" t="s">
        <v>82</v>
      </c>
      <c r="D151" s="12" t="s">
        <v>697</v>
      </c>
      <c r="E151" s="35">
        <v>1.00392437717466</v>
      </c>
      <c r="F151" s="36">
        <v>2.0640000000000001</v>
      </c>
      <c r="G151" s="36">
        <v>2.056</v>
      </c>
      <c r="H151" s="36">
        <v>2.0329999999999999</v>
      </c>
      <c r="I151" s="36">
        <v>2.0070000000000001</v>
      </c>
      <c r="J151" s="36">
        <v>1.9930000000000001</v>
      </c>
      <c r="K151" s="36">
        <v>1.9990000000000001</v>
      </c>
      <c r="L151" s="36">
        <v>2.0129999999999999</v>
      </c>
      <c r="M151" s="36">
        <v>1.9970000000000001</v>
      </c>
      <c r="N151" s="36">
        <v>2.008</v>
      </c>
      <c r="O151" s="36">
        <v>2.0169999999999999</v>
      </c>
      <c r="P151" s="36">
        <v>2.0259999999999998</v>
      </c>
      <c r="Q151" s="36">
        <v>2.0350000000000001</v>
      </c>
      <c r="R151" s="36">
        <v>2.02</v>
      </c>
      <c r="S151" s="36">
        <v>2.0230000000000001</v>
      </c>
      <c r="T151" s="36">
        <v>2.016</v>
      </c>
      <c r="U151" s="36">
        <v>2.0049999999999999</v>
      </c>
      <c r="V151" s="36">
        <v>1.994</v>
      </c>
      <c r="W151" s="36">
        <v>1.9830000000000001</v>
      </c>
      <c r="X151" s="36">
        <v>1.9710000000000001</v>
      </c>
      <c r="Y151" s="36">
        <v>1.9590000000000001</v>
      </c>
      <c r="Z151" s="36">
        <v>1.946</v>
      </c>
      <c r="AA151" s="36">
        <v>1.9370000000000001</v>
      </c>
      <c r="AB151" s="36">
        <v>1.93</v>
      </c>
      <c r="AC151" s="36">
        <v>1.923</v>
      </c>
      <c r="AD151" s="36">
        <v>1.9179999999999999</v>
      </c>
      <c r="AE151" s="36">
        <v>1.9119999999999999</v>
      </c>
      <c r="AF151" s="36">
        <v>1.9059999999999999</v>
      </c>
      <c r="AG151" s="36">
        <v>1.899</v>
      </c>
      <c r="AH151" s="36">
        <v>1.889</v>
      </c>
      <c r="AI151" s="36">
        <v>1.8759999999999999</v>
      </c>
      <c r="AJ151" s="36">
        <v>1.8560000000000001</v>
      </c>
      <c r="AK151" s="36">
        <v>1.837</v>
      </c>
      <c r="AL151" s="36">
        <v>1.8320000000000001</v>
      </c>
      <c r="AM151" s="36">
        <v>1.8280000000000001</v>
      </c>
      <c r="AN151" s="36">
        <v>1.8240000000000001</v>
      </c>
      <c r="AO151" s="36">
        <v>1.821</v>
      </c>
      <c r="AP151" s="37">
        <v>1.8109999999999999</v>
      </c>
      <c r="AQ151" s="37">
        <v>1.8009999999999999</v>
      </c>
      <c r="AR151" s="37">
        <v>1.7909999999999999</v>
      </c>
      <c r="AS151" s="37">
        <v>1.7809999999999999</v>
      </c>
      <c r="AT151" s="37">
        <v>1.7689999999999999</v>
      </c>
      <c r="AU151" s="37">
        <v>1.758</v>
      </c>
      <c r="AV151" s="37">
        <v>1.746</v>
      </c>
      <c r="AW151" s="37">
        <v>1.7350000000000001</v>
      </c>
      <c r="AX151" s="37">
        <v>1.7230000000000001</v>
      </c>
      <c r="AY151" s="37">
        <v>1.7110000000000001</v>
      </c>
      <c r="AZ151" s="37">
        <v>1.6990000000000001</v>
      </c>
      <c r="BA151" s="37">
        <v>1.6859999999999999</v>
      </c>
      <c r="BB151" s="37">
        <v>1.6739999999999999</v>
      </c>
      <c r="BC151" s="37">
        <v>1.661</v>
      </c>
      <c r="BD151" s="37">
        <v>1.6479999999999999</v>
      </c>
      <c r="BE151" s="37">
        <v>1.6359999999999999</v>
      </c>
      <c r="BF151" s="37">
        <v>1.623</v>
      </c>
      <c r="BG151" s="37">
        <v>1.609</v>
      </c>
      <c r="BH151" s="37">
        <v>1.5960000000000001</v>
      </c>
      <c r="BI151" s="37">
        <v>1.5840000000000001</v>
      </c>
      <c r="BJ151" s="37">
        <v>1.57</v>
      </c>
      <c r="BK151" s="37">
        <v>1.5580000000000001</v>
      </c>
      <c r="BL151" s="37">
        <v>1.5449999999999999</v>
      </c>
      <c r="BM151" s="37">
        <v>1.532</v>
      </c>
      <c r="BN151" s="37">
        <v>1.5189999999999999</v>
      </c>
    </row>
    <row r="152" spans="1:66" x14ac:dyDescent="0.2">
      <c r="A152" s="2" t="s">
        <v>520</v>
      </c>
      <c r="B152" s="2" t="s">
        <v>521</v>
      </c>
      <c r="C152" s="11" t="s">
        <v>79</v>
      </c>
      <c r="D152" s="12" t="s">
        <v>697</v>
      </c>
      <c r="E152" s="35">
        <v>1.0000114835612799</v>
      </c>
      <c r="F152" s="36">
        <v>4.2999999999999997E-2</v>
      </c>
      <c r="G152" s="36">
        <v>4.3999999999999997E-2</v>
      </c>
      <c r="H152" s="36">
        <v>4.4999999999999998E-2</v>
      </c>
      <c r="I152" s="36">
        <v>4.5999999999999999E-2</v>
      </c>
      <c r="J152" s="36">
        <v>4.7E-2</v>
      </c>
      <c r="K152" s="36">
        <v>4.8000000000000001E-2</v>
      </c>
      <c r="L152" s="36">
        <v>5.1999999999999998E-2</v>
      </c>
      <c r="M152" s="36">
        <v>5.7000000000000002E-2</v>
      </c>
      <c r="N152" s="36">
        <v>6.0999999999999999E-2</v>
      </c>
      <c r="O152" s="36">
        <v>6.6000000000000003E-2</v>
      </c>
      <c r="P152" s="36">
        <v>6.8000000000000005E-2</v>
      </c>
      <c r="Q152" s="36">
        <v>6.8000000000000005E-2</v>
      </c>
      <c r="R152" s="36">
        <v>6.7000000000000004E-2</v>
      </c>
      <c r="S152" s="36">
        <v>6.5000000000000002E-2</v>
      </c>
      <c r="T152" s="36">
        <v>6.4000000000000001E-2</v>
      </c>
      <c r="U152" s="36">
        <v>6.2E-2</v>
      </c>
      <c r="V152" s="36">
        <v>6.0999999999999999E-2</v>
      </c>
      <c r="W152" s="36">
        <v>5.8999999999999997E-2</v>
      </c>
      <c r="X152" s="36">
        <v>5.7000000000000002E-2</v>
      </c>
      <c r="Y152" s="36">
        <v>5.5E-2</v>
      </c>
      <c r="Z152" s="36">
        <v>5.3999999999999999E-2</v>
      </c>
      <c r="AA152" s="36">
        <v>5.3999999999999999E-2</v>
      </c>
      <c r="AB152" s="36">
        <v>5.2999999999999999E-2</v>
      </c>
      <c r="AC152" s="36">
        <v>5.2999999999999999E-2</v>
      </c>
      <c r="AD152" s="36">
        <v>5.1999999999999998E-2</v>
      </c>
      <c r="AE152" s="36">
        <v>5.1999999999999998E-2</v>
      </c>
      <c r="AF152" s="36">
        <v>5.0999999999999997E-2</v>
      </c>
      <c r="AG152" s="36">
        <v>0.05</v>
      </c>
      <c r="AH152" s="36">
        <v>4.9000000000000002E-2</v>
      </c>
      <c r="AI152" s="36">
        <v>4.8000000000000001E-2</v>
      </c>
      <c r="AJ152" s="36">
        <v>4.8000000000000001E-2</v>
      </c>
      <c r="AK152" s="36">
        <v>4.7E-2</v>
      </c>
      <c r="AL152" s="36">
        <v>4.5999999999999999E-2</v>
      </c>
      <c r="AM152" s="36">
        <v>4.4999999999999998E-2</v>
      </c>
      <c r="AN152" s="36">
        <v>4.3999999999999997E-2</v>
      </c>
      <c r="AO152" s="36">
        <v>4.3999999999999997E-2</v>
      </c>
      <c r="AP152" s="37">
        <v>4.2999999999999997E-2</v>
      </c>
      <c r="AQ152" s="37">
        <v>4.2000000000000003E-2</v>
      </c>
      <c r="AR152" s="37">
        <v>4.2000000000000003E-2</v>
      </c>
      <c r="AS152" s="37">
        <v>4.2000000000000003E-2</v>
      </c>
      <c r="AT152" s="37">
        <v>4.2000000000000003E-2</v>
      </c>
      <c r="AU152" s="37">
        <v>4.2000000000000003E-2</v>
      </c>
      <c r="AV152" s="37">
        <v>4.2000000000000003E-2</v>
      </c>
      <c r="AW152" s="37">
        <v>4.2000000000000003E-2</v>
      </c>
      <c r="AX152" s="37">
        <v>4.2000000000000003E-2</v>
      </c>
      <c r="AY152" s="37">
        <v>4.2000000000000003E-2</v>
      </c>
      <c r="AZ152" s="37">
        <v>4.2000000000000003E-2</v>
      </c>
      <c r="BA152" s="37">
        <v>4.2000000000000003E-2</v>
      </c>
      <c r="BB152" s="37">
        <v>4.2000000000000003E-2</v>
      </c>
      <c r="BC152" s="37">
        <v>4.2000000000000003E-2</v>
      </c>
      <c r="BD152" s="37">
        <v>4.2000000000000003E-2</v>
      </c>
      <c r="BE152" s="37">
        <v>4.2000000000000003E-2</v>
      </c>
      <c r="BF152" s="37">
        <v>4.2000000000000003E-2</v>
      </c>
      <c r="BG152" s="37">
        <v>4.2000000000000003E-2</v>
      </c>
      <c r="BH152" s="37">
        <v>4.2999999999999997E-2</v>
      </c>
      <c r="BI152" s="37">
        <v>4.2999999999999997E-2</v>
      </c>
      <c r="BJ152" s="37">
        <v>4.2999999999999997E-2</v>
      </c>
      <c r="BK152" s="37">
        <v>4.2999999999999997E-2</v>
      </c>
      <c r="BL152" s="37">
        <v>4.2999999999999997E-2</v>
      </c>
      <c r="BM152" s="37">
        <v>4.2999999999999997E-2</v>
      </c>
      <c r="BN152" s="37">
        <v>4.2999999999999997E-2</v>
      </c>
    </row>
    <row r="153" spans="1:66" x14ac:dyDescent="0.2">
      <c r="A153" s="2" t="s">
        <v>522</v>
      </c>
      <c r="B153" s="2" t="s">
        <v>523</v>
      </c>
      <c r="C153" s="11" t="s">
        <v>79</v>
      </c>
      <c r="D153" s="12" t="s">
        <v>697</v>
      </c>
      <c r="E153" s="35">
        <v>0.99783018923289402</v>
      </c>
      <c r="F153" s="36">
        <v>4.2409999999999997</v>
      </c>
      <c r="G153" s="36">
        <v>4.2619999999999996</v>
      </c>
      <c r="H153" s="36">
        <v>4.2859999999999996</v>
      </c>
      <c r="I153" s="36">
        <v>4.3120000000000003</v>
      </c>
      <c r="J153" s="36">
        <v>4.3369999999999997</v>
      </c>
      <c r="K153" s="36">
        <v>4.359</v>
      </c>
      <c r="L153" s="36">
        <v>4.3810000000000002</v>
      </c>
      <c r="M153" s="36">
        <v>4.4050000000000002</v>
      </c>
      <c r="N153" s="36">
        <v>4.431</v>
      </c>
      <c r="O153" s="36">
        <v>4.4619999999999997</v>
      </c>
      <c r="P153" s="36">
        <v>4.4909999999999997</v>
      </c>
      <c r="Q153" s="36">
        <v>4.5140000000000002</v>
      </c>
      <c r="R153" s="36">
        <v>4.5380000000000003</v>
      </c>
      <c r="S153" s="36">
        <v>4.5650000000000004</v>
      </c>
      <c r="T153" s="36">
        <v>4.5919999999999996</v>
      </c>
      <c r="U153" s="36">
        <v>4.6230000000000002</v>
      </c>
      <c r="V153" s="36">
        <v>4.6609999999999996</v>
      </c>
      <c r="W153" s="36">
        <v>4.7089999999999996</v>
      </c>
      <c r="X153" s="36">
        <v>4.7679999999999998</v>
      </c>
      <c r="Y153" s="36">
        <v>4.8289999999999997</v>
      </c>
      <c r="Z153" s="36">
        <v>4.8890000000000002</v>
      </c>
      <c r="AA153" s="36">
        <v>4.9530000000000003</v>
      </c>
      <c r="AB153" s="36">
        <v>5.0190000000000001</v>
      </c>
      <c r="AC153" s="36">
        <v>5.08</v>
      </c>
      <c r="AD153" s="36">
        <v>5.1369999999999996</v>
      </c>
      <c r="AE153" s="36">
        <v>5.1890000000000001</v>
      </c>
      <c r="AF153" s="36">
        <v>5.2350000000000003</v>
      </c>
      <c r="AG153" s="36">
        <v>5.2770000000000001</v>
      </c>
      <c r="AH153" s="36">
        <v>5.3120000000000003</v>
      </c>
      <c r="AI153" s="36">
        <v>5.3479999999999999</v>
      </c>
      <c r="AJ153" s="36">
        <v>5.3789999999999996</v>
      </c>
      <c r="AK153" s="36">
        <v>5.4080000000000004</v>
      </c>
      <c r="AL153" s="36">
        <v>5.4569999999999999</v>
      </c>
      <c r="AM153" s="36">
        <v>5.52</v>
      </c>
      <c r="AN153" s="36">
        <v>5.5720000000000001</v>
      </c>
      <c r="AO153" s="36">
        <v>5.6109999999999998</v>
      </c>
      <c r="AP153" s="37">
        <v>5.641</v>
      </c>
      <c r="AQ153" s="37">
        <v>5.6609999999999996</v>
      </c>
      <c r="AR153" s="37">
        <v>5.681</v>
      </c>
      <c r="AS153" s="37">
        <v>5.6989999999999998</v>
      </c>
      <c r="AT153" s="37">
        <v>5.7169999999999996</v>
      </c>
      <c r="AU153" s="37">
        <v>5.7329999999999997</v>
      </c>
      <c r="AV153" s="37">
        <v>5.7489999999999997</v>
      </c>
      <c r="AW153" s="37">
        <v>5.7629999999999999</v>
      </c>
      <c r="AX153" s="37">
        <v>5.7759999999999998</v>
      </c>
      <c r="AY153" s="37">
        <v>5.7889999999999997</v>
      </c>
      <c r="AZ153" s="37">
        <v>5.8010000000000002</v>
      </c>
      <c r="BA153" s="37">
        <v>5.8120000000000003</v>
      </c>
      <c r="BB153" s="37">
        <v>5.8230000000000004</v>
      </c>
      <c r="BC153" s="37">
        <v>5.8319999999999999</v>
      </c>
      <c r="BD153" s="37">
        <v>5.8410000000000002</v>
      </c>
      <c r="BE153" s="37">
        <v>5.8490000000000002</v>
      </c>
      <c r="BF153" s="37">
        <v>5.8570000000000002</v>
      </c>
      <c r="BG153" s="37">
        <v>5.8630000000000004</v>
      </c>
      <c r="BH153" s="37">
        <v>5.8680000000000003</v>
      </c>
      <c r="BI153" s="37">
        <v>5.8730000000000002</v>
      </c>
      <c r="BJ153" s="37">
        <v>5.8780000000000001</v>
      </c>
      <c r="BK153" s="37">
        <v>5.8810000000000002</v>
      </c>
      <c r="BL153" s="37">
        <v>5.8840000000000003</v>
      </c>
      <c r="BM153" s="37">
        <v>5.8860000000000001</v>
      </c>
      <c r="BN153" s="37">
        <v>5.8869999999999996</v>
      </c>
    </row>
    <row r="154" spans="1:66" x14ac:dyDescent="0.2">
      <c r="A154" s="2" t="s">
        <v>524</v>
      </c>
      <c r="B154" s="2" t="s">
        <v>525</v>
      </c>
      <c r="C154" s="11" t="s">
        <v>79</v>
      </c>
      <c r="D154" s="12" t="s">
        <v>697</v>
      </c>
      <c r="E154" s="35">
        <v>1</v>
      </c>
      <c r="F154" s="36">
        <v>1.764</v>
      </c>
      <c r="G154" s="36">
        <v>1.851</v>
      </c>
      <c r="H154" s="36">
        <v>1.9379999999999999</v>
      </c>
      <c r="I154" s="36">
        <v>2.0219999999999998</v>
      </c>
      <c r="J154" s="36">
        <v>2.0819999999999999</v>
      </c>
      <c r="K154" s="36">
        <v>2.121</v>
      </c>
      <c r="L154" s="36">
        <v>2.157</v>
      </c>
      <c r="M154" s="36">
        <v>2.1909999999999998</v>
      </c>
      <c r="N154" s="36">
        <v>2.222</v>
      </c>
      <c r="O154" s="36">
        <v>2.2530000000000001</v>
      </c>
      <c r="P154" s="36">
        <v>2.282</v>
      </c>
      <c r="Q154" s="36">
        <v>2.31</v>
      </c>
      <c r="R154" s="36">
        <v>2.3370000000000002</v>
      </c>
      <c r="S154" s="36">
        <v>2.3639999999999999</v>
      </c>
      <c r="T154" s="36">
        <v>2.4049999999999998</v>
      </c>
      <c r="U154" s="36">
        <v>2.46</v>
      </c>
      <c r="V154" s="36">
        <v>2.5150000000000001</v>
      </c>
      <c r="W154" s="36">
        <v>2.57</v>
      </c>
      <c r="X154" s="36">
        <v>2.6269999999999998</v>
      </c>
      <c r="Y154" s="36">
        <v>2.6850000000000001</v>
      </c>
      <c r="Z154" s="36">
        <v>2.7570000000000001</v>
      </c>
      <c r="AA154" s="36">
        <v>3.077</v>
      </c>
      <c r="AB154" s="36">
        <v>3.5470000000000002</v>
      </c>
      <c r="AC154" s="36">
        <v>3.8340000000000001</v>
      </c>
      <c r="AD154" s="36">
        <v>4.0019999999999998</v>
      </c>
      <c r="AE154" s="36">
        <v>4.1849999999999996</v>
      </c>
      <c r="AF154" s="36">
        <v>4.391</v>
      </c>
      <c r="AG154" s="36">
        <v>4.5369999999999999</v>
      </c>
      <c r="AH154" s="36">
        <v>4.5979999999999999</v>
      </c>
      <c r="AI154" s="36">
        <v>4.5910000000000002</v>
      </c>
      <c r="AJ154" s="36">
        <v>4.5220000000000002</v>
      </c>
      <c r="AK154" s="36">
        <v>4.5</v>
      </c>
      <c r="AL154" s="36">
        <v>4.7300000000000004</v>
      </c>
      <c r="AM154" s="36">
        <v>5.0490000000000004</v>
      </c>
      <c r="AN154" s="36">
        <v>5.282</v>
      </c>
      <c r="AO154" s="36">
        <v>5.4950000000000001</v>
      </c>
      <c r="AP154" s="37">
        <v>5.6710000000000003</v>
      </c>
      <c r="AQ154" s="37">
        <v>5.8150000000000004</v>
      </c>
      <c r="AR154" s="37">
        <v>5.9290000000000003</v>
      </c>
      <c r="AS154" s="37">
        <v>6.0259999999999998</v>
      </c>
      <c r="AT154" s="37">
        <v>6.1130000000000004</v>
      </c>
      <c r="AU154" s="37">
        <v>6.194</v>
      </c>
      <c r="AV154" s="37">
        <v>6.2750000000000004</v>
      </c>
      <c r="AW154" s="37">
        <v>6.3559999999999999</v>
      </c>
      <c r="AX154" s="37">
        <v>6.4370000000000003</v>
      </c>
      <c r="AY154" s="37">
        <v>6.5179999999999998</v>
      </c>
      <c r="AZ154" s="37">
        <v>6.5990000000000002</v>
      </c>
      <c r="BA154" s="37">
        <v>6.681</v>
      </c>
      <c r="BB154" s="37">
        <v>6.7640000000000002</v>
      </c>
      <c r="BC154" s="37">
        <v>6.8470000000000004</v>
      </c>
      <c r="BD154" s="37">
        <v>6.9320000000000004</v>
      </c>
      <c r="BE154" s="37">
        <v>7.0179999999999998</v>
      </c>
      <c r="BF154" s="37">
        <v>7.1040000000000001</v>
      </c>
      <c r="BG154" s="37">
        <v>7.1920000000000002</v>
      </c>
      <c r="BH154" s="37">
        <v>7.2809999999999997</v>
      </c>
      <c r="BI154" s="37">
        <v>7.37</v>
      </c>
      <c r="BJ154" s="37">
        <v>7.46</v>
      </c>
      <c r="BK154" s="37">
        <v>7.5510000000000002</v>
      </c>
      <c r="BL154" s="37">
        <v>7.6420000000000003</v>
      </c>
      <c r="BM154" s="37">
        <v>7.734</v>
      </c>
      <c r="BN154" s="37">
        <v>7.827</v>
      </c>
    </row>
    <row r="155" spans="1:66" x14ac:dyDescent="0.2">
      <c r="A155" s="2" t="s">
        <v>526</v>
      </c>
      <c r="B155" s="2" t="s">
        <v>527</v>
      </c>
      <c r="C155" s="11" t="s">
        <v>210</v>
      </c>
      <c r="D155" s="12" t="s">
        <v>697</v>
      </c>
      <c r="E155" s="35">
        <v>0.99999999804090201</v>
      </c>
      <c r="F155" s="36">
        <v>116.15600000000001</v>
      </c>
      <c r="G155" s="36">
        <v>120.06</v>
      </c>
      <c r="H155" s="36">
        <v>123.547</v>
      </c>
      <c r="I155" s="36">
        <v>127.02</v>
      </c>
      <c r="J155" s="36">
        <v>130.74799999999999</v>
      </c>
      <c r="K155" s="36">
        <v>134.58199999999999</v>
      </c>
      <c r="L155" s="36">
        <v>138.55699999999999</v>
      </c>
      <c r="M155" s="36">
        <v>142.53200000000001</v>
      </c>
      <c r="N155" s="36">
        <v>146.52199999999999</v>
      </c>
      <c r="O155" s="36">
        <v>150.565</v>
      </c>
      <c r="P155" s="36">
        <v>154.87899999999999</v>
      </c>
      <c r="Q155" s="36">
        <v>159.27099999999999</v>
      </c>
      <c r="R155" s="36">
        <v>163.22300000000001</v>
      </c>
      <c r="S155" s="36">
        <v>167.11</v>
      </c>
      <c r="T155" s="36">
        <v>171.286</v>
      </c>
      <c r="U155" s="36">
        <v>175.453</v>
      </c>
      <c r="V155" s="36">
        <v>179.68299999999999</v>
      </c>
      <c r="W155" s="36">
        <v>184.49299999999999</v>
      </c>
      <c r="X155" s="36">
        <v>189.499</v>
      </c>
      <c r="Y155" s="36">
        <v>194.37700000000001</v>
      </c>
      <c r="Z155" s="36">
        <v>199.239</v>
      </c>
      <c r="AA155" s="36">
        <v>203.74600000000001</v>
      </c>
      <c r="AB155" s="36">
        <v>207.667</v>
      </c>
      <c r="AC155" s="36">
        <v>211.07400000000001</v>
      </c>
      <c r="AD155" s="36">
        <v>214.26499999999999</v>
      </c>
      <c r="AE155" s="36">
        <v>217.291</v>
      </c>
      <c r="AF155" s="36">
        <v>220.13900000000001</v>
      </c>
      <c r="AG155" s="36">
        <v>223.274</v>
      </c>
      <c r="AH155" s="36">
        <v>226.929</v>
      </c>
      <c r="AI155" s="36">
        <v>230.80099999999999</v>
      </c>
      <c r="AJ155" s="36">
        <v>235.00200000000001</v>
      </c>
      <c r="AK155" s="36">
        <v>239.47800000000001</v>
      </c>
      <c r="AL155" s="36">
        <v>243.70099999999999</v>
      </c>
      <c r="AM155" s="36">
        <v>247.50399999999999</v>
      </c>
      <c r="AN155" s="36">
        <v>251.26900000000001</v>
      </c>
      <c r="AO155" s="36">
        <v>255.22</v>
      </c>
      <c r="AP155" s="37">
        <v>259.3</v>
      </c>
      <c r="AQ155" s="37">
        <v>263.51600000000002</v>
      </c>
      <c r="AR155" s="37">
        <v>267.88200000000001</v>
      </c>
      <c r="AS155" s="37">
        <v>272.33800000000002</v>
      </c>
      <c r="AT155" s="37">
        <v>276.88299999999998</v>
      </c>
      <c r="AU155" s="37">
        <v>281.52800000000002</v>
      </c>
      <c r="AV155" s="37">
        <v>286.24099999999999</v>
      </c>
      <c r="AW155" s="37">
        <v>291.012</v>
      </c>
      <c r="AX155" s="37">
        <v>295.82</v>
      </c>
      <c r="AY155" s="37">
        <v>300.64400000000001</v>
      </c>
      <c r="AZ155" s="37">
        <v>305.49099999999999</v>
      </c>
      <c r="BA155" s="37">
        <v>310.35300000000001</v>
      </c>
      <c r="BB155" s="37">
        <v>315.22800000000001</v>
      </c>
      <c r="BC155" s="37">
        <v>320.10599999999999</v>
      </c>
      <c r="BD155" s="37">
        <v>324.93799999999999</v>
      </c>
      <c r="BE155" s="37">
        <v>329.74599999999998</v>
      </c>
      <c r="BF155" s="37">
        <v>334.55200000000002</v>
      </c>
      <c r="BG155" s="37">
        <v>339.33499999999998</v>
      </c>
      <c r="BH155" s="37">
        <v>344.09500000000003</v>
      </c>
      <c r="BI155" s="37">
        <v>348.83800000000002</v>
      </c>
      <c r="BJ155" s="37">
        <v>353.553</v>
      </c>
      <c r="BK155" s="37">
        <v>358.20699999999999</v>
      </c>
      <c r="BL155" s="37">
        <v>362.79700000000003</v>
      </c>
      <c r="BM155" s="37">
        <v>367.34399999999999</v>
      </c>
      <c r="BN155" s="37">
        <v>371.86399999999998</v>
      </c>
    </row>
    <row r="156" spans="1:66" x14ac:dyDescent="0.2">
      <c r="A156" s="2" t="s">
        <v>528</v>
      </c>
      <c r="B156" s="2" t="s">
        <v>529</v>
      </c>
      <c r="C156" s="11" t="s">
        <v>79</v>
      </c>
      <c r="D156" s="12" t="s">
        <v>697</v>
      </c>
      <c r="E156" s="35">
        <v>1.0000283085633399</v>
      </c>
      <c r="F156" s="36">
        <v>1.4999999999999999E-2</v>
      </c>
      <c r="G156" s="36">
        <v>1.6E-2</v>
      </c>
      <c r="H156" s="36">
        <v>1.6E-2</v>
      </c>
      <c r="I156" s="36">
        <v>1.6E-2</v>
      </c>
      <c r="J156" s="36">
        <v>1.7000000000000001E-2</v>
      </c>
      <c r="K156" s="36">
        <v>1.7000000000000001E-2</v>
      </c>
      <c r="L156" s="36">
        <v>1.7999999999999999E-2</v>
      </c>
      <c r="M156" s="36">
        <v>1.7999999999999999E-2</v>
      </c>
      <c r="N156" s="36">
        <v>1.9E-2</v>
      </c>
      <c r="O156" s="36">
        <v>1.9E-2</v>
      </c>
      <c r="P156" s="36">
        <v>1.9E-2</v>
      </c>
      <c r="Q156" s="36">
        <v>1.9E-2</v>
      </c>
      <c r="R156" s="36">
        <v>0.02</v>
      </c>
      <c r="S156" s="36">
        <v>0.02</v>
      </c>
      <c r="T156" s="36">
        <v>0.02</v>
      </c>
      <c r="U156" s="36">
        <v>0.02</v>
      </c>
      <c r="V156" s="36">
        <v>0.02</v>
      </c>
      <c r="W156" s="36">
        <v>1.9E-2</v>
      </c>
      <c r="X156" s="36">
        <v>1.9E-2</v>
      </c>
      <c r="Y156" s="36">
        <v>1.9E-2</v>
      </c>
      <c r="Z156" s="36">
        <v>1.7999999999999999E-2</v>
      </c>
      <c r="AA156" s="36">
        <v>1.7999999999999999E-2</v>
      </c>
      <c r="AB156" s="36">
        <v>1.7999999999999999E-2</v>
      </c>
      <c r="AC156" s="36">
        <v>1.7999999999999999E-2</v>
      </c>
      <c r="AD156" s="36">
        <v>1.7999999999999999E-2</v>
      </c>
      <c r="AE156" s="36">
        <v>1.7999999999999999E-2</v>
      </c>
      <c r="AF156" s="36">
        <v>1.7999999999999999E-2</v>
      </c>
      <c r="AG156" s="36">
        <v>1.7999999999999999E-2</v>
      </c>
      <c r="AH156" s="36">
        <v>1.7999999999999999E-2</v>
      </c>
      <c r="AI156" s="36">
        <v>1.7999999999999999E-2</v>
      </c>
      <c r="AJ156" s="36">
        <v>1.7999999999999999E-2</v>
      </c>
      <c r="AK156" s="36">
        <v>1.7999999999999999E-2</v>
      </c>
      <c r="AL156" s="36">
        <v>1.7999999999999999E-2</v>
      </c>
      <c r="AM156" s="36">
        <v>1.7999999999999999E-2</v>
      </c>
      <c r="AN156" s="36">
        <v>1.7999999999999999E-2</v>
      </c>
      <c r="AO156" s="36">
        <v>1.7999999999999999E-2</v>
      </c>
      <c r="AP156" s="37">
        <v>1.7999999999999999E-2</v>
      </c>
      <c r="AQ156" s="37">
        <v>1.7999999999999999E-2</v>
      </c>
      <c r="AR156" s="37">
        <v>1.7999999999999999E-2</v>
      </c>
      <c r="AS156" s="37">
        <v>1.7000000000000001E-2</v>
      </c>
      <c r="AT156" s="37">
        <v>1.7000000000000001E-2</v>
      </c>
      <c r="AU156" s="37">
        <v>1.7000000000000001E-2</v>
      </c>
      <c r="AV156" s="37">
        <v>1.7000000000000001E-2</v>
      </c>
      <c r="AW156" s="37">
        <v>1.7000000000000001E-2</v>
      </c>
      <c r="AX156" s="37">
        <v>1.7000000000000001E-2</v>
      </c>
      <c r="AY156" s="37">
        <v>1.7000000000000001E-2</v>
      </c>
      <c r="AZ156" s="37">
        <v>1.7000000000000001E-2</v>
      </c>
      <c r="BA156" s="37">
        <v>1.7000000000000001E-2</v>
      </c>
      <c r="BB156" s="37">
        <v>1.7000000000000001E-2</v>
      </c>
      <c r="BC156" s="37">
        <v>1.7000000000000001E-2</v>
      </c>
      <c r="BD156" s="37">
        <v>1.7000000000000001E-2</v>
      </c>
      <c r="BE156" s="37">
        <v>1.7000000000000001E-2</v>
      </c>
      <c r="BF156" s="37">
        <v>1.6E-2</v>
      </c>
      <c r="BG156" s="37">
        <v>1.6E-2</v>
      </c>
      <c r="BH156" s="37">
        <v>1.6E-2</v>
      </c>
      <c r="BI156" s="37">
        <v>1.6E-2</v>
      </c>
      <c r="BJ156" s="37">
        <v>1.6E-2</v>
      </c>
      <c r="BK156" s="37">
        <v>1.6E-2</v>
      </c>
      <c r="BL156" s="37">
        <v>1.6E-2</v>
      </c>
      <c r="BM156" s="37">
        <v>1.6E-2</v>
      </c>
      <c r="BN156" s="37">
        <v>1.6E-2</v>
      </c>
    </row>
    <row r="157" spans="1:66" x14ac:dyDescent="0.2">
      <c r="A157" s="2" t="s">
        <v>530</v>
      </c>
      <c r="B157" s="2" t="s">
        <v>531</v>
      </c>
      <c r="C157" s="11" t="s">
        <v>79</v>
      </c>
      <c r="D157" s="12" t="s">
        <v>697</v>
      </c>
      <c r="E157" s="35">
        <v>1</v>
      </c>
      <c r="F157" s="36">
        <v>2.456</v>
      </c>
      <c r="G157" s="36">
        <v>2.508</v>
      </c>
      <c r="H157" s="36">
        <v>2.5609999999999999</v>
      </c>
      <c r="I157" s="36">
        <v>2.6150000000000002</v>
      </c>
      <c r="J157" s="36">
        <v>2.67</v>
      </c>
      <c r="K157" s="36">
        <v>2.7250000000000001</v>
      </c>
      <c r="L157" s="36">
        <v>2.78</v>
      </c>
      <c r="M157" s="36">
        <v>2.8370000000000002</v>
      </c>
      <c r="N157" s="36">
        <v>2.8940000000000001</v>
      </c>
      <c r="O157" s="36">
        <v>2.952</v>
      </c>
      <c r="P157" s="36">
        <v>3.01</v>
      </c>
      <c r="Q157" s="36">
        <v>3.07</v>
      </c>
      <c r="R157" s="36">
        <v>3.129</v>
      </c>
      <c r="S157" s="36">
        <v>3.19</v>
      </c>
      <c r="T157" s="36">
        <v>3.2509999999999999</v>
      </c>
      <c r="U157" s="36">
        <v>3.3130000000000002</v>
      </c>
      <c r="V157" s="36">
        <v>3.375</v>
      </c>
      <c r="W157" s="36">
        <v>3.4369999999999998</v>
      </c>
      <c r="X157" s="36">
        <v>3.5009999999999999</v>
      </c>
      <c r="Y157" s="36">
        <v>3.5640000000000001</v>
      </c>
      <c r="Z157" s="36">
        <v>3.629</v>
      </c>
      <c r="AA157" s="36">
        <v>3.694</v>
      </c>
      <c r="AB157" s="36">
        <v>3.7589999999999999</v>
      </c>
      <c r="AC157" s="36">
        <v>3.8250000000000002</v>
      </c>
      <c r="AD157" s="36">
        <v>3.8919999999999999</v>
      </c>
      <c r="AE157" s="36">
        <v>3.96</v>
      </c>
      <c r="AF157" s="36">
        <v>4.0289999999999999</v>
      </c>
      <c r="AG157" s="36">
        <v>4.0990000000000002</v>
      </c>
      <c r="AH157" s="36">
        <v>4.1680000000000001</v>
      </c>
      <c r="AI157" s="36">
        <v>4.2350000000000003</v>
      </c>
      <c r="AJ157" s="36">
        <v>4.2930000000000001</v>
      </c>
      <c r="AK157" s="36">
        <v>4.3449999999999998</v>
      </c>
      <c r="AL157" s="36">
        <v>4.4009999999999998</v>
      </c>
      <c r="AM157" s="36">
        <v>4.4589999999999996</v>
      </c>
      <c r="AN157" s="36">
        <v>4.516</v>
      </c>
      <c r="AO157" s="36">
        <v>4.5709999999999997</v>
      </c>
      <c r="AP157" s="37">
        <v>4.6260000000000003</v>
      </c>
      <c r="AQ157" s="37">
        <v>4.6790000000000003</v>
      </c>
      <c r="AR157" s="37">
        <v>4.7320000000000002</v>
      </c>
      <c r="AS157" s="37">
        <v>4.7830000000000004</v>
      </c>
      <c r="AT157" s="37">
        <v>4.8339999999999996</v>
      </c>
      <c r="AU157" s="37">
        <v>4.883</v>
      </c>
      <c r="AV157" s="37">
        <v>4.9320000000000004</v>
      </c>
      <c r="AW157" s="37">
        <v>4.9800000000000004</v>
      </c>
      <c r="AX157" s="37">
        <v>5.0259999999999998</v>
      </c>
      <c r="AY157" s="37">
        <v>5.0720000000000001</v>
      </c>
      <c r="AZ157" s="37">
        <v>5.117</v>
      </c>
      <c r="BA157" s="37">
        <v>5.1609999999999996</v>
      </c>
      <c r="BB157" s="37">
        <v>5.2039999999999997</v>
      </c>
      <c r="BC157" s="37">
        <v>5.2460000000000004</v>
      </c>
      <c r="BD157" s="37">
        <v>5.2869999999999999</v>
      </c>
      <c r="BE157" s="37">
        <v>5.3259999999999996</v>
      </c>
      <c r="BF157" s="37">
        <v>5.3650000000000002</v>
      </c>
      <c r="BG157" s="37">
        <v>5.4020000000000001</v>
      </c>
      <c r="BH157" s="37">
        <v>5.4379999999999997</v>
      </c>
      <c r="BI157" s="37">
        <v>5.4729999999999999</v>
      </c>
      <c r="BJ157" s="37">
        <v>5.5069999999999997</v>
      </c>
      <c r="BK157" s="37">
        <v>5.54</v>
      </c>
      <c r="BL157" s="37">
        <v>5.5709999999999997</v>
      </c>
      <c r="BM157" s="37">
        <v>5.6020000000000003</v>
      </c>
      <c r="BN157" s="37">
        <v>5.6310000000000002</v>
      </c>
    </row>
    <row r="158" spans="1:66" x14ac:dyDescent="0.2">
      <c r="A158" s="2" t="s">
        <v>532</v>
      </c>
      <c r="B158" s="2" t="s">
        <v>533</v>
      </c>
      <c r="C158" s="11" t="s">
        <v>210</v>
      </c>
      <c r="D158" s="12" t="s">
        <v>697</v>
      </c>
      <c r="E158" s="35">
        <v>1</v>
      </c>
      <c r="F158" s="36">
        <v>3.8959999999999999</v>
      </c>
      <c r="G158" s="36">
        <v>4.0220000000000002</v>
      </c>
      <c r="H158" s="36">
        <v>4.1669999999999998</v>
      </c>
      <c r="I158" s="36">
        <v>4.3209999999999997</v>
      </c>
      <c r="J158" s="36">
        <v>4.4800000000000004</v>
      </c>
      <c r="K158" s="36">
        <v>4.6440000000000001</v>
      </c>
      <c r="L158" s="36">
        <v>4.8129999999999997</v>
      </c>
      <c r="M158" s="36">
        <v>4.9880000000000004</v>
      </c>
      <c r="N158" s="36">
        <v>5.1660000000000004</v>
      </c>
      <c r="O158" s="36">
        <v>5.3490000000000002</v>
      </c>
      <c r="P158" s="36">
        <v>5.5369999999999999</v>
      </c>
      <c r="Q158" s="36">
        <v>5.7279999999999998</v>
      </c>
      <c r="R158" s="36">
        <v>5.9240000000000004</v>
      </c>
      <c r="S158" s="36">
        <v>6.1239999999999997</v>
      </c>
      <c r="T158" s="36">
        <v>6.3280000000000003</v>
      </c>
      <c r="U158" s="36">
        <v>6.5359999999999996</v>
      </c>
      <c r="V158" s="36">
        <v>6.7480000000000002</v>
      </c>
      <c r="W158" s="36">
        <v>6.9630000000000001</v>
      </c>
      <c r="X158" s="36">
        <v>7.1829999999999998</v>
      </c>
      <c r="Y158" s="36">
        <v>7.4059999999999997</v>
      </c>
      <c r="Z158" s="36">
        <v>7.6340000000000003</v>
      </c>
      <c r="AA158" s="36">
        <v>7.859</v>
      </c>
      <c r="AB158" s="36">
        <v>8.0809999999999995</v>
      </c>
      <c r="AC158" s="36">
        <v>8.3030000000000008</v>
      </c>
      <c r="AD158" s="36">
        <v>8.5229999999999997</v>
      </c>
      <c r="AE158" s="36">
        <v>8.7430000000000003</v>
      </c>
      <c r="AF158" s="36">
        <v>8.9619999999999997</v>
      </c>
      <c r="AG158" s="36">
        <v>9.1790000000000003</v>
      </c>
      <c r="AH158" s="36">
        <v>9.3949999999999996</v>
      </c>
      <c r="AI158" s="36">
        <v>9.609</v>
      </c>
      <c r="AJ158" s="36">
        <v>9.8160000000000007</v>
      </c>
      <c r="AK158" s="36">
        <v>10.013</v>
      </c>
      <c r="AL158" s="36">
        <v>10.202999999999999</v>
      </c>
      <c r="AM158" s="36">
        <v>10.39</v>
      </c>
      <c r="AN158" s="36">
        <v>10.577</v>
      </c>
      <c r="AO158" s="36">
        <v>10.763</v>
      </c>
      <c r="AP158" s="37">
        <v>10.948</v>
      </c>
      <c r="AQ158" s="37">
        <v>11.131</v>
      </c>
      <c r="AR158" s="37">
        <v>11.313000000000001</v>
      </c>
      <c r="AS158" s="37">
        <v>11.493</v>
      </c>
      <c r="AT158" s="37">
        <v>11.670999999999999</v>
      </c>
      <c r="AU158" s="37">
        <v>11.848000000000001</v>
      </c>
      <c r="AV158" s="37">
        <v>12.023</v>
      </c>
      <c r="AW158" s="37">
        <v>12.196999999999999</v>
      </c>
      <c r="AX158" s="37">
        <v>12.369</v>
      </c>
      <c r="AY158" s="37">
        <v>12.541</v>
      </c>
      <c r="AZ158" s="37">
        <v>12.711</v>
      </c>
      <c r="BA158" s="37">
        <v>12.88</v>
      </c>
      <c r="BB158" s="37">
        <v>13.047000000000001</v>
      </c>
      <c r="BC158" s="37">
        <v>13.212999999999999</v>
      </c>
      <c r="BD158" s="37">
        <v>13.375999999999999</v>
      </c>
      <c r="BE158" s="37">
        <v>13.537000000000001</v>
      </c>
      <c r="BF158" s="37">
        <v>13.696</v>
      </c>
      <c r="BG158" s="37">
        <v>13.853</v>
      </c>
      <c r="BH158" s="37">
        <v>14.01</v>
      </c>
      <c r="BI158" s="37">
        <v>14.166</v>
      </c>
      <c r="BJ158" s="37">
        <v>14.319000000000001</v>
      </c>
      <c r="BK158" s="37">
        <v>14.468999999999999</v>
      </c>
      <c r="BL158" s="37">
        <v>14.617000000000001</v>
      </c>
      <c r="BM158" s="37">
        <v>14.763999999999999</v>
      </c>
      <c r="BN158" s="37">
        <v>14.907</v>
      </c>
    </row>
    <row r="159" spans="1:66" x14ac:dyDescent="0.2">
      <c r="A159" s="2" t="s">
        <v>534</v>
      </c>
      <c r="B159" s="2" t="s">
        <v>535</v>
      </c>
      <c r="C159" s="11" t="s">
        <v>82</v>
      </c>
      <c r="D159" s="12" t="s">
        <v>697</v>
      </c>
      <c r="E159" s="35">
        <v>1.00000007129538</v>
      </c>
      <c r="F159" s="36">
        <v>4.0359999999999996</v>
      </c>
      <c r="G159" s="36">
        <v>4.1440000000000001</v>
      </c>
      <c r="H159" s="36">
        <v>4.2539999999999996</v>
      </c>
      <c r="I159" s="36">
        <v>4.3630000000000004</v>
      </c>
      <c r="J159" s="36">
        <v>4.4710000000000001</v>
      </c>
      <c r="K159" s="36">
        <v>4.58</v>
      </c>
      <c r="L159" s="36">
        <v>4.6879999999999997</v>
      </c>
      <c r="M159" s="36">
        <v>4.7939999999999996</v>
      </c>
      <c r="N159" s="36">
        <v>4.9000000000000004</v>
      </c>
      <c r="O159" s="36">
        <v>5.0030000000000001</v>
      </c>
      <c r="P159" s="36">
        <v>5.101</v>
      </c>
      <c r="Q159" s="36">
        <v>5.1879999999999997</v>
      </c>
      <c r="R159" s="36">
        <v>5.2610000000000001</v>
      </c>
      <c r="S159" s="36">
        <v>5.3259999999999996</v>
      </c>
      <c r="T159" s="36">
        <v>5.3879999999999999</v>
      </c>
      <c r="U159" s="36">
        <v>5.4480000000000004</v>
      </c>
      <c r="V159" s="36">
        <v>5.5049999999999999</v>
      </c>
      <c r="W159" s="36">
        <v>5.5590000000000002</v>
      </c>
      <c r="X159" s="36">
        <v>5.6139999999999999</v>
      </c>
      <c r="Y159" s="36">
        <v>5.6710000000000003</v>
      </c>
      <c r="Z159" s="36">
        <v>5.7380000000000004</v>
      </c>
      <c r="AA159" s="36">
        <v>5.8150000000000004</v>
      </c>
      <c r="AB159" s="36">
        <v>5.8970000000000002</v>
      </c>
      <c r="AC159" s="36">
        <v>5.9820000000000002</v>
      </c>
      <c r="AD159" s="36">
        <v>6.07</v>
      </c>
      <c r="AE159" s="36">
        <v>6.1589999999999998</v>
      </c>
      <c r="AF159" s="36">
        <v>6.2489999999999997</v>
      </c>
      <c r="AG159" s="36">
        <v>6.3390000000000004</v>
      </c>
      <c r="AH159" s="36">
        <v>6.4269999999999996</v>
      </c>
      <c r="AI159" s="36">
        <v>6.5149999999999997</v>
      </c>
      <c r="AJ159" s="36">
        <v>6.6040000000000001</v>
      </c>
      <c r="AK159" s="36">
        <v>6.6840000000000002</v>
      </c>
      <c r="AL159" s="36">
        <v>6.76</v>
      </c>
      <c r="AM159" s="36">
        <v>6.8440000000000003</v>
      </c>
      <c r="AN159" s="36">
        <v>6.9290000000000003</v>
      </c>
      <c r="AO159" s="36">
        <v>7.0129999999999999</v>
      </c>
      <c r="AP159" s="37">
        <v>7.0949999999999998</v>
      </c>
      <c r="AQ159" s="37">
        <v>7.1760000000000002</v>
      </c>
      <c r="AR159" s="37">
        <v>7.2549999999999999</v>
      </c>
      <c r="AS159" s="37">
        <v>7.3319999999999999</v>
      </c>
      <c r="AT159" s="37">
        <v>7.4080000000000004</v>
      </c>
      <c r="AU159" s="37">
        <v>7.4820000000000002</v>
      </c>
      <c r="AV159" s="37">
        <v>7.5540000000000003</v>
      </c>
      <c r="AW159" s="37">
        <v>7.625</v>
      </c>
      <c r="AX159" s="37">
        <v>7.6950000000000003</v>
      </c>
      <c r="AY159" s="37">
        <v>7.7640000000000002</v>
      </c>
      <c r="AZ159" s="37">
        <v>7.8310000000000004</v>
      </c>
      <c r="BA159" s="37">
        <v>7.8970000000000002</v>
      </c>
      <c r="BB159" s="37">
        <v>7.9619999999999997</v>
      </c>
      <c r="BC159" s="37">
        <v>8.0250000000000004</v>
      </c>
      <c r="BD159" s="37">
        <v>8.0879999999999992</v>
      </c>
      <c r="BE159" s="37">
        <v>8.1479999999999997</v>
      </c>
      <c r="BF159" s="37">
        <v>8.2080000000000002</v>
      </c>
      <c r="BG159" s="37">
        <v>8.2669999999999995</v>
      </c>
      <c r="BH159" s="37">
        <v>8.3239999999999998</v>
      </c>
      <c r="BI159" s="37">
        <v>8.3810000000000002</v>
      </c>
      <c r="BJ159" s="37">
        <v>8.4359999999999999</v>
      </c>
      <c r="BK159" s="37">
        <v>8.4890000000000008</v>
      </c>
      <c r="BL159" s="37">
        <v>8.5410000000000004</v>
      </c>
      <c r="BM159" s="37">
        <v>8.5920000000000005</v>
      </c>
      <c r="BN159" s="37">
        <v>8.64</v>
      </c>
    </row>
    <row r="160" spans="1:66" x14ac:dyDescent="0.2">
      <c r="A160" s="2" t="s">
        <v>536</v>
      </c>
      <c r="B160" s="2" t="s">
        <v>537</v>
      </c>
      <c r="C160" s="11" t="s">
        <v>82</v>
      </c>
      <c r="D160" s="12" t="s">
        <v>697</v>
      </c>
      <c r="E160" s="35">
        <v>1</v>
      </c>
      <c r="F160" s="36">
        <v>22.015000000000001</v>
      </c>
      <c r="G160" s="36">
        <v>22.484000000000002</v>
      </c>
      <c r="H160" s="36">
        <v>22.946000000000002</v>
      </c>
      <c r="I160" s="36">
        <v>23.414000000000001</v>
      </c>
      <c r="J160" s="36">
        <v>23.881</v>
      </c>
      <c r="K160" s="36">
        <v>24.349</v>
      </c>
      <c r="L160" s="36">
        <v>24.811</v>
      </c>
      <c r="M160" s="36">
        <v>25.274000000000001</v>
      </c>
      <c r="N160" s="36">
        <v>25.738</v>
      </c>
      <c r="O160" s="36">
        <v>26.187000000000001</v>
      </c>
      <c r="P160" s="36">
        <v>26.597999999999999</v>
      </c>
      <c r="Q160" s="36">
        <v>26.965</v>
      </c>
      <c r="R160" s="36">
        <v>27.288</v>
      </c>
      <c r="S160" s="36">
        <v>27.58</v>
      </c>
      <c r="T160" s="36">
        <v>27.852</v>
      </c>
      <c r="U160" s="36">
        <v>28.100999999999999</v>
      </c>
      <c r="V160" s="36">
        <v>28.324000000000002</v>
      </c>
      <c r="W160" s="36">
        <v>28.530999999999999</v>
      </c>
      <c r="X160" s="36">
        <v>28.719000000000001</v>
      </c>
      <c r="Y160" s="36">
        <v>28.896999999999998</v>
      </c>
      <c r="Z160" s="36">
        <v>29.085999999999999</v>
      </c>
      <c r="AA160" s="36">
        <v>29.303999999999998</v>
      </c>
      <c r="AB160" s="36">
        <v>29.55</v>
      </c>
      <c r="AC160" s="36">
        <v>29.818000000000001</v>
      </c>
      <c r="AD160" s="36">
        <v>30.116</v>
      </c>
      <c r="AE160" s="36">
        <v>30.457999999999998</v>
      </c>
      <c r="AF160" s="36">
        <v>30.866</v>
      </c>
      <c r="AG160" s="36">
        <v>31.324999999999999</v>
      </c>
      <c r="AH160" s="36">
        <v>31.898</v>
      </c>
      <c r="AI160" s="36">
        <v>32.448999999999998</v>
      </c>
      <c r="AJ160" s="36">
        <v>32.838999999999999</v>
      </c>
      <c r="AK160" s="36">
        <v>33.155999999999999</v>
      </c>
      <c r="AL160" s="36">
        <v>33.475000000000001</v>
      </c>
      <c r="AM160" s="36">
        <v>33.845999999999997</v>
      </c>
      <c r="AN160" s="36">
        <v>34.218000000000004</v>
      </c>
      <c r="AO160" s="36">
        <v>34.576999999999998</v>
      </c>
      <c r="AP160" s="37">
        <v>34.921999999999997</v>
      </c>
      <c r="AQ160" s="37">
        <v>35.256</v>
      </c>
      <c r="AR160" s="37">
        <v>35.578000000000003</v>
      </c>
      <c r="AS160" s="37">
        <v>35.890999999999998</v>
      </c>
      <c r="AT160" s="37">
        <v>36.194000000000003</v>
      </c>
      <c r="AU160" s="37">
        <v>36.488</v>
      </c>
      <c r="AV160" s="37">
        <v>36.774999999999999</v>
      </c>
      <c r="AW160" s="37">
        <v>37.054000000000002</v>
      </c>
      <c r="AX160" s="37">
        <v>37.326999999999998</v>
      </c>
      <c r="AY160" s="37">
        <v>37.591000000000001</v>
      </c>
      <c r="AZ160" s="37">
        <v>37.847999999999999</v>
      </c>
      <c r="BA160" s="37">
        <v>38.097000000000001</v>
      </c>
      <c r="BB160" s="37">
        <v>38.337000000000003</v>
      </c>
      <c r="BC160" s="37">
        <v>38.57</v>
      </c>
      <c r="BD160" s="37">
        <v>38.795000000000002</v>
      </c>
      <c r="BE160" s="37">
        <v>39.012</v>
      </c>
      <c r="BF160" s="37">
        <v>39.22</v>
      </c>
      <c r="BG160" s="37">
        <v>39.420999999999999</v>
      </c>
      <c r="BH160" s="37">
        <v>39.613</v>
      </c>
      <c r="BI160" s="37">
        <v>39.796999999999997</v>
      </c>
      <c r="BJ160" s="37">
        <v>39.972000000000001</v>
      </c>
      <c r="BK160" s="37">
        <v>40.137999999999998</v>
      </c>
      <c r="BL160" s="37">
        <v>40.295000000000002</v>
      </c>
      <c r="BM160" s="37">
        <v>40.442999999999998</v>
      </c>
      <c r="BN160" s="37">
        <v>40.584000000000003</v>
      </c>
    </row>
    <row r="161" spans="1:66" x14ac:dyDescent="0.2">
      <c r="A161" s="2" t="s">
        <v>538</v>
      </c>
      <c r="B161" s="2" t="s">
        <v>539</v>
      </c>
      <c r="C161" s="11" t="s">
        <v>82</v>
      </c>
      <c r="D161" s="12" t="s">
        <v>697</v>
      </c>
      <c r="E161" s="35">
        <v>0.99999999571870002</v>
      </c>
      <c r="F161" s="36">
        <v>62.854999999999997</v>
      </c>
      <c r="G161" s="36">
        <v>64.382000000000005</v>
      </c>
      <c r="H161" s="36">
        <v>65.926000000000002</v>
      </c>
      <c r="I161" s="36">
        <v>67.531000000000006</v>
      </c>
      <c r="J161" s="36">
        <v>69.019000000000005</v>
      </c>
      <c r="K161" s="36">
        <v>70.546000000000006</v>
      </c>
      <c r="L161" s="36">
        <v>72.19</v>
      </c>
      <c r="M161" s="36">
        <v>73.909000000000006</v>
      </c>
      <c r="N161" s="36">
        <v>75.790999999999997</v>
      </c>
      <c r="O161" s="36">
        <v>77.753</v>
      </c>
      <c r="P161" s="36">
        <v>79.625</v>
      </c>
      <c r="Q161" s="36">
        <v>81.400999999999996</v>
      </c>
      <c r="R161" s="36">
        <v>83.069000000000003</v>
      </c>
      <c r="S161" s="36">
        <v>84.731999999999999</v>
      </c>
      <c r="T161" s="36">
        <v>86.394999999999996</v>
      </c>
      <c r="U161" s="36">
        <v>88.016000000000005</v>
      </c>
      <c r="V161" s="36">
        <v>89.509</v>
      </c>
      <c r="W161" s="36">
        <v>91.075000000000003</v>
      </c>
      <c r="X161" s="36">
        <v>92.698999999999998</v>
      </c>
      <c r="Y161" s="36">
        <v>94.384</v>
      </c>
      <c r="Z161" s="36">
        <v>96.337000000000003</v>
      </c>
      <c r="AA161" s="36">
        <v>98.248999999999995</v>
      </c>
      <c r="AB161" s="36">
        <v>100.176</v>
      </c>
      <c r="AC161" s="36">
        <v>102.07599999999999</v>
      </c>
      <c r="AD161" s="36">
        <v>103.767</v>
      </c>
      <c r="AE161" s="36">
        <v>105.313</v>
      </c>
      <c r="AF161" s="36">
        <v>106.736</v>
      </c>
      <c r="AG161" s="36">
        <v>108.12</v>
      </c>
      <c r="AH161" s="36">
        <v>109.465</v>
      </c>
      <c r="AI161" s="36">
        <v>110.80500000000001</v>
      </c>
      <c r="AJ161" s="36">
        <v>112.081</v>
      </c>
      <c r="AK161" s="36">
        <v>113.101</v>
      </c>
      <c r="AL161" s="36">
        <v>113.964</v>
      </c>
      <c r="AM161" s="36">
        <v>114.89100000000001</v>
      </c>
      <c r="AN161" s="36">
        <v>115.84399999999999</v>
      </c>
      <c r="AO161" s="36">
        <v>116.78700000000001</v>
      </c>
      <c r="AP161" s="37">
        <v>117.724</v>
      </c>
      <c r="AQ161" s="37">
        <v>118.65600000000001</v>
      </c>
      <c r="AR161" s="37">
        <v>119.584</v>
      </c>
      <c r="AS161" s="37">
        <v>120.502</v>
      </c>
      <c r="AT161" s="37">
        <v>121.40900000000001</v>
      </c>
      <c r="AU161" s="37">
        <v>122.30200000000001</v>
      </c>
      <c r="AV161" s="37">
        <v>123.18</v>
      </c>
      <c r="AW161" s="37">
        <v>124.04900000000001</v>
      </c>
      <c r="AX161" s="37">
        <v>124.904</v>
      </c>
      <c r="AY161" s="37">
        <v>125.741</v>
      </c>
      <c r="AZ161" s="37">
        <v>126.55800000000001</v>
      </c>
      <c r="BA161" s="37">
        <v>127.35299999999999</v>
      </c>
      <c r="BB161" s="37">
        <v>128.119</v>
      </c>
      <c r="BC161" s="37">
        <v>128.85</v>
      </c>
      <c r="BD161" s="37">
        <v>129.547</v>
      </c>
      <c r="BE161" s="37">
        <v>130.21</v>
      </c>
      <c r="BF161" s="37">
        <v>130.83699999999999</v>
      </c>
      <c r="BG161" s="37">
        <v>131.42699999999999</v>
      </c>
      <c r="BH161" s="37">
        <v>131.97999999999999</v>
      </c>
      <c r="BI161" s="37">
        <v>132.49199999999999</v>
      </c>
      <c r="BJ161" s="37">
        <v>132.96199999999999</v>
      </c>
      <c r="BK161" s="37">
        <v>133.38499999999999</v>
      </c>
      <c r="BL161" s="37">
        <v>133.75899999999999</v>
      </c>
      <c r="BM161" s="37">
        <v>134.089</v>
      </c>
      <c r="BN161" s="37">
        <v>134.37299999999999</v>
      </c>
    </row>
    <row r="162" spans="1:66" x14ac:dyDescent="0.2">
      <c r="A162" s="2" t="s">
        <v>540</v>
      </c>
      <c r="B162" s="2" t="s">
        <v>541</v>
      </c>
      <c r="C162" s="11" t="s">
        <v>79</v>
      </c>
      <c r="D162" s="12" t="s">
        <v>697</v>
      </c>
      <c r="E162" s="35">
        <v>0.95529607126961702</v>
      </c>
      <c r="F162" s="36">
        <v>38.110999999999997</v>
      </c>
      <c r="G162" s="36">
        <v>38.246000000000002</v>
      </c>
      <c r="H162" s="36">
        <v>38.363999999999997</v>
      </c>
      <c r="I162" s="36">
        <v>38.460999999999999</v>
      </c>
      <c r="J162" s="36">
        <v>38.542999999999999</v>
      </c>
      <c r="K162" s="36">
        <v>38.594999999999999</v>
      </c>
      <c r="L162" s="36">
        <v>38.624000000000002</v>
      </c>
      <c r="M162" s="36">
        <v>38.65</v>
      </c>
      <c r="N162" s="36">
        <v>38.662999999999997</v>
      </c>
      <c r="O162" s="36">
        <v>38.659999999999997</v>
      </c>
      <c r="P162" s="36">
        <v>38.259</v>
      </c>
      <c r="Q162" s="36">
        <v>38.247999999999998</v>
      </c>
      <c r="R162" s="36">
        <v>38.229999999999997</v>
      </c>
      <c r="S162" s="36">
        <v>38.204999999999998</v>
      </c>
      <c r="T162" s="36">
        <v>38.182000000000002</v>
      </c>
      <c r="U162" s="36">
        <v>38.164999999999999</v>
      </c>
      <c r="V162" s="36">
        <v>38.140999999999998</v>
      </c>
      <c r="W162" s="36">
        <v>38.121000000000002</v>
      </c>
      <c r="X162" s="36">
        <v>38.125999999999998</v>
      </c>
      <c r="Y162" s="36">
        <v>38.152000000000001</v>
      </c>
      <c r="Z162" s="36">
        <v>38.042999999999999</v>
      </c>
      <c r="AA162" s="36">
        <v>38.063000000000002</v>
      </c>
      <c r="AB162" s="36">
        <v>38.063000000000002</v>
      </c>
      <c r="AC162" s="36">
        <v>38.04</v>
      </c>
      <c r="AD162" s="36">
        <v>38.012</v>
      </c>
      <c r="AE162" s="36">
        <v>37.985999999999997</v>
      </c>
      <c r="AF162" s="36">
        <v>37.97</v>
      </c>
      <c r="AG162" s="36">
        <v>37.975000000000001</v>
      </c>
      <c r="AH162" s="36">
        <v>37.975000000000001</v>
      </c>
      <c r="AI162" s="36">
        <v>37.965000000000003</v>
      </c>
      <c r="AJ162" s="36">
        <v>37.515999999999998</v>
      </c>
      <c r="AK162" s="36">
        <v>36.981999999999999</v>
      </c>
      <c r="AL162" s="36">
        <v>36.822000000000003</v>
      </c>
      <c r="AM162" s="36">
        <v>36.686999999999998</v>
      </c>
      <c r="AN162" s="36">
        <v>36.558999999999997</v>
      </c>
      <c r="AO162" s="36">
        <v>36.436</v>
      </c>
      <c r="AP162" s="37">
        <v>36.151000000000003</v>
      </c>
      <c r="AQ162" s="37">
        <v>36.01</v>
      </c>
      <c r="AR162" s="37">
        <v>35.86</v>
      </c>
      <c r="AS162" s="37">
        <v>35.701999999999998</v>
      </c>
      <c r="AT162" s="37">
        <v>35.536000000000001</v>
      </c>
      <c r="AU162" s="37">
        <v>35.363</v>
      </c>
      <c r="AV162" s="37">
        <v>35.185000000000002</v>
      </c>
      <c r="AW162" s="37">
        <v>35.002000000000002</v>
      </c>
      <c r="AX162" s="37">
        <v>34.814999999999998</v>
      </c>
      <c r="AY162" s="37">
        <v>34.624000000000002</v>
      </c>
      <c r="AZ162" s="37">
        <v>34.427999999999997</v>
      </c>
      <c r="BA162" s="37">
        <v>34.228000000000002</v>
      </c>
      <c r="BB162" s="37">
        <v>34.024999999999999</v>
      </c>
      <c r="BC162" s="37">
        <v>33.817999999999998</v>
      </c>
      <c r="BD162" s="37">
        <v>33.606999999999999</v>
      </c>
      <c r="BE162" s="37">
        <v>33.393999999999998</v>
      </c>
      <c r="BF162" s="37">
        <v>33.177</v>
      </c>
      <c r="BG162" s="37">
        <v>32.957000000000001</v>
      </c>
      <c r="BH162" s="37">
        <v>32.734999999999999</v>
      </c>
      <c r="BI162" s="37">
        <v>32.51</v>
      </c>
      <c r="BJ162" s="37">
        <v>32.281999999999996</v>
      </c>
      <c r="BK162" s="37">
        <v>32.052</v>
      </c>
      <c r="BL162" s="37">
        <v>31.82</v>
      </c>
      <c r="BM162" s="37">
        <v>31.585000000000001</v>
      </c>
      <c r="BN162" s="37">
        <v>31.347000000000001</v>
      </c>
    </row>
    <row r="163" spans="1:66" x14ac:dyDescent="0.2">
      <c r="A163" s="2" t="s">
        <v>542</v>
      </c>
      <c r="B163" s="2" t="s">
        <v>543</v>
      </c>
      <c r="C163" s="11" t="s">
        <v>79</v>
      </c>
      <c r="D163" s="12" t="s">
        <v>697</v>
      </c>
      <c r="E163" s="35">
        <v>1.0377491149853699</v>
      </c>
      <c r="F163" s="36">
        <v>9.9830000000000005</v>
      </c>
      <c r="G163" s="36">
        <v>9.9600000000000009</v>
      </c>
      <c r="H163" s="36">
        <v>9.952</v>
      </c>
      <c r="I163" s="36">
        <v>9.9649999999999999</v>
      </c>
      <c r="J163" s="36">
        <v>9.9920000000000009</v>
      </c>
      <c r="K163" s="36">
        <v>10.026</v>
      </c>
      <c r="L163" s="36">
        <v>10.064</v>
      </c>
      <c r="M163" s="36">
        <v>10.109</v>
      </c>
      <c r="N163" s="36">
        <v>10.16</v>
      </c>
      <c r="O163" s="36">
        <v>10.218</v>
      </c>
      <c r="P163" s="36">
        <v>10.29</v>
      </c>
      <c r="Q163" s="36">
        <v>10.363</v>
      </c>
      <c r="R163" s="36">
        <v>10.42</v>
      </c>
      <c r="S163" s="36">
        <v>10.459</v>
      </c>
      <c r="T163" s="36">
        <v>10.484</v>
      </c>
      <c r="U163" s="36">
        <v>10.503</v>
      </c>
      <c r="V163" s="36">
        <v>10.522</v>
      </c>
      <c r="W163" s="36">
        <v>10.542999999999999</v>
      </c>
      <c r="X163" s="36">
        <v>10.558</v>
      </c>
      <c r="Y163" s="36">
        <v>10.568</v>
      </c>
      <c r="Z163" s="36">
        <v>10.573</v>
      </c>
      <c r="AA163" s="36">
        <v>10.558</v>
      </c>
      <c r="AB163" s="36">
        <v>10.515000000000001</v>
      </c>
      <c r="AC163" s="36">
        <v>10.457000000000001</v>
      </c>
      <c r="AD163" s="36">
        <v>10.401</v>
      </c>
      <c r="AE163" s="36">
        <v>10.358000000000001</v>
      </c>
      <c r="AF163" s="36">
        <v>10.324999999999999</v>
      </c>
      <c r="AG163" s="36">
        <v>10.3</v>
      </c>
      <c r="AH163" s="36">
        <v>10.284000000000001</v>
      </c>
      <c r="AI163" s="36">
        <v>10.286</v>
      </c>
      <c r="AJ163" s="36">
        <v>10.297000000000001</v>
      </c>
      <c r="AK163" s="36">
        <v>10.362</v>
      </c>
      <c r="AL163" s="36">
        <v>10.433999999999999</v>
      </c>
      <c r="AM163" s="36">
        <v>10.577999999999999</v>
      </c>
      <c r="AN163" s="36">
        <v>10.695</v>
      </c>
      <c r="AO163" s="36">
        <v>10.805</v>
      </c>
      <c r="AP163" s="37">
        <v>10.788</v>
      </c>
      <c r="AQ163" s="37">
        <v>10.77</v>
      </c>
      <c r="AR163" s="37">
        <v>10.749000000000001</v>
      </c>
      <c r="AS163" s="37">
        <v>10.728</v>
      </c>
      <c r="AT163" s="37">
        <v>10.707000000000001</v>
      </c>
      <c r="AU163" s="37">
        <v>10.686999999999999</v>
      </c>
      <c r="AV163" s="37">
        <v>10.664999999999999</v>
      </c>
      <c r="AW163" s="37">
        <v>10.641999999999999</v>
      </c>
      <c r="AX163" s="37">
        <v>10.618</v>
      </c>
      <c r="AY163" s="37">
        <v>10.593999999999999</v>
      </c>
      <c r="AZ163" s="37">
        <v>10.569000000000001</v>
      </c>
      <c r="BA163" s="37">
        <v>10.544</v>
      </c>
      <c r="BB163" s="37">
        <v>10.519</v>
      </c>
      <c r="BC163" s="37">
        <v>10.492000000000001</v>
      </c>
      <c r="BD163" s="37">
        <v>10.462999999999999</v>
      </c>
      <c r="BE163" s="37">
        <v>10.435</v>
      </c>
      <c r="BF163" s="37">
        <v>10.407</v>
      </c>
      <c r="BG163" s="37">
        <v>10.377000000000001</v>
      </c>
      <c r="BH163" s="37">
        <v>10.346</v>
      </c>
      <c r="BI163" s="37">
        <v>10.314</v>
      </c>
      <c r="BJ163" s="37">
        <v>10.28</v>
      </c>
      <c r="BK163" s="37">
        <v>10.246</v>
      </c>
      <c r="BL163" s="37">
        <v>10.212</v>
      </c>
      <c r="BM163" s="37">
        <v>10.176</v>
      </c>
      <c r="BN163" s="37">
        <v>10.138999999999999</v>
      </c>
    </row>
    <row r="164" spans="1:66" x14ac:dyDescent="0.2">
      <c r="A164" s="2" t="s">
        <v>544</v>
      </c>
      <c r="B164" s="2" t="s">
        <v>545</v>
      </c>
      <c r="C164" s="11" t="s">
        <v>79</v>
      </c>
      <c r="D164" s="12" t="s">
        <v>697</v>
      </c>
      <c r="E164" s="35">
        <v>0.98440495046888399</v>
      </c>
      <c r="F164" s="36">
        <v>3.5369999999999999</v>
      </c>
      <c r="G164" s="36">
        <v>3.5619999999999998</v>
      </c>
      <c r="H164" s="36">
        <v>3.585</v>
      </c>
      <c r="I164" s="36">
        <v>3.6150000000000002</v>
      </c>
      <c r="J164" s="36">
        <v>3.649</v>
      </c>
      <c r="K164" s="36">
        <v>3.6829999999999998</v>
      </c>
      <c r="L164" s="36">
        <v>3.7250000000000001</v>
      </c>
      <c r="M164" s="36">
        <v>3.7589999999999999</v>
      </c>
      <c r="N164" s="36">
        <v>3.7810000000000001</v>
      </c>
      <c r="O164" s="36">
        <v>3.8</v>
      </c>
      <c r="P164" s="36">
        <v>3.8109999999999999</v>
      </c>
      <c r="Q164" s="36">
        <v>3.819</v>
      </c>
      <c r="R164" s="36">
        <v>3.8239999999999998</v>
      </c>
      <c r="S164" s="36">
        <v>3.8260000000000001</v>
      </c>
      <c r="T164" s="36">
        <v>3.827</v>
      </c>
      <c r="U164" s="36">
        <v>3.8210000000000002</v>
      </c>
      <c r="V164" s="36">
        <v>3.8050000000000002</v>
      </c>
      <c r="W164" s="36">
        <v>3.7829999999999999</v>
      </c>
      <c r="X164" s="36">
        <v>3.7610000000000001</v>
      </c>
      <c r="Y164" s="36">
        <v>3.74</v>
      </c>
      <c r="Z164" s="36">
        <v>3.7240000000000002</v>
      </c>
      <c r="AA164" s="36">
        <v>3.6930000000000001</v>
      </c>
      <c r="AB164" s="36">
        <v>3.661</v>
      </c>
      <c r="AC164" s="36">
        <v>3.6309999999999998</v>
      </c>
      <c r="AD164" s="36">
        <v>3.585</v>
      </c>
      <c r="AE164" s="36">
        <v>3.5350000000000001</v>
      </c>
      <c r="AF164" s="36">
        <v>3.48</v>
      </c>
      <c r="AG164" s="36">
        <v>3.411</v>
      </c>
      <c r="AH164" s="36">
        <v>3.2909999999999999</v>
      </c>
      <c r="AI164" s="36">
        <v>3.3029999999999999</v>
      </c>
      <c r="AJ164" s="36">
        <v>3.282</v>
      </c>
      <c r="AK164" s="36">
        <v>3.2629999999999999</v>
      </c>
      <c r="AL164" s="36">
        <v>3.22</v>
      </c>
      <c r="AM164" s="36">
        <v>3.2040000000000002</v>
      </c>
      <c r="AN164" s="36">
        <v>3.2029999999999998</v>
      </c>
      <c r="AO164" s="36">
        <v>3.1850000000000001</v>
      </c>
      <c r="AP164" s="37">
        <v>3.1720000000000002</v>
      </c>
      <c r="AQ164" s="37">
        <v>3.1560000000000001</v>
      </c>
      <c r="AR164" s="37">
        <v>3.137</v>
      </c>
      <c r="AS164" s="37">
        <v>3.1150000000000002</v>
      </c>
      <c r="AT164" s="37">
        <v>3.0920000000000001</v>
      </c>
      <c r="AU164" s="37">
        <v>3.0670000000000002</v>
      </c>
      <c r="AV164" s="37">
        <v>3.0409999999999999</v>
      </c>
      <c r="AW164" s="37">
        <v>3.0150000000000001</v>
      </c>
      <c r="AX164" s="37">
        <v>2.9870000000000001</v>
      </c>
      <c r="AY164" s="37">
        <v>2.96</v>
      </c>
      <c r="AZ164" s="37">
        <v>2.9319999999999999</v>
      </c>
      <c r="BA164" s="37">
        <v>2.903</v>
      </c>
      <c r="BB164" s="37">
        <v>2.8719999999999999</v>
      </c>
      <c r="BC164" s="37">
        <v>2.8410000000000002</v>
      </c>
      <c r="BD164" s="37">
        <v>2.8090000000000002</v>
      </c>
      <c r="BE164" s="37">
        <v>2.7770000000000001</v>
      </c>
      <c r="BF164" s="37">
        <v>2.7440000000000002</v>
      </c>
      <c r="BG164" s="37">
        <v>2.7109999999999999</v>
      </c>
      <c r="BH164" s="37">
        <v>2.677</v>
      </c>
      <c r="BI164" s="37">
        <v>2.6429999999999998</v>
      </c>
      <c r="BJ164" s="37">
        <v>2.6080000000000001</v>
      </c>
      <c r="BK164" s="37">
        <v>2.5720000000000001</v>
      </c>
      <c r="BL164" s="37">
        <v>2.5369999999999999</v>
      </c>
      <c r="BM164" s="37">
        <v>2.5009999999999999</v>
      </c>
      <c r="BN164" s="37">
        <v>2.4649999999999999</v>
      </c>
    </row>
    <row r="165" spans="1:66" x14ac:dyDescent="0.2">
      <c r="A165" s="2" t="s">
        <v>546</v>
      </c>
      <c r="B165" s="2" t="s">
        <v>547</v>
      </c>
      <c r="C165" s="11" t="s">
        <v>79</v>
      </c>
      <c r="D165" s="12" t="s">
        <v>697</v>
      </c>
      <c r="E165" s="35">
        <v>0.95389003810630602</v>
      </c>
      <c r="F165" s="36">
        <v>0.44</v>
      </c>
      <c r="G165" s="36">
        <v>0.45500000000000002</v>
      </c>
      <c r="H165" s="36">
        <v>0.47</v>
      </c>
      <c r="I165" s="36">
        <v>0.48499999999999999</v>
      </c>
      <c r="J165" s="36">
        <v>0.499</v>
      </c>
      <c r="K165" s="36">
        <v>0.51400000000000001</v>
      </c>
      <c r="L165" s="36">
        <v>0.52900000000000003</v>
      </c>
      <c r="M165" s="36">
        <v>0.55000000000000004</v>
      </c>
      <c r="N165" s="36">
        <v>0.58099999999999996</v>
      </c>
      <c r="O165" s="36">
        <v>0.61299999999999999</v>
      </c>
      <c r="P165" s="36">
        <v>0.64500000000000002</v>
      </c>
      <c r="Q165" s="36">
        <v>0.67800000000000005</v>
      </c>
      <c r="R165" s="36">
        <v>0.71099999999999997</v>
      </c>
      <c r="S165" s="36">
        <v>0.745</v>
      </c>
      <c r="T165" s="36">
        <v>0.77300000000000002</v>
      </c>
      <c r="U165" s="36">
        <v>0.82499999999999996</v>
      </c>
      <c r="V165" s="36">
        <v>0.97299999999999998</v>
      </c>
      <c r="W165" s="36">
        <v>1.2090000000000001</v>
      </c>
      <c r="X165" s="36">
        <v>1.427</v>
      </c>
      <c r="Y165" s="36">
        <v>1.609</v>
      </c>
      <c r="Z165" s="36">
        <v>1.617</v>
      </c>
      <c r="AA165" s="36">
        <v>1.625</v>
      </c>
      <c r="AB165" s="36">
        <v>1.722</v>
      </c>
      <c r="AC165" s="36">
        <v>1.9159999999999999</v>
      </c>
      <c r="AD165" s="36">
        <v>2.1520000000000001</v>
      </c>
      <c r="AE165" s="36">
        <v>2.3450000000000002</v>
      </c>
      <c r="AF165" s="36">
        <v>2.4769999999999999</v>
      </c>
      <c r="AG165" s="36">
        <v>2.5459999999999998</v>
      </c>
      <c r="AH165" s="36">
        <v>2.581</v>
      </c>
      <c r="AI165" s="36">
        <v>2.6389999999999998</v>
      </c>
      <c r="AJ165" s="36">
        <v>2.794</v>
      </c>
      <c r="AK165" s="36">
        <v>2.5049999999999999</v>
      </c>
      <c r="AL165" s="36">
        <v>2.657</v>
      </c>
      <c r="AM165" s="36">
        <v>2.6560000000000001</v>
      </c>
      <c r="AN165" s="36">
        <v>2.8580000000000001</v>
      </c>
      <c r="AO165" s="36">
        <v>2.972</v>
      </c>
      <c r="AP165" s="37">
        <v>3.0270000000000001</v>
      </c>
      <c r="AQ165" s="37">
        <v>3.0720000000000001</v>
      </c>
      <c r="AR165" s="37">
        <v>3.1110000000000002</v>
      </c>
      <c r="AS165" s="37">
        <v>3.1469999999999998</v>
      </c>
      <c r="AT165" s="37">
        <v>3.18</v>
      </c>
      <c r="AU165" s="37">
        <v>3.2120000000000002</v>
      </c>
      <c r="AV165" s="37">
        <v>3.2450000000000001</v>
      </c>
      <c r="AW165" s="37">
        <v>3.2789999999999999</v>
      </c>
      <c r="AX165" s="37">
        <v>3.3140000000000001</v>
      </c>
      <c r="AY165" s="37">
        <v>3.3490000000000002</v>
      </c>
      <c r="AZ165" s="37">
        <v>3.3860000000000001</v>
      </c>
      <c r="BA165" s="37">
        <v>3.423</v>
      </c>
      <c r="BB165" s="37">
        <v>3.4609999999999999</v>
      </c>
      <c r="BC165" s="37">
        <v>3.5009999999999999</v>
      </c>
      <c r="BD165" s="37">
        <v>3.54</v>
      </c>
      <c r="BE165" s="37">
        <v>3.581</v>
      </c>
      <c r="BF165" s="37">
        <v>3.6219999999999999</v>
      </c>
      <c r="BG165" s="37">
        <v>3.6640000000000001</v>
      </c>
      <c r="BH165" s="37">
        <v>3.7069999999999999</v>
      </c>
      <c r="BI165" s="37">
        <v>3.75</v>
      </c>
      <c r="BJ165" s="37">
        <v>3.7930000000000001</v>
      </c>
      <c r="BK165" s="37">
        <v>3.8370000000000002</v>
      </c>
      <c r="BL165" s="37">
        <v>3.8820000000000001</v>
      </c>
      <c r="BM165" s="37">
        <v>3.927</v>
      </c>
      <c r="BN165" s="37">
        <v>3.972</v>
      </c>
    </row>
    <row r="166" spans="1:66" x14ac:dyDescent="0.2">
      <c r="A166" s="2" t="s">
        <v>549</v>
      </c>
      <c r="B166" s="2" t="s">
        <v>550</v>
      </c>
      <c r="C166" s="11" t="s">
        <v>79</v>
      </c>
      <c r="D166" s="12" t="s">
        <v>697</v>
      </c>
      <c r="E166" s="35">
        <v>1.0059031447008899</v>
      </c>
      <c r="F166" s="36">
        <v>23.202000000000002</v>
      </c>
      <c r="G166" s="36">
        <v>23.001000000000001</v>
      </c>
      <c r="H166" s="36">
        <v>22.794</v>
      </c>
      <c r="I166" s="36">
        <v>22.763000000000002</v>
      </c>
      <c r="J166" s="36">
        <v>22.73</v>
      </c>
      <c r="K166" s="36">
        <v>22.684000000000001</v>
      </c>
      <c r="L166" s="36">
        <v>22.619</v>
      </c>
      <c r="M166" s="36">
        <v>22.553999999999998</v>
      </c>
      <c r="N166" s="36">
        <v>22.507000000000001</v>
      </c>
      <c r="O166" s="36">
        <v>22.472000000000001</v>
      </c>
      <c r="P166" s="36">
        <v>22.443000000000001</v>
      </c>
      <c r="Q166" s="36">
        <v>22.132000000000001</v>
      </c>
      <c r="R166" s="36">
        <v>21.73</v>
      </c>
      <c r="S166" s="36">
        <v>21.574000000000002</v>
      </c>
      <c r="T166" s="36">
        <v>21.452000000000002</v>
      </c>
      <c r="U166" s="36">
        <v>21.32</v>
      </c>
      <c r="V166" s="36">
        <v>21.193999999999999</v>
      </c>
      <c r="W166" s="36">
        <v>20.882999999999999</v>
      </c>
      <c r="X166" s="36">
        <v>20.538</v>
      </c>
      <c r="Y166" s="36">
        <v>20.367000000000001</v>
      </c>
      <c r="Z166" s="36">
        <v>20.247</v>
      </c>
      <c r="AA166" s="36">
        <v>20.148</v>
      </c>
      <c r="AB166" s="36">
        <v>20.058</v>
      </c>
      <c r="AC166" s="36">
        <v>19.984000000000002</v>
      </c>
      <c r="AD166" s="36">
        <v>19.908999999999999</v>
      </c>
      <c r="AE166" s="36">
        <v>19.815999999999999</v>
      </c>
      <c r="AF166" s="36">
        <v>19.702000000000002</v>
      </c>
      <c r="AG166" s="36">
        <v>19.588999999999999</v>
      </c>
      <c r="AH166" s="36">
        <v>19.474</v>
      </c>
      <c r="AI166" s="36">
        <v>19.372</v>
      </c>
      <c r="AJ166" s="36">
        <v>19.265000000000001</v>
      </c>
      <c r="AK166" s="36">
        <v>19.122</v>
      </c>
      <c r="AL166" s="36">
        <v>19.048999999999999</v>
      </c>
      <c r="AM166" s="36">
        <v>19.061</v>
      </c>
      <c r="AN166" s="36">
        <v>19.052</v>
      </c>
      <c r="AO166" s="36">
        <v>19.02</v>
      </c>
      <c r="AP166" s="37">
        <v>18.911999999999999</v>
      </c>
      <c r="AQ166" s="37">
        <v>18.802</v>
      </c>
      <c r="AR166" s="37">
        <v>18.692</v>
      </c>
      <c r="AS166" s="37">
        <v>18.579999999999998</v>
      </c>
      <c r="AT166" s="37">
        <v>18.468</v>
      </c>
      <c r="AU166" s="37">
        <v>18.355</v>
      </c>
      <c r="AV166" s="37">
        <v>18.242999999999999</v>
      </c>
      <c r="AW166" s="37">
        <v>18.129000000000001</v>
      </c>
      <c r="AX166" s="37">
        <v>18.015000000000001</v>
      </c>
      <c r="AY166" s="37">
        <v>17.899000000000001</v>
      </c>
      <c r="AZ166" s="37">
        <v>17.782</v>
      </c>
      <c r="BA166" s="37">
        <v>17.664999999999999</v>
      </c>
      <c r="BB166" s="37">
        <v>17.547000000000001</v>
      </c>
      <c r="BC166" s="37">
        <v>17.428999999999998</v>
      </c>
      <c r="BD166" s="37">
        <v>17.311</v>
      </c>
      <c r="BE166" s="37">
        <v>17.193000000000001</v>
      </c>
      <c r="BF166" s="37">
        <v>17.074000000000002</v>
      </c>
      <c r="BG166" s="37">
        <v>16.956</v>
      </c>
      <c r="BH166" s="37">
        <v>16.837</v>
      </c>
      <c r="BI166" s="37">
        <v>16.718</v>
      </c>
      <c r="BJ166" s="37">
        <v>16.600000000000001</v>
      </c>
      <c r="BK166" s="37">
        <v>16.481999999999999</v>
      </c>
      <c r="BL166" s="37">
        <v>16.361999999999998</v>
      </c>
      <c r="BM166" s="37">
        <v>16.242000000000001</v>
      </c>
      <c r="BN166" s="37">
        <v>16.122</v>
      </c>
    </row>
    <row r="167" spans="1:66" x14ac:dyDescent="0.2">
      <c r="A167" s="2" t="s">
        <v>552</v>
      </c>
      <c r="B167" s="2" t="s">
        <v>553</v>
      </c>
      <c r="C167" s="11" t="s">
        <v>79</v>
      </c>
      <c r="D167" s="12" t="s">
        <v>697</v>
      </c>
      <c r="E167" s="35">
        <v>0.99663837664060995</v>
      </c>
      <c r="F167" s="36">
        <v>147.96899999999999</v>
      </c>
      <c r="G167" s="36">
        <v>148.39400000000001</v>
      </c>
      <c r="H167" s="36">
        <v>148.53800000000001</v>
      </c>
      <c r="I167" s="36">
        <v>148.459</v>
      </c>
      <c r="J167" s="36">
        <v>148.40799999999999</v>
      </c>
      <c r="K167" s="36">
        <v>148.376</v>
      </c>
      <c r="L167" s="36">
        <v>148.16</v>
      </c>
      <c r="M167" s="36">
        <v>147.91499999999999</v>
      </c>
      <c r="N167" s="36">
        <v>147.67099999999999</v>
      </c>
      <c r="O167" s="36">
        <v>147.215</v>
      </c>
      <c r="P167" s="36">
        <v>146.59700000000001</v>
      </c>
      <c r="Q167" s="36">
        <v>145.976</v>
      </c>
      <c r="R167" s="36">
        <v>145.30600000000001</v>
      </c>
      <c r="S167" s="36">
        <v>144.649</v>
      </c>
      <c r="T167" s="36">
        <v>144.06700000000001</v>
      </c>
      <c r="U167" s="36">
        <v>143.51900000000001</v>
      </c>
      <c r="V167" s="36">
        <v>143.05000000000001</v>
      </c>
      <c r="W167" s="36">
        <v>142.80500000000001</v>
      </c>
      <c r="X167" s="36">
        <v>142.74199999999999</v>
      </c>
      <c r="Y167" s="36">
        <v>142.785</v>
      </c>
      <c r="Z167" s="36">
        <v>142.84899999999999</v>
      </c>
      <c r="AA167" s="36">
        <v>143.018</v>
      </c>
      <c r="AB167" s="36">
        <v>143.37799999999999</v>
      </c>
      <c r="AC167" s="36">
        <v>143.80600000000001</v>
      </c>
      <c r="AD167" s="36">
        <v>144.23699999999999</v>
      </c>
      <c r="AE167" s="36">
        <v>144.64099999999999</v>
      </c>
      <c r="AF167" s="36">
        <v>145.01499999999999</v>
      </c>
      <c r="AG167" s="36">
        <v>145.29300000000001</v>
      </c>
      <c r="AH167" s="36">
        <v>145.398</v>
      </c>
      <c r="AI167" s="36">
        <v>145.453</v>
      </c>
      <c r="AJ167" s="36">
        <v>145.245</v>
      </c>
      <c r="AK167" s="36">
        <v>144.74700000000001</v>
      </c>
      <c r="AL167" s="36">
        <v>144.23699999999999</v>
      </c>
      <c r="AM167" s="36">
        <v>143.82599999999999</v>
      </c>
      <c r="AN167" s="36">
        <v>143.66999999999999</v>
      </c>
      <c r="AO167" s="36">
        <v>143.51300000000001</v>
      </c>
      <c r="AP167" s="37">
        <v>142.91200000000001</v>
      </c>
      <c r="AQ167" s="37">
        <v>142.56299999999999</v>
      </c>
      <c r="AR167" s="37">
        <v>142.19</v>
      </c>
      <c r="AS167" s="37">
        <v>141.80699999999999</v>
      </c>
      <c r="AT167" s="37">
        <v>141.41200000000001</v>
      </c>
      <c r="AU167" s="37">
        <v>141</v>
      </c>
      <c r="AV167" s="37">
        <v>140.58600000000001</v>
      </c>
      <c r="AW167" s="37">
        <v>140.19200000000001</v>
      </c>
      <c r="AX167" s="37">
        <v>139.809</v>
      </c>
      <c r="AY167" s="37">
        <v>139.43899999999999</v>
      </c>
      <c r="AZ167" s="37">
        <v>139.08199999999999</v>
      </c>
      <c r="BA167" s="37">
        <v>138.73699999999999</v>
      </c>
      <c r="BB167" s="37">
        <v>138.41</v>
      </c>
      <c r="BC167" s="37">
        <v>138.102</v>
      </c>
      <c r="BD167" s="37">
        <v>137.81700000000001</v>
      </c>
      <c r="BE167" s="37">
        <v>137.55799999999999</v>
      </c>
      <c r="BF167" s="37">
        <v>137.32</v>
      </c>
      <c r="BG167" s="37">
        <v>137.095</v>
      </c>
      <c r="BH167" s="37">
        <v>136.88300000000001</v>
      </c>
      <c r="BI167" s="37">
        <v>136.691</v>
      </c>
      <c r="BJ167" s="37">
        <v>136.51300000000001</v>
      </c>
      <c r="BK167" s="37">
        <v>136.33000000000001</v>
      </c>
      <c r="BL167" s="37">
        <v>136.12700000000001</v>
      </c>
      <c r="BM167" s="37">
        <v>135.91</v>
      </c>
      <c r="BN167" s="37">
        <v>135.67500000000001</v>
      </c>
    </row>
    <row r="168" spans="1:66" x14ac:dyDescent="0.2">
      <c r="A168" s="2" t="s">
        <v>554</v>
      </c>
      <c r="B168" s="2" t="s">
        <v>555</v>
      </c>
      <c r="C168" s="11" t="s">
        <v>75</v>
      </c>
      <c r="D168" s="12" t="s">
        <v>697</v>
      </c>
      <c r="E168" s="35">
        <v>1.0000000343186399</v>
      </c>
      <c r="F168" s="36">
        <v>7.375</v>
      </c>
      <c r="G168" s="36">
        <v>7.5270000000000001</v>
      </c>
      <c r="H168" s="36">
        <v>7.6829999999999998</v>
      </c>
      <c r="I168" s="36">
        <v>7.9809999999999999</v>
      </c>
      <c r="J168" s="36">
        <v>6.7919999999999998</v>
      </c>
      <c r="K168" s="36">
        <v>5.6740000000000004</v>
      </c>
      <c r="L168" s="36">
        <v>6.7089999999999996</v>
      </c>
      <c r="M168" s="36">
        <v>7.7549999999999999</v>
      </c>
      <c r="N168" s="36">
        <v>8.0820000000000007</v>
      </c>
      <c r="O168" s="36">
        <v>8.1479999999999997</v>
      </c>
      <c r="P168" s="36">
        <v>8.2140000000000004</v>
      </c>
      <c r="Q168" s="36">
        <v>8.2870000000000008</v>
      </c>
      <c r="R168" s="36">
        <v>8.4</v>
      </c>
      <c r="S168" s="36">
        <v>8.5869999999999997</v>
      </c>
      <c r="T168" s="36">
        <v>8.8170000000000002</v>
      </c>
      <c r="U168" s="36">
        <v>9.0549999999999997</v>
      </c>
      <c r="V168" s="36">
        <v>9.2989999999999995</v>
      </c>
      <c r="W168" s="36">
        <v>9.5500000000000007</v>
      </c>
      <c r="X168" s="36">
        <v>9.8040000000000003</v>
      </c>
      <c r="Y168" s="36">
        <v>10.06</v>
      </c>
      <c r="Z168" s="36">
        <v>10.318</v>
      </c>
      <c r="AA168" s="36">
        <v>10.574</v>
      </c>
      <c r="AB168" s="36">
        <v>10.83</v>
      </c>
      <c r="AC168" s="36">
        <v>11.093</v>
      </c>
      <c r="AD168" s="36">
        <v>11.365</v>
      </c>
      <c r="AE168" s="36">
        <v>11.64</v>
      </c>
      <c r="AF168" s="36">
        <v>11.919</v>
      </c>
      <c r="AG168" s="36">
        <v>12.202</v>
      </c>
      <c r="AH168" s="36">
        <v>12.488</v>
      </c>
      <c r="AI168" s="36">
        <v>12.776</v>
      </c>
      <c r="AJ168" s="36">
        <v>13.066000000000001</v>
      </c>
      <c r="AK168" s="36">
        <v>13.355</v>
      </c>
      <c r="AL168" s="36">
        <v>13.651</v>
      </c>
      <c r="AM168" s="36">
        <v>13.954000000000001</v>
      </c>
      <c r="AN168" s="36">
        <v>14.257</v>
      </c>
      <c r="AO168" s="36">
        <v>14.569000000000001</v>
      </c>
      <c r="AP168" s="37">
        <v>14.89</v>
      </c>
      <c r="AQ168" s="37">
        <v>15.214</v>
      </c>
      <c r="AR168" s="37">
        <v>15.536</v>
      </c>
      <c r="AS168" s="37">
        <v>15.845000000000001</v>
      </c>
      <c r="AT168" s="37">
        <v>16.155000000000001</v>
      </c>
      <c r="AU168" s="37">
        <v>16.472999999999999</v>
      </c>
      <c r="AV168" s="37">
        <v>16.771999999999998</v>
      </c>
      <c r="AW168" s="37">
        <v>17.073</v>
      </c>
      <c r="AX168" s="37">
        <v>17.402000000000001</v>
      </c>
      <c r="AY168" s="37">
        <v>17.745999999999999</v>
      </c>
      <c r="AZ168" s="37">
        <v>18.077000000000002</v>
      </c>
      <c r="BA168" s="37">
        <v>18.396000000000001</v>
      </c>
      <c r="BB168" s="37">
        <v>18.73</v>
      </c>
      <c r="BC168" s="37">
        <v>19.077000000000002</v>
      </c>
      <c r="BD168" s="37">
        <v>19.440999999999999</v>
      </c>
      <c r="BE168" s="37">
        <v>19.806000000000001</v>
      </c>
      <c r="BF168" s="37">
        <v>20.154</v>
      </c>
      <c r="BG168" s="37">
        <v>20.501000000000001</v>
      </c>
      <c r="BH168" s="37">
        <v>20.837</v>
      </c>
      <c r="BI168" s="37">
        <v>21.152999999999999</v>
      </c>
      <c r="BJ168" s="37">
        <v>21.459</v>
      </c>
      <c r="BK168" s="37">
        <v>21.765000000000001</v>
      </c>
      <c r="BL168" s="37">
        <v>22.085999999999999</v>
      </c>
      <c r="BM168" s="37">
        <v>22.404</v>
      </c>
      <c r="BN168" s="37">
        <v>22.707999999999998</v>
      </c>
    </row>
    <row r="169" spans="1:66" x14ac:dyDescent="0.2">
      <c r="A169" s="2" t="s">
        <v>557</v>
      </c>
      <c r="B169" s="2" t="s">
        <v>558</v>
      </c>
      <c r="C169" s="11" t="s">
        <v>82</v>
      </c>
      <c r="D169" s="12" t="s">
        <v>697</v>
      </c>
      <c r="E169" s="35">
        <v>0.999997720085816</v>
      </c>
      <c r="F169" s="36">
        <v>0.16900000000000001</v>
      </c>
      <c r="G169" s="36">
        <v>0.16900000000000001</v>
      </c>
      <c r="H169" s="36">
        <v>0.17</v>
      </c>
      <c r="I169" s="36">
        <v>0.17199999999999999</v>
      </c>
      <c r="J169" s="36">
        <v>0.17299999999999999</v>
      </c>
      <c r="K169" s="36">
        <v>0.17499999999999999</v>
      </c>
      <c r="L169" s="36">
        <v>0.17599999999999999</v>
      </c>
      <c r="M169" s="36">
        <v>0.17799999999999999</v>
      </c>
      <c r="N169" s="36">
        <v>0.17899999999999999</v>
      </c>
      <c r="O169" s="36">
        <v>0.18</v>
      </c>
      <c r="P169" s="36">
        <v>0.182</v>
      </c>
      <c r="Q169" s="36">
        <v>0.183</v>
      </c>
      <c r="R169" s="36">
        <v>0.184</v>
      </c>
      <c r="S169" s="36">
        <v>0.185</v>
      </c>
      <c r="T169" s="36">
        <v>0.186</v>
      </c>
      <c r="U169" s="36">
        <v>0.187</v>
      </c>
      <c r="V169" s="36">
        <v>0.188</v>
      </c>
      <c r="W169" s="36">
        <v>0.189</v>
      </c>
      <c r="X169" s="36">
        <v>0.19</v>
      </c>
      <c r="Y169" s="36">
        <v>0.192</v>
      </c>
      <c r="Z169" s="36">
        <v>0.193</v>
      </c>
      <c r="AA169" s="36">
        <v>0.19500000000000001</v>
      </c>
      <c r="AB169" s="36">
        <v>0.19600000000000001</v>
      </c>
      <c r="AC169" s="36">
        <v>0.19800000000000001</v>
      </c>
      <c r="AD169" s="36">
        <v>0.2</v>
      </c>
      <c r="AE169" s="36">
        <v>0.20200000000000001</v>
      </c>
      <c r="AF169" s="36">
        <v>0.20300000000000001</v>
      </c>
      <c r="AG169" s="36">
        <v>0.20499999999999999</v>
      </c>
      <c r="AH169" s="36">
        <v>0.20799999999999999</v>
      </c>
      <c r="AI169" s="36">
        <v>0.21</v>
      </c>
      <c r="AJ169" s="36">
        <v>0.21199999999999999</v>
      </c>
      <c r="AK169" s="36">
        <v>0.214</v>
      </c>
      <c r="AL169" s="36">
        <v>0.215</v>
      </c>
      <c r="AM169" s="36">
        <v>0.217</v>
      </c>
      <c r="AN169" s="36">
        <v>0.218</v>
      </c>
      <c r="AO169" s="36">
        <v>0.219</v>
      </c>
      <c r="AP169" s="37">
        <v>0.221</v>
      </c>
      <c r="AQ169" s="37">
        <v>0.222</v>
      </c>
      <c r="AR169" s="37">
        <v>0.223</v>
      </c>
      <c r="AS169" s="37">
        <v>0.22500000000000001</v>
      </c>
      <c r="AT169" s="37">
        <v>0.22600000000000001</v>
      </c>
      <c r="AU169" s="37">
        <v>0.22800000000000001</v>
      </c>
      <c r="AV169" s="37">
        <v>0.22900000000000001</v>
      </c>
      <c r="AW169" s="37">
        <v>0.23100000000000001</v>
      </c>
      <c r="AX169" s="37">
        <v>0.23300000000000001</v>
      </c>
      <c r="AY169" s="37">
        <v>0.23499999999999999</v>
      </c>
      <c r="AZ169" s="37">
        <v>0.23699999999999999</v>
      </c>
      <c r="BA169" s="37">
        <v>0.24</v>
      </c>
      <c r="BB169" s="37">
        <v>0.24199999999999999</v>
      </c>
      <c r="BC169" s="37">
        <v>0.245</v>
      </c>
      <c r="BD169" s="37">
        <v>0.247</v>
      </c>
      <c r="BE169" s="37">
        <v>0.25</v>
      </c>
      <c r="BF169" s="37">
        <v>0.252</v>
      </c>
      <c r="BG169" s="37">
        <v>0.255</v>
      </c>
      <c r="BH169" s="37">
        <v>0.25800000000000001</v>
      </c>
      <c r="BI169" s="37">
        <v>0.26</v>
      </c>
      <c r="BJ169" s="37">
        <v>0.26300000000000001</v>
      </c>
      <c r="BK169" s="37">
        <v>0.26500000000000001</v>
      </c>
      <c r="BL169" s="37">
        <v>0.26800000000000002</v>
      </c>
      <c r="BM169" s="37">
        <v>0.27</v>
      </c>
      <c r="BN169" s="37">
        <v>0.27300000000000002</v>
      </c>
    </row>
    <row r="170" spans="1:66" x14ac:dyDescent="0.2">
      <c r="A170" s="2" t="s">
        <v>559</v>
      </c>
      <c r="B170" s="2" t="s">
        <v>560</v>
      </c>
      <c r="C170" s="11" t="s">
        <v>79</v>
      </c>
      <c r="D170" s="12" t="s">
        <v>697</v>
      </c>
      <c r="E170" s="35">
        <v>1.01598034105295</v>
      </c>
      <c r="F170" s="36">
        <v>2.3E-2</v>
      </c>
      <c r="G170" s="36">
        <v>2.4E-2</v>
      </c>
      <c r="H170" s="36">
        <v>2.4E-2</v>
      </c>
      <c r="I170" s="36">
        <v>2.4E-2</v>
      </c>
      <c r="J170" s="36">
        <v>2.5000000000000001E-2</v>
      </c>
      <c r="K170" s="36">
        <v>2.5000000000000001E-2</v>
      </c>
      <c r="L170" s="36">
        <v>2.5000000000000001E-2</v>
      </c>
      <c r="M170" s="36">
        <v>2.5999999999999999E-2</v>
      </c>
      <c r="N170" s="36">
        <v>2.5999999999999999E-2</v>
      </c>
      <c r="O170" s="36">
        <v>2.5999999999999999E-2</v>
      </c>
      <c r="P170" s="36">
        <v>2.7E-2</v>
      </c>
      <c r="Q170" s="36">
        <v>2.7E-2</v>
      </c>
      <c r="R170" s="36">
        <v>2.7E-2</v>
      </c>
      <c r="S170" s="36">
        <v>2.8000000000000001E-2</v>
      </c>
      <c r="T170" s="36">
        <v>2.9000000000000001E-2</v>
      </c>
      <c r="U170" s="36">
        <v>0.03</v>
      </c>
      <c r="V170" s="36">
        <v>0.03</v>
      </c>
      <c r="W170" s="36">
        <v>3.1E-2</v>
      </c>
      <c r="X170" s="36">
        <v>3.2000000000000001E-2</v>
      </c>
      <c r="Y170" s="36">
        <v>3.3000000000000002E-2</v>
      </c>
      <c r="Z170" s="36">
        <v>3.3000000000000002E-2</v>
      </c>
      <c r="AA170" s="36">
        <v>3.3000000000000002E-2</v>
      </c>
      <c r="AB170" s="36">
        <v>3.3000000000000002E-2</v>
      </c>
      <c r="AC170" s="36">
        <v>3.3000000000000002E-2</v>
      </c>
      <c r="AD170" s="36">
        <v>3.3000000000000002E-2</v>
      </c>
      <c r="AE170" s="36">
        <v>3.3000000000000002E-2</v>
      </c>
      <c r="AF170" s="36">
        <v>3.3000000000000002E-2</v>
      </c>
      <c r="AG170" s="36">
        <v>3.4000000000000002E-2</v>
      </c>
      <c r="AH170" s="36">
        <v>3.5000000000000003E-2</v>
      </c>
      <c r="AI170" s="36">
        <v>3.5000000000000003E-2</v>
      </c>
      <c r="AJ170" s="36">
        <v>3.5000000000000003E-2</v>
      </c>
      <c r="AK170" s="36">
        <v>3.4000000000000002E-2</v>
      </c>
      <c r="AL170" s="36">
        <v>3.4000000000000002E-2</v>
      </c>
      <c r="AM170" s="36">
        <v>3.4000000000000002E-2</v>
      </c>
      <c r="AN170" s="36">
        <v>3.4000000000000002E-2</v>
      </c>
      <c r="AO170" s="36">
        <v>3.4000000000000002E-2</v>
      </c>
      <c r="AP170" s="37">
        <v>3.4000000000000002E-2</v>
      </c>
      <c r="AQ170" s="37">
        <v>3.4000000000000002E-2</v>
      </c>
      <c r="AR170" s="37">
        <v>3.4000000000000002E-2</v>
      </c>
      <c r="AS170" s="37">
        <v>3.4000000000000002E-2</v>
      </c>
      <c r="AT170" s="37">
        <v>3.4000000000000002E-2</v>
      </c>
      <c r="AU170" s="37">
        <v>3.4000000000000002E-2</v>
      </c>
      <c r="AV170" s="37">
        <v>3.4000000000000002E-2</v>
      </c>
      <c r="AW170" s="37">
        <v>3.4000000000000002E-2</v>
      </c>
      <c r="AX170" s="37">
        <v>3.4000000000000002E-2</v>
      </c>
      <c r="AY170" s="37">
        <v>3.4000000000000002E-2</v>
      </c>
      <c r="AZ170" s="37">
        <v>3.4000000000000002E-2</v>
      </c>
      <c r="BA170" s="37">
        <v>3.4000000000000002E-2</v>
      </c>
      <c r="BB170" s="37">
        <v>3.4000000000000002E-2</v>
      </c>
      <c r="BC170" s="37">
        <v>3.5000000000000003E-2</v>
      </c>
      <c r="BD170" s="37">
        <v>3.5000000000000003E-2</v>
      </c>
      <c r="BE170" s="37">
        <v>3.5000000000000003E-2</v>
      </c>
      <c r="BF170" s="37">
        <v>3.5000000000000003E-2</v>
      </c>
      <c r="BG170" s="37">
        <v>3.5000000000000003E-2</v>
      </c>
      <c r="BH170" s="37">
        <v>3.5000000000000003E-2</v>
      </c>
      <c r="BI170" s="37">
        <v>3.4000000000000002E-2</v>
      </c>
      <c r="BJ170" s="37">
        <v>3.4000000000000002E-2</v>
      </c>
      <c r="BK170" s="37">
        <v>3.4000000000000002E-2</v>
      </c>
      <c r="BL170" s="37">
        <v>3.4000000000000002E-2</v>
      </c>
      <c r="BM170" s="37">
        <v>3.4000000000000002E-2</v>
      </c>
      <c r="BN170" s="37">
        <v>3.4000000000000002E-2</v>
      </c>
    </row>
    <row r="171" spans="1:66" x14ac:dyDescent="0.2">
      <c r="A171" s="2" t="s">
        <v>561</v>
      </c>
      <c r="B171" s="2" t="s">
        <v>562</v>
      </c>
      <c r="C171" s="11" t="s">
        <v>79</v>
      </c>
      <c r="D171" s="12" t="s">
        <v>697</v>
      </c>
      <c r="E171" s="38">
        <v>1.0696408076669299</v>
      </c>
      <c r="F171" s="36">
        <v>10.641</v>
      </c>
      <c r="G171" s="36">
        <v>11.161</v>
      </c>
      <c r="H171" s="36">
        <v>11.686999999999999</v>
      </c>
      <c r="I171" s="36">
        <v>12.215999999999999</v>
      </c>
      <c r="J171" s="36">
        <v>12.75</v>
      </c>
      <c r="K171" s="36">
        <v>13.289</v>
      </c>
      <c r="L171" s="36">
        <v>13.831</v>
      </c>
      <c r="M171" s="36">
        <v>14.375</v>
      </c>
      <c r="N171" s="36">
        <v>14.922000000000001</v>
      </c>
      <c r="O171" s="36">
        <v>15.472</v>
      </c>
      <c r="P171" s="36">
        <v>16.178000000000001</v>
      </c>
      <c r="Q171" s="36">
        <v>17.041</v>
      </c>
      <c r="R171" s="36">
        <v>17.911000000000001</v>
      </c>
      <c r="S171" s="36">
        <v>18.786999999999999</v>
      </c>
      <c r="T171" s="36">
        <v>19.669</v>
      </c>
      <c r="U171" s="36">
        <v>20.56</v>
      </c>
      <c r="V171" s="36">
        <v>21.459</v>
      </c>
      <c r="W171" s="36">
        <v>22.367999999999999</v>
      </c>
      <c r="X171" s="36">
        <v>23.288</v>
      </c>
      <c r="Y171" s="36">
        <v>24.218</v>
      </c>
      <c r="Z171" s="36">
        <v>23.978000000000002</v>
      </c>
      <c r="AA171" s="36">
        <v>25.091999999999999</v>
      </c>
      <c r="AB171" s="36">
        <v>26.169</v>
      </c>
      <c r="AC171" s="36">
        <v>27.623999999999999</v>
      </c>
      <c r="AD171" s="36">
        <v>28.309000000000001</v>
      </c>
      <c r="AE171" s="36">
        <v>29.815999999999999</v>
      </c>
      <c r="AF171" s="36">
        <v>30.954000000000001</v>
      </c>
      <c r="AG171" s="36">
        <v>30.977</v>
      </c>
      <c r="AH171" s="36">
        <v>30.196000000000002</v>
      </c>
      <c r="AI171" s="36">
        <v>30.064</v>
      </c>
      <c r="AJ171" s="36">
        <v>31.553000000000001</v>
      </c>
      <c r="AK171" s="36">
        <v>30.783999999999999</v>
      </c>
      <c r="AL171" s="36">
        <v>32.174999999999997</v>
      </c>
      <c r="AM171" s="36">
        <v>33.703000000000003</v>
      </c>
      <c r="AN171" s="36">
        <v>35.299999999999997</v>
      </c>
      <c r="AO171" s="36">
        <v>36.973999999999997</v>
      </c>
      <c r="AP171" s="37">
        <v>37.615000000000002</v>
      </c>
      <c r="AQ171" s="37">
        <v>38.25</v>
      </c>
      <c r="AR171" s="37">
        <v>38.875999999999998</v>
      </c>
      <c r="AS171" s="37">
        <v>39.481000000000002</v>
      </c>
      <c r="AT171" s="37">
        <v>40.051000000000002</v>
      </c>
      <c r="AU171" s="37">
        <v>40.598999999999997</v>
      </c>
      <c r="AV171" s="37">
        <v>41.148000000000003</v>
      </c>
      <c r="AW171" s="37">
        <v>41.697000000000003</v>
      </c>
      <c r="AX171" s="37">
        <v>42.247999999999998</v>
      </c>
      <c r="AY171" s="37">
        <v>42.798999999999999</v>
      </c>
      <c r="AZ171" s="37">
        <v>43.351999999999997</v>
      </c>
      <c r="BA171" s="37">
        <v>43.904000000000003</v>
      </c>
      <c r="BB171" s="37">
        <v>44.456000000000003</v>
      </c>
      <c r="BC171" s="37">
        <v>45.008000000000003</v>
      </c>
      <c r="BD171" s="37">
        <v>45.558</v>
      </c>
      <c r="BE171" s="37">
        <v>46.109000000000002</v>
      </c>
      <c r="BF171" s="37">
        <v>46.658000000000001</v>
      </c>
      <c r="BG171" s="37">
        <v>47.206000000000003</v>
      </c>
      <c r="BH171" s="37">
        <v>47.753999999999998</v>
      </c>
      <c r="BI171" s="37">
        <v>48.301000000000002</v>
      </c>
      <c r="BJ171" s="37">
        <v>48.847000000000001</v>
      </c>
      <c r="BK171" s="37">
        <v>49.390999999999998</v>
      </c>
      <c r="BL171" s="37">
        <v>49.933999999999997</v>
      </c>
      <c r="BM171" s="37">
        <v>50.475000000000001</v>
      </c>
      <c r="BN171" s="37">
        <v>51.015000000000001</v>
      </c>
    </row>
    <row r="172" spans="1:66" x14ac:dyDescent="0.2">
      <c r="A172" s="2" t="s">
        <v>563</v>
      </c>
      <c r="B172" s="2" t="s">
        <v>564</v>
      </c>
      <c r="C172" s="11" t="s">
        <v>210</v>
      </c>
      <c r="D172" s="12" t="s">
        <v>697</v>
      </c>
      <c r="E172" s="35">
        <v>0.99999997358964199</v>
      </c>
      <c r="F172" s="36">
        <v>7.7210000000000001</v>
      </c>
      <c r="G172" s="36">
        <v>7.9429999999999996</v>
      </c>
      <c r="H172" s="36">
        <v>8.1679999999999993</v>
      </c>
      <c r="I172" s="36">
        <v>8.3960000000000008</v>
      </c>
      <c r="J172" s="36">
        <v>8.6240000000000006</v>
      </c>
      <c r="K172" s="36">
        <v>8.8480000000000008</v>
      </c>
      <c r="L172" s="36">
        <v>9.0670000000000002</v>
      </c>
      <c r="M172" s="36">
        <v>9.2829999999999995</v>
      </c>
      <c r="N172" s="36">
        <v>9.5030000000000001</v>
      </c>
      <c r="O172" s="36">
        <v>9.7309999999999999</v>
      </c>
      <c r="P172" s="36">
        <v>9.968</v>
      </c>
      <c r="Q172" s="36">
        <v>10.212999999999999</v>
      </c>
      <c r="R172" s="36">
        <v>10.465999999999999</v>
      </c>
      <c r="S172" s="36">
        <v>10.721</v>
      </c>
      <c r="T172" s="36">
        <v>10.976000000000001</v>
      </c>
      <c r="U172" s="36">
        <v>11.234999999999999</v>
      </c>
      <c r="V172" s="36">
        <v>11.5</v>
      </c>
      <c r="W172" s="36">
        <v>11.77</v>
      </c>
      <c r="X172" s="36">
        <v>12.048999999999999</v>
      </c>
      <c r="Y172" s="36">
        <v>12.337</v>
      </c>
      <c r="Z172" s="36">
        <v>12.635</v>
      </c>
      <c r="AA172" s="36">
        <v>12.959</v>
      </c>
      <c r="AB172" s="36">
        <v>13.31</v>
      </c>
      <c r="AC172" s="36">
        <v>13.711</v>
      </c>
      <c r="AD172" s="36">
        <v>14.151999999999999</v>
      </c>
      <c r="AE172" s="36">
        <v>14.593</v>
      </c>
      <c r="AF172" s="36">
        <v>15.035</v>
      </c>
      <c r="AG172" s="36">
        <v>15.475</v>
      </c>
      <c r="AH172" s="36">
        <v>15.914</v>
      </c>
      <c r="AI172" s="36">
        <v>16.353000000000002</v>
      </c>
      <c r="AJ172" s="36">
        <v>16.789000000000001</v>
      </c>
      <c r="AK172" s="36">
        <v>17.221</v>
      </c>
      <c r="AL172" s="36">
        <v>17.651</v>
      </c>
      <c r="AM172" s="36">
        <v>18.077999999999999</v>
      </c>
      <c r="AN172" s="36">
        <v>18.501999999999999</v>
      </c>
      <c r="AO172" s="36">
        <v>18.931999999999999</v>
      </c>
      <c r="AP172" s="37">
        <v>19.367000000000001</v>
      </c>
      <c r="AQ172" s="37">
        <v>19.806999999999999</v>
      </c>
      <c r="AR172" s="37">
        <v>20.254999999999999</v>
      </c>
      <c r="AS172" s="37">
        <v>20.707000000000001</v>
      </c>
      <c r="AT172" s="37">
        <v>21.163</v>
      </c>
      <c r="AU172" s="37">
        <v>21.623999999999999</v>
      </c>
      <c r="AV172" s="37">
        <v>22.085999999999999</v>
      </c>
      <c r="AW172" s="37">
        <v>22.548999999999999</v>
      </c>
      <c r="AX172" s="37">
        <v>23.012</v>
      </c>
      <c r="AY172" s="37">
        <v>23.477</v>
      </c>
      <c r="AZ172" s="37">
        <v>23.942</v>
      </c>
      <c r="BA172" s="37">
        <v>24.408000000000001</v>
      </c>
      <c r="BB172" s="37">
        <v>24.873000000000001</v>
      </c>
      <c r="BC172" s="37">
        <v>25.335999999999999</v>
      </c>
      <c r="BD172" s="37">
        <v>25.797999999999998</v>
      </c>
      <c r="BE172" s="37">
        <v>26.257000000000001</v>
      </c>
      <c r="BF172" s="37">
        <v>26.716000000000001</v>
      </c>
      <c r="BG172" s="37">
        <v>27.175000000000001</v>
      </c>
      <c r="BH172" s="37">
        <v>27.632999999999999</v>
      </c>
      <c r="BI172" s="37">
        <v>28.09</v>
      </c>
      <c r="BJ172" s="37">
        <v>28.545999999999999</v>
      </c>
      <c r="BK172" s="37">
        <v>29.001999999999999</v>
      </c>
      <c r="BL172" s="37">
        <v>29.457000000000001</v>
      </c>
      <c r="BM172" s="37">
        <v>29.911999999999999</v>
      </c>
      <c r="BN172" s="37">
        <v>30.364999999999998</v>
      </c>
    </row>
    <row r="173" spans="1:66" x14ac:dyDescent="0.2">
      <c r="A173" s="2" t="s">
        <v>565</v>
      </c>
      <c r="B173" s="2" t="s">
        <v>566</v>
      </c>
      <c r="C173" s="11" t="s">
        <v>82</v>
      </c>
      <c r="D173" s="12" t="s">
        <v>697</v>
      </c>
      <c r="E173" s="35">
        <v>0.97908578496851295</v>
      </c>
      <c r="F173" s="36">
        <v>7.8979999999999997</v>
      </c>
      <c r="G173" s="36">
        <v>7.5960000000000001</v>
      </c>
      <c r="H173" s="36">
        <v>7.6040000000000001</v>
      </c>
      <c r="I173" s="36">
        <v>7.6139999999999999</v>
      </c>
      <c r="J173" s="36">
        <v>7.6230000000000002</v>
      </c>
      <c r="K173" s="36">
        <v>7.6280000000000001</v>
      </c>
      <c r="L173" s="36">
        <v>7.6219999999999999</v>
      </c>
      <c r="M173" s="36">
        <v>7.5990000000000002</v>
      </c>
      <c r="N173" s="36">
        <v>7.5679999999999996</v>
      </c>
      <c r="O173" s="36">
        <v>7.54</v>
      </c>
      <c r="P173" s="36">
        <v>7.516</v>
      </c>
      <c r="Q173" s="36">
        <v>7.5030000000000001</v>
      </c>
      <c r="R173" s="36">
        <v>7.5</v>
      </c>
      <c r="S173" s="36">
        <v>7.4809999999999999</v>
      </c>
      <c r="T173" s="36">
        <v>7.4630000000000001</v>
      </c>
      <c r="U173" s="36">
        <v>7.4409999999999998</v>
      </c>
      <c r="V173" s="36">
        <v>7.4119999999999999</v>
      </c>
      <c r="W173" s="36">
        <v>7.3819999999999997</v>
      </c>
      <c r="X173" s="36">
        <v>7.35</v>
      </c>
      <c r="Y173" s="36">
        <v>7.3209999999999997</v>
      </c>
      <c r="Z173" s="36">
        <v>7.2910000000000004</v>
      </c>
      <c r="AA173" s="36">
        <v>7.2370000000000001</v>
      </c>
      <c r="AB173" s="36">
        <v>7.2009999999999996</v>
      </c>
      <c r="AC173" s="36">
        <v>7.1669999999999998</v>
      </c>
      <c r="AD173" s="36">
        <v>7.1319999999999997</v>
      </c>
      <c r="AE173" s="36">
        <v>7.0949999999999998</v>
      </c>
      <c r="AF173" s="36">
        <v>7.0579999999999998</v>
      </c>
      <c r="AG173" s="36">
        <v>7.0209999999999999</v>
      </c>
      <c r="AH173" s="36">
        <v>6.9829999999999997</v>
      </c>
      <c r="AI173" s="36">
        <v>6.9450000000000003</v>
      </c>
      <c r="AJ173" s="36">
        <v>6.899</v>
      </c>
      <c r="AK173" s="36">
        <v>6.8339999999999996</v>
      </c>
      <c r="AL173" s="36">
        <v>6.6639999999999997</v>
      </c>
      <c r="AM173" s="36">
        <v>6.6230000000000002</v>
      </c>
      <c r="AN173" s="36">
        <v>6.5860000000000003</v>
      </c>
      <c r="AO173" s="36">
        <v>6.5490000000000004</v>
      </c>
      <c r="AP173" s="37">
        <v>6.5030000000000001</v>
      </c>
      <c r="AQ173" s="37">
        <v>6.46</v>
      </c>
      <c r="AR173" s="37">
        <v>6.415</v>
      </c>
      <c r="AS173" s="37">
        <v>6.3710000000000004</v>
      </c>
      <c r="AT173" s="37">
        <v>6.3259999999999996</v>
      </c>
      <c r="AU173" s="37">
        <v>6.2809999999999997</v>
      </c>
      <c r="AV173" s="37">
        <v>6.2350000000000003</v>
      </c>
      <c r="AW173" s="37">
        <v>6.1890000000000001</v>
      </c>
      <c r="AX173" s="37">
        <v>6.1429999999999998</v>
      </c>
      <c r="AY173" s="37">
        <v>6.0960000000000001</v>
      </c>
      <c r="AZ173" s="37">
        <v>6.05</v>
      </c>
      <c r="BA173" s="37">
        <v>6.0030000000000001</v>
      </c>
      <c r="BB173" s="37">
        <v>5.9560000000000004</v>
      </c>
      <c r="BC173" s="37">
        <v>5.9089999999999998</v>
      </c>
      <c r="BD173" s="37">
        <v>5.8620000000000001</v>
      </c>
      <c r="BE173" s="37">
        <v>5.8150000000000004</v>
      </c>
      <c r="BF173" s="37">
        <v>5.7690000000000001</v>
      </c>
      <c r="BG173" s="37">
        <v>5.7229999999999999</v>
      </c>
      <c r="BH173" s="37">
        <v>5.6779999999999999</v>
      </c>
      <c r="BI173" s="37">
        <v>5.633</v>
      </c>
      <c r="BJ173" s="37">
        <v>5.5890000000000004</v>
      </c>
      <c r="BK173" s="37">
        <v>5.5449999999999999</v>
      </c>
      <c r="BL173" s="37">
        <v>5.5019999999999998</v>
      </c>
      <c r="BM173" s="37">
        <v>5.4589999999999996</v>
      </c>
      <c r="BN173" s="37">
        <v>5.4169999999999998</v>
      </c>
    </row>
    <row r="174" spans="1:66" x14ac:dyDescent="0.2">
      <c r="A174" s="2" t="s">
        <v>568</v>
      </c>
      <c r="B174" s="2" t="s">
        <v>569</v>
      </c>
      <c r="C174" s="11" t="s">
        <v>79</v>
      </c>
      <c r="D174" s="12" t="s">
        <v>697</v>
      </c>
      <c r="E174" s="38">
        <v>0.92432133214338197</v>
      </c>
      <c r="F174" s="36">
        <v>7.0000000000000007E-2</v>
      </c>
      <c r="G174" s="36">
        <v>7.0000000000000007E-2</v>
      </c>
      <c r="H174" s="36">
        <v>7.0999999999999994E-2</v>
      </c>
      <c r="I174" s="36">
        <v>7.1999999999999995E-2</v>
      </c>
      <c r="J174" s="36">
        <v>7.3999999999999996E-2</v>
      </c>
      <c r="K174" s="36">
        <v>7.4999999999999997E-2</v>
      </c>
      <c r="L174" s="36">
        <v>7.5999999999999998E-2</v>
      </c>
      <c r="M174" s="36">
        <v>7.6999999999999999E-2</v>
      </c>
      <c r="N174" s="36">
        <v>7.9000000000000001E-2</v>
      </c>
      <c r="O174" s="36">
        <v>0.08</v>
      </c>
      <c r="P174" s="36">
        <v>8.1000000000000003E-2</v>
      </c>
      <c r="Q174" s="36">
        <v>8.1000000000000003E-2</v>
      </c>
      <c r="R174" s="36">
        <v>8.4000000000000005E-2</v>
      </c>
      <c r="S174" s="36">
        <v>8.3000000000000004E-2</v>
      </c>
      <c r="T174" s="36">
        <v>8.2000000000000003E-2</v>
      </c>
      <c r="U174" s="36">
        <v>8.3000000000000004E-2</v>
      </c>
      <c r="V174" s="36">
        <v>8.5000000000000006E-2</v>
      </c>
      <c r="W174" s="36">
        <v>8.5000000000000006E-2</v>
      </c>
      <c r="X174" s="36">
        <v>8.6999999999999994E-2</v>
      </c>
      <c r="Y174" s="36">
        <v>8.6999999999999994E-2</v>
      </c>
      <c r="Z174" s="36">
        <v>0.09</v>
      </c>
      <c r="AA174" s="36">
        <v>8.6999999999999994E-2</v>
      </c>
      <c r="AB174" s="36">
        <v>8.7999999999999995E-2</v>
      </c>
      <c r="AC174" s="36">
        <v>0.09</v>
      </c>
      <c r="AD174" s="36">
        <v>9.0999999999999998E-2</v>
      </c>
      <c r="AE174" s="36">
        <v>9.2999999999999999E-2</v>
      </c>
      <c r="AF174" s="36">
        <v>9.5000000000000001E-2</v>
      </c>
      <c r="AG174" s="36">
        <v>9.6000000000000002E-2</v>
      </c>
      <c r="AH174" s="36">
        <v>9.7000000000000003E-2</v>
      </c>
      <c r="AI174" s="36">
        <v>9.8000000000000004E-2</v>
      </c>
      <c r="AJ174" s="36">
        <v>9.8000000000000004E-2</v>
      </c>
      <c r="AK174" s="36">
        <v>9.9000000000000005E-2</v>
      </c>
      <c r="AL174" s="36">
        <v>0.12</v>
      </c>
      <c r="AM174" s="36">
        <v>0.12</v>
      </c>
      <c r="AN174" s="36">
        <v>0.121</v>
      </c>
      <c r="AO174" s="36">
        <v>0.123</v>
      </c>
      <c r="AP174" s="37">
        <v>0.125</v>
      </c>
      <c r="AQ174" s="37">
        <v>0.127</v>
      </c>
      <c r="AR174" s="37">
        <v>0.128</v>
      </c>
      <c r="AS174" s="37">
        <v>0.129</v>
      </c>
      <c r="AT174" s="37">
        <v>0.13</v>
      </c>
      <c r="AU174" s="37">
        <v>0.13</v>
      </c>
      <c r="AV174" s="37">
        <v>0.13</v>
      </c>
      <c r="AW174" s="37">
        <v>0.13100000000000001</v>
      </c>
      <c r="AX174" s="37">
        <v>0.13100000000000001</v>
      </c>
      <c r="AY174" s="37">
        <v>0.13100000000000001</v>
      </c>
      <c r="AZ174" s="37">
        <v>0.13100000000000001</v>
      </c>
      <c r="BA174" s="37">
        <v>0.13100000000000001</v>
      </c>
      <c r="BB174" s="37">
        <v>0.13200000000000001</v>
      </c>
      <c r="BC174" s="37">
        <v>0.13200000000000001</v>
      </c>
      <c r="BD174" s="37">
        <v>0.13200000000000001</v>
      </c>
      <c r="BE174" s="37">
        <v>0.13200000000000001</v>
      </c>
      <c r="BF174" s="37">
        <v>0.13200000000000001</v>
      </c>
      <c r="BG174" s="37">
        <v>0.13200000000000001</v>
      </c>
      <c r="BH174" s="37">
        <v>0.13200000000000001</v>
      </c>
      <c r="BI174" s="37">
        <v>0.13200000000000001</v>
      </c>
      <c r="BJ174" s="37">
        <v>0.13200000000000001</v>
      </c>
      <c r="BK174" s="37">
        <v>0.13200000000000001</v>
      </c>
      <c r="BL174" s="37">
        <v>0.13100000000000001</v>
      </c>
      <c r="BM174" s="37">
        <v>0.13100000000000001</v>
      </c>
      <c r="BN174" s="37">
        <v>0.13100000000000001</v>
      </c>
    </row>
    <row r="175" spans="1:66" x14ac:dyDescent="0.2">
      <c r="A175" s="2" t="s">
        <v>570</v>
      </c>
      <c r="B175" s="2" t="s">
        <v>571</v>
      </c>
      <c r="C175" s="11" t="s">
        <v>75</v>
      </c>
      <c r="D175" s="12" t="s">
        <v>697</v>
      </c>
      <c r="E175" s="35">
        <v>1</v>
      </c>
      <c r="F175" s="36">
        <v>4.1970000000000001</v>
      </c>
      <c r="G175" s="36">
        <v>4.2460000000000004</v>
      </c>
      <c r="H175" s="36">
        <v>4.1660000000000004</v>
      </c>
      <c r="I175" s="36">
        <v>4.157</v>
      </c>
      <c r="J175" s="36">
        <v>4.173</v>
      </c>
      <c r="K175" s="36">
        <v>4.1790000000000003</v>
      </c>
      <c r="L175" s="36">
        <v>4.1989999999999998</v>
      </c>
      <c r="M175" s="36">
        <v>4.2539999999999996</v>
      </c>
      <c r="N175" s="36">
        <v>4.2960000000000003</v>
      </c>
      <c r="O175" s="36">
        <v>4.3179999999999996</v>
      </c>
      <c r="P175" s="36">
        <v>4.4240000000000004</v>
      </c>
      <c r="Q175" s="36">
        <v>4.6929999999999996</v>
      </c>
      <c r="R175" s="36">
        <v>4.9710000000000001</v>
      </c>
      <c r="S175" s="36">
        <v>5.1779999999999999</v>
      </c>
      <c r="T175" s="36">
        <v>5.3559999999999999</v>
      </c>
      <c r="U175" s="36">
        <v>5.5019999999999998</v>
      </c>
      <c r="V175" s="36">
        <v>5.6239999999999997</v>
      </c>
      <c r="W175" s="36">
        <v>5.7489999999999997</v>
      </c>
      <c r="X175" s="36">
        <v>5.8949999999999996</v>
      </c>
      <c r="Y175" s="36">
        <v>6.056</v>
      </c>
      <c r="Z175" s="36">
        <v>6.2229999999999999</v>
      </c>
      <c r="AA175" s="36">
        <v>6.3869999999999996</v>
      </c>
      <c r="AB175" s="36">
        <v>6.5510000000000002</v>
      </c>
      <c r="AC175" s="36">
        <v>6.7140000000000004</v>
      </c>
      <c r="AD175" s="36">
        <v>6.8760000000000003</v>
      </c>
      <c r="AE175" s="36">
        <v>7.0380000000000003</v>
      </c>
      <c r="AF175" s="36">
        <v>7.2050000000000001</v>
      </c>
      <c r="AG175" s="36">
        <v>7.3789999999999996</v>
      </c>
      <c r="AH175" s="36">
        <v>7.5549999999999997</v>
      </c>
      <c r="AI175" s="36">
        <v>7.7320000000000002</v>
      </c>
      <c r="AJ175" s="36">
        <v>7.9130000000000003</v>
      </c>
      <c r="AK175" s="36">
        <v>8.0950000000000006</v>
      </c>
      <c r="AL175" s="36">
        <v>8.2769999999999992</v>
      </c>
      <c r="AM175" s="36">
        <v>8.4610000000000003</v>
      </c>
      <c r="AN175" s="36">
        <v>8.6419999999999995</v>
      </c>
      <c r="AO175" s="36">
        <v>8.82</v>
      </c>
      <c r="AP175" s="37">
        <v>8.9969999999999999</v>
      </c>
      <c r="AQ175" s="37">
        <v>9.1750000000000007</v>
      </c>
      <c r="AR175" s="37">
        <v>9.3490000000000002</v>
      </c>
      <c r="AS175" s="37">
        <v>9.5210000000000008</v>
      </c>
      <c r="AT175" s="37">
        <v>9.6950000000000003</v>
      </c>
      <c r="AU175" s="37">
        <v>9.8699999999999992</v>
      </c>
      <c r="AV175" s="37">
        <v>10.047000000000001</v>
      </c>
      <c r="AW175" s="37">
        <v>10.221</v>
      </c>
      <c r="AX175" s="37">
        <v>10.391</v>
      </c>
      <c r="AY175" s="37">
        <v>10.563000000000001</v>
      </c>
      <c r="AZ175" s="37">
        <v>10.734</v>
      </c>
      <c r="BA175" s="37">
        <v>10.901999999999999</v>
      </c>
      <c r="BB175" s="37">
        <v>11.066000000000001</v>
      </c>
      <c r="BC175" s="37">
        <v>11.23</v>
      </c>
      <c r="BD175" s="37">
        <v>11.398</v>
      </c>
      <c r="BE175" s="37">
        <v>11.566000000000001</v>
      </c>
      <c r="BF175" s="37">
        <v>11.728999999999999</v>
      </c>
      <c r="BG175" s="37">
        <v>11.888</v>
      </c>
      <c r="BH175" s="37">
        <v>12.048999999999999</v>
      </c>
      <c r="BI175" s="37">
        <v>12.209</v>
      </c>
      <c r="BJ175" s="37">
        <v>12.363</v>
      </c>
      <c r="BK175" s="37">
        <v>12.513</v>
      </c>
      <c r="BL175" s="37">
        <v>12.66</v>
      </c>
      <c r="BM175" s="37">
        <v>12.805</v>
      </c>
      <c r="BN175" s="37">
        <v>12.948</v>
      </c>
    </row>
    <row r="176" spans="1:66" x14ac:dyDescent="0.2">
      <c r="A176" s="2" t="s">
        <v>573</v>
      </c>
      <c r="B176" s="2" t="s">
        <v>574</v>
      </c>
      <c r="C176" s="11" t="s">
        <v>79</v>
      </c>
      <c r="D176" s="12" t="s">
        <v>697</v>
      </c>
      <c r="E176" s="35">
        <v>1.0409530298513801</v>
      </c>
      <c r="F176" s="36">
        <v>3.0470000000000002</v>
      </c>
      <c r="G176" s="36">
        <v>3.1349999999999998</v>
      </c>
      <c r="H176" s="36">
        <v>3.2309999999999999</v>
      </c>
      <c r="I176" s="36">
        <v>3.3130000000000002</v>
      </c>
      <c r="J176" s="36">
        <v>3.419</v>
      </c>
      <c r="K176" s="36">
        <v>3.5249999999999999</v>
      </c>
      <c r="L176" s="36">
        <v>3.6709999999999998</v>
      </c>
      <c r="M176" s="36">
        <v>3.7959999999999998</v>
      </c>
      <c r="N176" s="36">
        <v>3.927</v>
      </c>
      <c r="O176" s="36">
        <v>3.9590000000000001</v>
      </c>
      <c r="P176" s="36">
        <v>4.0279999999999996</v>
      </c>
      <c r="Q176" s="36">
        <v>4.1379999999999999</v>
      </c>
      <c r="R176" s="36">
        <v>4.1760000000000002</v>
      </c>
      <c r="S176" s="36">
        <v>4.1150000000000002</v>
      </c>
      <c r="T176" s="36">
        <v>4.1669999999999998</v>
      </c>
      <c r="U176" s="36">
        <v>4.266</v>
      </c>
      <c r="V176" s="36">
        <v>4.4009999999999998</v>
      </c>
      <c r="W176" s="36">
        <v>4.5890000000000004</v>
      </c>
      <c r="X176" s="36">
        <v>4.8390000000000004</v>
      </c>
      <c r="Y176" s="36">
        <v>4.9880000000000004</v>
      </c>
      <c r="Z176" s="36">
        <v>5.077</v>
      </c>
      <c r="AA176" s="36">
        <v>5.1840000000000002</v>
      </c>
      <c r="AB176" s="36">
        <v>5.3120000000000003</v>
      </c>
      <c r="AC176" s="36">
        <v>5.399</v>
      </c>
      <c r="AD176" s="36">
        <v>5.47</v>
      </c>
      <c r="AE176" s="36">
        <v>5.5350000000000001</v>
      </c>
      <c r="AF176" s="36">
        <v>5.6070000000000002</v>
      </c>
      <c r="AG176" s="36">
        <v>5.6120000000000001</v>
      </c>
      <c r="AH176" s="36">
        <v>5.6390000000000002</v>
      </c>
      <c r="AI176" s="36">
        <v>5.7039999999999997</v>
      </c>
      <c r="AJ176" s="36">
        <v>5.6859999999999999</v>
      </c>
      <c r="AK176" s="36">
        <v>5.4539999999999997</v>
      </c>
      <c r="AL176" s="36">
        <v>5.6369999999999996</v>
      </c>
      <c r="AM176" s="36">
        <v>5.9180000000000001</v>
      </c>
      <c r="AN176" s="36">
        <v>6.0369999999999999</v>
      </c>
      <c r="AO176" s="36">
        <v>6.1109999999999998</v>
      </c>
      <c r="AP176" s="37">
        <v>6.1479999999999997</v>
      </c>
      <c r="AQ176" s="37">
        <v>6.1829999999999998</v>
      </c>
      <c r="AR176" s="37">
        <v>6.218</v>
      </c>
      <c r="AS176" s="37">
        <v>6.25</v>
      </c>
      <c r="AT176" s="37">
        <v>6.2779999999999996</v>
      </c>
      <c r="AU176" s="37">
        <v>6.3070000000000004</v>
      </c>
      <c r="AV176" s="37">
        <v>6.3339999999999996</v>
      </c>
      <c r="AW176" s="37">
        <v>6.3609999999999998</v>
      </c>
      <c r="AX176" s="37">
        <v>6.3860000000000001</v>
      </c>
      <c r="AY176" s="37">
        <v>6.4050000000000002</v>
      </c>
      <c r="AZ176" s="37">
        <v>6.4189999999999996</v>
      </c>
      <c r="BA176" s="37">
        <v>6.431</v>
      </c>
      <c r="BB176" s="37">
        <v>6.4409999999999998</v>
      </c>
      <c r="BC176" s="37">
        <v>6.4480000000000004</v>
      </c>
      <c r="BD176" s="37">
        <v>6.4480000000000004</v>
      </c>
      <c r="BE176" s="37">
        <v>6.4450000000000003</v>
      </c>
      <c r="BF176" s="37">
        <v>6.4390000000000001</v>
      </c>
      <c r="BG176" s="37">
        <v>6.431</v>
      </c>
      <c r="BH176" s="37">
        <v>6.4210000000000003</v>
      </c>
      <c r="BI176" s="37">
        <v>6.4080000000000004</v>
      </c>
      <c r="BJ176" s="37">
        <v>6.3949999999999996</v>
      </c>
      <c r="BK176" s="37">
        <v>6.3789999999999996</v>
      </c>
      <c r="BL176" s="37">
        <v>6.3639999999999999</v>
      </c>
      <c r="BM176" s="37">
        <v>6.3479999999999999</v>
      </c>
      <c r="BN176" s="37">
        <v>6.3310000000000004</v>
      </c>
    </row>
    <row r="177" spans="1:66" x14ac:dyDescent="0.2">
      <c r="A177" s="2" t="s">
        <v>575</v>
      </c>
      <c r="B177" s="2" t="s">
        <v>576</v>
      </c>
      <c r="C177" s="11" t="s">
        <v>79</v>
      </c>
      <c r="D177" s="12" t="s">
        <v>697</v>
      </c>
      <c r="E177" s="35">
        <v>1</v>
      </c>
      <c r="F177" s="36">
        <v>2.8000000000000001E-2</v>
      </c>
      <c r="G177" s="36">
        <v>0.03</v>
      </c>
      <c r="H177" s="36">
        <v>3.2000000000000001E-2</v>
      </c>
      <c r="I177" s="36">
        <v>3.2000000000000001E-2</v>
      </c>
      <c r="J177" s="36">
        <v>3.2000000000000001E-2</v>
      </c>
      <c r="K177" s="36">
        <v>3.2000000000000001E-2</v>
      </c>
      <c r="L177" s="36">
        <v>3.2000000000000001E-2</v>
      </c>
      <c r="M177" s="36">
        <v>3.1E-2</v>
      </c>
      <c r="N177" s="36">
        <v>3.1E-2</v>
      </c>
      <c r="O177" s="36">
        <v>3.1E-2</v>
      </c>
      <c r="P177" s="36">
        <v>3.1E-2</v>
      </c>
      <c r="Q177" s="36">
        <v>3.1E-2</v>
      </c>
      <c r="R177" s="36">
        <v>3.1E-2</v>
      </c>
      <c r="S177" s="36">
        <v>3.1E-2</v>
      </c>
      <c r="T177" s="36">
        <v>3.2000000000000001E-2</v>
      </c>
      <c r="U177" s="36">
        <v>3.2000000000000001E-2</v>
      </c>
      <c r="V177" s="36">
        <v>3.2000000000000001E-2</v>
      </c>
      <c r="W177" s="36">
        <v>3.3000000000000002E-2</v>
      </c>
      <c r="X177" s="36">
        <v>3.3000000000000002E-2</v>
      </c>
      <c r="Y177" s="36">
        <v>3.3000000000000002E-2</v>
      </c>
      <c r="Z177" s="36">
        <v>3.4000000000000002E-2</v>
      </c>
      <c r="AA177" s="36">
        <v>3.4000000000000002E-2</v>
      </c>
      <c r="AB177" s="36">
        <v>3.5000000000000003E-2</v>
      </c>
      <c r="AC177" s="36">
        <v>3.5999999999999997E-2</v>
      </c>
      <c r="AD177" s="36">
        <v>3.6999999999999998E-2</v>
      </c>
      <c r="AE177" s="36">
        <v>3.6999999999999998E-2</v>
      </c>
      <c r="AF177" s="36">
        <v>3.7999999999999999E-2</v>
      </c>
      <c r="AG177" s="36">
        <v>3.9E-2</v>
      </c>
      <c r="AH177" s="36">
        <v>0.04</v>
      </c>
      <c r="AI177" s="36">
        <v>0.04</v>
      </c>
      <c r="AJ177" s="36">
        <v>4.1000000000000002E-2</v>
      </c>
      <c r="AK177" s="36">
        <v>4.2000000000000003E-2</v>
      </c>
      <c r="AL177" s="36">
        <v>4.2000000000000003E-2</v>
      </c>
      <c r="AM177" s="36">
        <v>4.2999999999999997E-2</v>
      </c>
      <c r="AN177" s="36">
        <v>4.2999999999999997E-2</v>
      </c>
      <c r="AO177" s="36">
        <v>4.3999999999999997E-2</v>
      </c>
      <c r="AP177" s="37">
        <v>4.3999999999999997E-2</v>
      </c>
      <c r="AQ177" s="37">
        <v>4.4999999999999998E-2</v>
      </c>
      <c r="AR177" s="37">
        <v>4.4999999999999998E-2</v>
      </c>
      <c r="AS177" s="37">
        <v>4.5999999999999999E-2</v>
      </c>
      <c r="AT177" s="37">
        <v>4.5999999999999999E-2</v>
      </c>
      <c r="AU177" s="37">
        <v>4.7E-2</v>
      </c>
      <c r="AV177" s="37">
        <v>4.7E-2</v>
      </c>
      <c r="AW177" s="37">
        <v>4.8000000000000001E-2</v>
      </c>
      <c r="AX177" s="37">
        <v>4.8000000000000001E-2</v>
      </c>
      <c r="AY177" s="37">
        <v>4.8000000000000001E-2</v>
      </c>
      <c r="AZ177" s="37">
        <v>4.9000000000000002E-2</v>
      </c>
      <c r="BA177" s="37">
        <v>4.9000000000000002E-2</v>
      </c>
      <c r="BB177" s="37">
        <v>4.9000000000000002E-2</v>
      </c>
      <c r="BC177" s="37">
        <v>4.9000000000000002E-2</v>
      </c>
      <c r="BD177" s="37">
        <v>0.05</v>
      </c>
      <c r="BE177" s="37">
        <v>0.05</v>
      </c>
      <c r="BF177" s="37">
        <v>0.05</v>
      </c>
      <c r="BG177" s="37">
        <v>0.05</v>
      </c>
      <c r="BH177" s="37">
        <v>0.05</v>
      </c>
      <c r="BI177" s="37">
        <v>5.0999999999999997E-2</v>
      </c>
      <c r="BJ177" s="37">
        <v>5.0999999999999997E-2</v>
      </c>
      <c r="BK177" s="37">
        <v>5.0999999999999997E-2</v>
      </c>
      <c r="BL177" s="37">
        <v>5.0999999999999997E-2</v>
      </c>
      <c r="BM177" s="37">
        <v>5.0999999999999997E-2</v>
      </c>
      <c r="BN177" s="37">
        <v>5.0999999999999997E-2</v>
      </c>
    </row>
    <row r="178" spans="1:66" x14ac:dyDescent="0.2">
      <c r="A178" s="2" t="s">
        <v>577</v>
      </c>
      <c r="B178" s="2" t="s">
        <v>578</v>
      </c>
      <c r="C178" s="11" t="s">
        <v>79</v>
      </c>
      <c r="D178" s="12" t="s">
        <v>697</v>
      </c>
      <c r="E178" s="35">
        <v>0.98884578495861397</v>
      </c>
      <c r="F178" s="36">
        <v>5.2990000000000004</v>
      </c>
      <c r="G178" s="36">
        <v>5.3029999999999999</v>
      </c>
      <c r="H178" s="36">
        <v>5.3049999999999997</v>
      </c>
      <c r="I178" s="36">
        <v>5.3250000000000002</v>
      </c>
      <c r="J178" s="36">
        <v>5.3460000000000001</v>
      </c>
      <c r="K178" s="36">
        <v>5.3620000000000001</v>
      </c>
      <c r="L178" s="36">
        <v>5.3730000000000002</v>
      </c>
      <c r="M178" s="36">
        <v>5.383</v>
      </c>
      <c r="N178" s="36">
        <v>5.391</v>
      </c>
      <c r="O178" s="36">
        <v>5.3959999999999999</v>
      </c>
      <c r="P178" s="36">
        <v>5.3890000000000002</v>
      </c>
      <c r="Q178" s="36">
        <v>5.3789999999999996</v>
      </c>
      <c r="R178" s="36">
        <v>5.3769999999999998</v>
      </c>
      <c r="S178" s="36">
        <v>5.3730000000000002</v>
      </c>
      <c r="T178" s="36">
        <v>5.3719999999999999</v>
      </c>
      <c r="U178" s="36">
        <v>5.3730000000000002</v>
      </c>
      <c r="V178" s="36">
        <v>5.3730000000000002</v>
      </c>
      <c r="W178" s="36">
        <v>5.375</v>
      </c>
      <c r="X178" s="36">
        <v>5.3789999999999996</v>
      </c>
      <c r="Y178" s="36">
        <v>5.3860000000000001</v>
      </c>
      <c r="Z178" s="36">
        <v>5.391</v>
      </c>
      <c r="AA178" s="36">
        <v>5.3979999999999997</v>
      </c>
      <c r="AB178" s="36">
        <v>5.4080000000000004</v>
      </c>
      <c r="AC178" s="36">
        <v>5.4130000000000003</v>
      </c>
      <c r="AD178" s="36">
        <v>5.4189999999999996</v>
      </c>
      <c r="AE178" s="36">
        <v>5.4240000000000004</v>
      </c>
      <c r="AF178" s="36">
        <v>5.431</v>
      </c>
      <c r="AG178" s="36">
        <v>5.4390000000000001</v>
      </c>
      <c r="AH178" s="36">
        <v>5.4470000000000001</v>
      </c>
      <c r="AI178" s="36">
        <v>5.4539999999999997</v>
      </c>
      <c r="AJ178" s="36">
        <v>5.4589999999999996</v>
      </c>
      <c r="AK178" s="36">
        <v>5.4470000000000001</v>
      </c>
      <c r="AL178" s="36">
        <v>5.4320000000000004</v>
      </c>
      <c r="AM178" s="36">
        <v>5.4269999999999996</v>
      </c>
      <c r="AN178" s="36">
        <v>5.4219999999999997</v>
      </c>
      <c r="AO178" s="36">
        <v>5.4139999999999997</v>
      </c>
      <c r="AP178" s="37">
        <v>5.391</v>
      </c>
      <c r="AQ178" s="37">
        <v>5.3810000000000002</v>
      </c>
      <c r="AR178" s="37">
        <v>5.3689999999999998</v>
      </c>
      <c r="AS178" s="37">
        <v>5.3559999999999999</v>
      </c>
      <c r="AT178" s="37">
        <v>5.3410000000000002</v>
      </c>
      <c r="AU178" s="37">
        <v>5.3250000000000002</v>
      </c>
      <c r="AV178" s="37">
        <v>5.3070000000000004</v>
      </c>
      <c r="AW178" s="37">
        <v>5.2889999999999997</v>
      </c>
      <c r="AX178" s="37">
        <v>5.2690000000000001</v>
      </c>
      <c r="AY178" s="37">
        <v>5.2480000000000002</v>
      </c>
      <c r="AZ178" s="37">
        <v>5.2270000000000003</v>
      </c>
      <c r="BA178" s="37">
        <v>5.2039999999999997</v>
      </c>
      <c r="BB178" s="37">
        <v>5.181</v>
      </c>
      <c r="BC178" s="37">
        <v>5.1580000000000004</v>
      </c>
      <c r="BD178" s="37">
        <v>5.1340000000000003</v>
      </c>
      <c r="BE178" s="37">
        <v>5.1100000000000003</v>
      </c>
      <c r="BF178" s="37">
        <v>5.085</v>
      </c>
      <c r="BG178" s="37">
        <v>5.0609999999999999</v>
      </c>
      <c r="BH178" s="37">
        <v>5.0359999999999996</v>
      </c>
      <c r="BI178" s="37">
        <v>5.01</v>
      </c>
      <c r="BJ178" s="37">
        <v>4.9850000000000003</v>
      </c>
      <c r="BK178" s="37">
        <v>4.96</v>
      </c>
      <c r="BL178" s="37">
        <v>4.9340000000000002</v>
      </c>
      <c r="BM178" s="37">
        <v>4.9080000000000004</v>
      </c>
      <c r="BN178" s="37">
        <v>4.8810000000000002</v>
      </c>
    </row>
    <row r="179" spans="1:66" x14ac:dyDescent="0.2">
      <c r="A179" s="2" t="s">
        <v>579</v>
      </c>
      <c r="B179" s="2" t="s">
        <v>580</v>
      </c>
      <c r="C179" s="11" t="s">
        <v>79</v>
      </c>
      <c r="D179" s="12" t="s">
        <v>697</v>
      </c>
      <c r="E179" s="35">
        <v>1.0065722847404299</v>
      </c>
      <c r="F179" s="36">
        <v>1.998</v>
      </c>
      <c r="G179" s="36">
        <v>1.9990000000000001</v>
      </c>
      <c r="H179" s="36">
        <v>1.996</v>
      </c>
      <c r="I179" s="36">
        <v>1.992</v>
      </c>
      <c r="J179" s="36">
        <v>1.9890000000000001</v>
      </c>
      <c r="K179" s="36">
        <v>1.99</v>
      </c>
      <c r="L179" s="36">
        <v>1.9890000000000001</v>
      </c>
      <c r="M179" s="36">
        <v>1.986</v>
      </c>
      <c r="N179" s="36">
        <v>1.982</v>
      </c>
      <c r="O179" s="36">
        <v>1.9830000000000001</v>
      </c>
      <c r="P179" s="36">
        <v>1.9890000000000001</v>
      </c>
      <c r="Q179" s="36">
        <v>1.992</v>
      </c>
      <c r="R179" s="36">
        <v>1.9950000000000001</v>
      </c>
      <c r="S179" s="36">
        <v>1.996</v>
      </c>
      <c r="T179" s="36">
        <v>1.9970000000000001</v>
      </c>
      <c r="U179" s="36">
        <v>2</v>
      </c>
      <c r="V179" s="36">
        <v>2.0070000000000001</v>
      </c>
      <c r="W179" s="36">
        <v>2.0179999999999998</v>
      </c>
      <c r="X179" s="36">
        <v>2.0209999999999999</v>
      </c>
      <c r="Y179" s="36">
        <v>2.04</v>
      </c>
      <c r="Z179" s="36">
        <v>2.0489999999999999</v>
      </c>
      <c r="AA179" s="36">
        <v>2.0529999999999999</v>
      </c>
      <c r="AB179" s="36">
        <v>2.0569999999999999</v>
      </c>
      <c r="AC179" s="36">
        <v>2.06</v>
      </c>
      <c r="AD179" s="36">
        <v>2.0619999999999998</v>
      </c>
      <c r="AE179" s="36">
        <v>2.0640000000000001</v>
      </c>
      <c r="AF179" s="36">
        <v>2.0649999999999999</v>
      </c>
      <c r="AG179" s="36">
        <v>2.0659999999999998</v>
      </c>
      <c r="AH179" s="36">
        <v>2.0739999999999998</v>
      </c>
      <c r="AI179" s="36">
        <v>2.0880000000000001</v>
      </c>
      <c r="AJ179" s="36">
        <v>2.1019999999999999</v>
      </c>
      <c r="AK179" s="36">
        <v>2.1080000000000001</v>
      </c>
      <c r="AL179" s="36">
        <v>2.1120000000000001</v>
      </c>
      <c r="AM179" s="36">
        <v>2.12</v>
      </c>
      <c r="AN179" s="36">
        <v>2.1269999999999998</v>
      </c>
      <c r="AO179" s="36">
        <v>2.1309999999999998</v>
      </c>
      <c r="AP179" s="37">
        <v>2.1280000000000001</v>
      </c>
      <c r="AQ179" s="37">
        <v>2.125</v>
      </c>
      <c r="AR179" s="37">
        <v>2.1219999999999999</v>
      </c>
      <c r="AS179" s="37">
        <v>2.117</v>
      </c>
      <c r="AT179" s="37">
        <v>2.113</v>
      </c>
      <c r="AU179" s="37">
        <v>2.1080000000000001</v>
      </c>
      <c r="AV179" s="37">
        <v>2.1030000000000002</v>
      </c>
      <c r="AW179" s="37">
        <v>2.0979999999999999</v>
      </c>
      <c r="AX179" s="37">
        <v>2.093</v>
      </c>
      <c r="AY179" s="37">
        <v>2.0870000000000002</v>
      </c>
      <c r="AZ179" s="37">
        <v>2.0819999999999999</v>
      </c>
      <c r="BA179" s="37">
        <v>2.0760000000000001</v>
      </c>
      <c r="BB179" s="37">
        <v>2.0710000000000002</v>
      </c>
      <c r="BC179" s="37">
        <v>2.0659999999999998</v>
      </c>
      <c r="BD179" s="37">
        <v>2.06</v>
      </c>
      <c r="BE179" s="37">
        <v>2.0550000000000002</v>
      </c>
      <c r="BF179" s="37">
        <v>2.0489999999999999</v>
      </c>
      <c r="BG179" s="37">
        <v>2.0430000000000001</v>
      </c>
      <c r="BH179" s="37">
        <v>2.036</v>
      </c>
      <c r="BI179" s="37">
        <v>2.0299999999999998</v>
      </c>
      <c r="BJ179" s="37">
        <v>2.0230000000000001</v>
      </c>
      <c r="BK179" s="37">
        <v>2.016</v>
      </c>
      <c r="BL179" s="37">
        <v>2.0089999999999999</v>
      </c>
      <c r="BM179" s="37">
        <v>2.0019999999999998</v>
      </c>
      <c r="BN179" s="37">
        <v>1.9950000000000001</v>
      </c>
    </row>
    <row r="180" spans="1:66" x14ac:dyDescent="0.2">
      <c r="A180" s="2" t="s">
        <v>581</v>
      </c>
      <c r="B180" s="2" t="s">
        <v>582</v>
      </c>
      <c r="C180" s="11" t="s">
        <v>210</v>
      </c>
      <c r="D180" s="12" t="s">
        <v>697</v>
      </c>
      <c r="E180" s="35">
        <v>0.99999940380053298</v>
      </c>
      <c r="F180" s="36">
        <v>0.33100000000000002</v>
      </c>
      <c r="G180" s="36">
        <v>0.34200000000000003</v>
      </c>
      <c r="H180" s="36">
        <v>0.35199999999999998</v>
      </c>
      <c r="I180" s="36">
        <v>0.36299999999999999</v>
      </c>
      <c r="J180" s="36">
        <v>0.374</v>
      </c>
      <c r="K180" s="36">
        <v>0.38500000000000001</v>
      </c>
      <c r="L180" s="36">
        <v>0.39600000000000002</v>
      </c>
      <c r="M180" s="36">
        <v>0.40699999999999997</v>
      </c>
      <c r="N180" s="36">
        <v>0.41899999999999998</v>
      </c>
      <c r="O180" s="36">
        <v>0.43</v>
      </c>
      <c r="P180" s="36">
        <v>0.44</v>
      </c>
      <c r="Q180" s="36">
        <v>0.44900000000000001</v>
      </c>
      <c r="R180" s="36">
        <v>0.45800000000000002</v>
      </c>
      <c r="S180" s="36">
        <v>0.46600000000000003</v>
      </c>
      <c r="T180" s="36">
        <v>0.47499999999999998</v>
      </c>
      <c r="U180" s="36">
        <v>0.48299999999999998</v>
      </c>
      <c r="V180" s="36">
        <v>0.49199999999999999</v>
      </c>
      <c r="W180" s="36">
        <v>0.5</v>
      </c>
      <c r="X180" s="36">
        <v>0.50900000000000001</v>
      </c>
      <c r="Y180" s="36">
        <v>0.51800000000000002</v>
      </c>
      <c r="Z180" s="36">
        <v>0.53300000000000003</v>
      </c>
      <c r="AA180" s="36">
        <v>0.55300000000000005</v>
      </c>
      <c r="AB180" s="36">
        <v>0.57399999999999995</v>
      </c>
      <c r="AC180" s="36">
        <v>0.59499999999999997</v>
      </c>
      <c r="AD180" s="36">
        <v>0.61699999999999999</v>
      </c>
      <c r="AE180" s="36">
        <v>0.63900000000000001</v>
      </c>
      <c r="AF180" s="36">
        <v>0.66200000000000003</v>
      </c>
      <c r="AG180" s="36">
        <v>0.68600000000000005</v>
      </c>
      <c r="AH180" s="36">
        <v>0.70899999999999996</v>
      </c>
      <c r="AI180" s="36">
        <v>0.72799999999999998</v>
      </c>
      <c r="AJ180" s="36">
        <v>0.74399999999999999</v>
      </c>
      <c r="AK180" s="36">
        <v>0.76300000000000001</v>
      </c>
      <c r="AL180" s="36">
        <v>0.78100000000000003</v>
      </c>
      <c r="AM180" s="36">
        <v>0.8</v>
      </c>
      <c r="AN180" s="36">
        <v>0.81899999999999995</v>
      </c>
      <c r="AO180" s="36">
        <v>0.83899999999999997</v>
      </c>
      <c r="AP180" s="37">
        <v>0.85799999999999998</v>
      </c>
      <c r="AQ180" s="37">
        <v>0.878</v>
      </c>
      <c r="AR180" s="37">
        <v>0.89800000000000002</v>
      </c>
      <c r="AS180" s="37">
        <v>0.91800000000000004</v>
      </c>
      <c r="AT180" s="37">
        <v>0.93799999999999994</v>
      </c>
      <c r="AU180" s="37">
        <v>0.95899999999999996</v>
      </c>
      <c r="AV180" s="37">
        <v>0.97899999999999998</v>
      </c>
      <c r="AW180" s="37">
        <v>0.999</v>
      </c>
      <c r="AX180" s="37">
        <v>1.02</v>
      </c>
      <c r="AY180" s="37">
        <v>1.04</v>
      </c>
      <c r="AZ180" s="37">
        <v>1.06</v>
      </c>
      <c r="BA180" s="37">
        <v>1.079</v>
      </c>
      <c r="BB180" s="37">
        <v>1.0980000000000001</v>
      </c>
      <c r="BC180" s="37">
        <v>1.117</v>
      </c>
      <c r="BD180" s="37">
        <v>1.135</v>
      </c>
      <c r="BE180" s="37">
        <v>1.153</v>
      </c>
      <c r="BF180" s="37">
        <v>1.171</v>
      </c>
      <c r="BG180" s="37">
        <v>1.1890000000000001</v>
      </c>
      <c r="BH180" s="37">
        <v>1.2070000000000001</v>
      </c>
      <c r="BI180" s="37">
        <v>1.224</v>
      </c>
      <c r="BJ180" s="37">
        <v>1.2410000000000001</v>
      </c>
      <c r="BK180" s="37">
        <v>1.2589999999999999</v>
      </c>
      <c r="BL180" s="37">
        <v>1.276</v>
      </c>
      <c r="BM180" s="37">
        <v>1.292</v>
      </c>
      <c r="BN180" s="37">
        <v>1.3089999999999999</v>
      </c>
    </row>
    <row r="181" spans="1:66" x14ac:dyDescent="0.2">
      <c r="A181" s="2" t="s">
        <v>584</v>
      </c>
      <c r="B181" s="2" t="s">
        <v>585</v>
      </c>
      <c r="C181" s="11" t="s">
        <v>75</v>
      </c>
      <c r="D181" s="12" t="s">
        <v>697</v>
      </c>
      <c r="E181" s="35">
        <v>1</v>
      </c>
      <c r="F181" s="36">
        <v>7.0830000000000002</v>
      </c>
      <c r="G181" s="36">
        <v>6.8140000000000001</v>
      </c>
      <c r="H181" s="36">
        <v>6.4950000000000001</v>
      </c>
      <c r="I181" s="36">
        <v>6.681</v>
      </c>
      <c r="J181" s="36">
        <v>7.0270000000000001</v>
      </c>
      <c r="K181" s="36">
        <v>7.2850000000000001</v>
      </c>
      <c r="L181" s="36">
        <v>7.5540000000000003</v>
      </c>
      <c r="M181" s="36">
        <v>7.8250000000000002</v>
      </c>
      <c r="N181" s="36">
        <v>8.1549999999999994</v>
      </c>
      <c r="O181" s="36">
        <v>8.4920000000000009</v>
      </c>
      <c r="P181" s="36">
        <v>8.8390000000000004</v>
      </c>
      <c r="Q181" s="36">
        <v>9.1980000000000004</v>
      </c>
      <c r="R181" s="36">
        <v>9.5500000000000007</v>
      </c>
      <c r="S181" s="36">
        <v>9.9090000000000007</v>
      </c>
      <c r="T181" s="36">
        <v>10.281000000000001</v>
      </c>
      <c r="U181" s="36">
        <v>10.644</v>
      </c>
      <c r="V181" s="36">
        <v>10.976000000000001</v>
      </c>
      <c r="W181" s="36">
        <v>11.323</v>
      </c>
      <c r="X181" s="36">
        <v>11.663</v>
      </c>
      <c r="Y181" s="36">
        <v>11.961</v>
      </c>
      <c r="Z181" s="36">
        <v>12.262</v>
      </c>
      <c r="AA181" s="36">
        <v>12.349</v>
      </c>
      <c r="AB181" s="36">
        <v>12.461</v>
      </c>
      <c r="AC181" s="36">
        <v>12.87</v>
      </c>
      <c r="AD181" s="36">
        <v>13.339</v>
      </c>
      <c r="AE181" s="36">
        <v>13.807</v>
      </c>
      <c r="AF181" s="36">
        <v>14.349</v>
      </c>
      <c r="AG181" s="36">
        <v>14.917</v>
      </c>
      <c r="AH181" s="36">
        <v>15.452</v>
      </c>
      <c r="AI181" s="36">
        <v>16.030999999999999</v>
      </c>
      <c r="AJ181" s="36">
        <v>16.651</v>
      </c>
      <c r="AK181" s="36">
        <v>17.271000000000001</v>
      </c>
      <c r="AL181" s="36">
        <v>17.802</v>
      </c>
      <c r="AM181" s="36">
        <v>18.359000000000002</v>
      </c>
      <c r="AN181" s="36">
        <v>19.009</v>
      </c>
      <c r="AO181" s="36">
        <v>19.655000000000001</v>
      </c>
      <c r="AP181" s="37">
        <v>20.306000000000001</v>
      </c>
      <c r="AQ181" s="37">
        <v>20.959</v>
      </c>
      <c r="AR181" s="37">
        <v>21.602</v>
      </c>
      <c r="AS181" s="37">
        <v>22.248000000000001</v>
      </c>
      <c r="AT181" s="37">
        <v>22.914999999999999</v>
      </c>
      <c r="AU181" s="37">
        <v>23.59</v>
      </c>
      <c r="AV181" s="37">
        <v>24.259</v>
      </c>
      <c r="AW181" s="37">
        <v>24.922000000000001</v>
      </c>
      <c r="AX181" s="37">
        <v>25.594000000000001</v>
      </c>
      <c r="AY181" s="37">
        <v>26.295000000000002</v>
      </c>
      <c r="AZ181" s="37">
        <v>27.009</v>
      </c>
      <c r="BA181" s="37">
        <v>27.731000000000002</v>
      </c>
      <c r="BB181" s="37">
        <v>28.456</v>
      </c>
      <c r="BC181" s="37">
        <v>29.167999999999999</v>
      </c>
      <c r="BD181" s="37">
        <v>29.896000000000001</v>
      </c>
      <c r="BE181" s="37">
        <v>30.635999999999999</v>
      </c>
      <c r="BF181" s="37">
        <v>31.35</v>
      </c>
      <c r="BG181" s="37">
        <v>32.058</v>
      </c>
      <c r="BH181" s="37">
        <v>32.78</v>
      </c>
      <c r="BI181" s="37">
        <v>33.51</v>
      </c>
      <c r="BJ181" s="37">
        <v>34.247999999999998</v>
      </c>
      <c r="BK181" s="37">
        <v>34.996000000000002</v>
      </c>
      <c r="BL181" s="37">
        <v>35.744</v>
      </c>
      <c r="BM181" s="37">
        <v>36.475000000000001</v>
      </c>
      <c r="BN181" s="37">
        <v>37.207000000000001</v>
      </c>
    </row>
    <row r="182" spans="1:66" x14ac:dyDescent="0.2">
      <c r="A182" s="2" t="s">
        <v>586</v>
      </c>
      <c r="B182" s="2" t="s">
        <v>587</v>
      </c>
      <c r="C182" s="11" t="s">
        <v>82</v>
      </c>
      <c r="D182" s="12" t="s">
        <v>697</v>
      </c>
      <c r="E182" s="35">
        <v>0.999999992277673</v>
      </c>
      <c r="F182" s="36">
        <v>40.746000000000002</v>
      </c>
      <c r="G182" s="36">
        <v>41.688000000000002</v>
      </c>
      <c r="H182" s="36">
        <v>42.444000000000003</v>
      </c>
      <c r="I182" s="36">
        <v>43.296999999999997</v>
      </c>
      <c r="J182" s="36">
        <v>44.003999999999998</v>
      </c>
      <c r="K182" s="36">
        <v>44.542000000000002</v>
      </c>
      <c r="L182" s="36">
        <v>45.122999999999998</v>
      </c>
      <c r="M182" s="36">
        <v>45.667000000000002</v>
      </c>
      <c r="N182" s="36">
        <v>46.223999999999997</v>
      </c>
      <c r="O182" s="36">
        <v>46.73</v>
      </c>
      <c r="P182" s="36">
        <v>47.16</v>
      </c>
      <c r="Q182" s="36">
        <v>47.567</v>
      </c>
      <c r="R182" s="36">
        <v>48.018999999999998</v>
      </c>
      <c r="S182" s="36">
        <v>48.5</v>
      </c>
      <c r="T182" s="36">
        <v>48.991</v>
      </c>
      <c r="U182" s="36">
        <v>49.49</v>
      </c>
      <c r="V182" s="36">
        <v>49.997999999999998</v>
      </c>
      <c r="W182" s="36">
        <v>50.529000000000003</v>
      </c>
      <c r="X182" s="36">
        <v>51.115000000000002</v>
      </c>
      <c r="Y182" s="36">
        <v>51.728999999999999</v>
      </c>
      <c r="Z182" s="36">
        <v>52.344000000000001</v>
      </c>
      <c r="AA182" s="36">
        <v>52.994999999999997</v>
      </c>
      <c r="AB182" s="36">
        <v>53.783000000000001</v>
      </c>
      <c r="AC182" s="36">
        <v>54.679000000000002</v>
      </c>
      <c r="AD182" s="36">
        <v>55.594999999999999</v>
      </c>
      <c r="AE182" s="36">
        <v>56.723999999999997</v>
      </c>
      <c r="AF182" s="36">
        <v>57.26</v>
      </c>
      <c r="AG182" s="36">
        <v>57.634999999999998</v>
      </c>
      <c r="AH182" s="36">
        <v>58.613</v>
      </c>
      <c r="AI182" s="36">
        <v>59.588000000000001</v>
      </c>
      <c r="AJ182" s="36">
        <v>60.561999999999998</v>
      </c>
      <c r="AK182" s="36">
        <v>61.503</v>
      </c>
      <c r="AL182" s="36">
        <v>62.378</v>
      </c>
      <c r="AM182" s="36">
        <v>63.212000000000003</v>
      </c>
      <c r="AN182" s="36">
        <v>64.007000000000005</v>
      </c>
      <c r="AO182" s="36">
        <v>64.747</v>
      </c>
      <c r="AP182" s="37">
        <v>65.453000000000003</v>
      </c>
      <c r="AQ182" s="37">
        <v>66.143000000000001</v>
      </c>
      <c r="AR182" s="37">
        <v>66.83</v>
      </c>
      <c r="AS182" s="37">
        <v>67.507000000000005</v>
      </c>
      <c r="AT182" s="37">
        <v>68.161000000000001</v>
      </c>
      <c r="AU182" s="37">
        <v>68.799000000000007</v>
      </c>
      <c r="AV182" s="37">
        <v>69.426000000000002</v>
      </c>
      <c r="AW182" s="37">
        <v>70.040000000000006</v>
      </c>
      <c r="AX182" s="37">
        <v>70.641999999999996</v>
      </c>
      <c r="AY182" s="37">
        <v>71.234999999999999</v>
      </c>
      <c r="AZ182" s="37">
        <v>71.816000000000003</v>
      </c>
      <c r="BA182" s="37">
        <v>72.388000000000005</v>
      </c>
      <c r="BB182" s="37">
        <v>72.95</v>
      </c>
      <c r="BC182" s="37">
        <v>73.495999999999995</v>
      </c>
      <c r="BD182" s="37">
        <v>74.036000000000001</v>
      </c>
      <c r="BE182" s="37">
        <v>74.575000000000003</v>
      </c>
      <c r="BF182" s="37">
        <v>75.111999999999995</v>
      </c>
      <c r="BG182" s="37">
        <v>75.641999999999996</v>
      </c>
      <c r="BH182" s="37">
        <v>76.164000000000001</v>
      </c>
      <c r="BI182" s="37">
        <v>76.680999999999997</v>
      </c>
      <c r="BJ182" s="37">
        <v>77.2</v>
      </c>
      <c r="BK182" s="37">
        <v>77.716999999999999</v>
      </c>
      <c r="BL182" s="37">
        <v>78.215000000000003</v>
      </c>
      <c r="BM182" s="37">
        <v>78.7</v>
      </c>
      <c r="BN182" s="37">
        <v>79.177000000000007</v>
      </c>
    </row>
    <row r="183" spans="1:66" x14ac:dyDescent="0.2">
      <c r="A183" s="2" t="s">
        <v>588</v>
      </c>
      <c r="B183" s="2" t="s">
        <v>589</v>
      </c>
      <c r="C183" s="11" t="s">
        <v>75</v>
      </c>
      <c r="D183" s="12" t="s">
        <v>697</v>
      </c>
      <c r="E183" s="35">
        <v>1</v>
      </c>
      <c r="F183" s="36">
        <v>4.7380000000000004</v>
      </c>
      <c r="G183" s="36">
        <v>4.8369999999999997</v>
      </c>
      <c r="H183" s="36">
        <v>4.91</v>
      </c>
      <c r="I183" s="36">
        <v>4.9560000000000004</v>
      </c>
      <c r="J183" s="36">
        <v>5.0709999999999997</v>
      </c>
      <c r="K183" s="36">
        <v>5.226</v>
      </c>
      <c r="L183" s="36">
        <v>5.3570000000000002</v>
      </c>
      <c r="M183" s="36">
        <v>5.5090000000000003</v>
      </c>
      <c r="N183" s="36">
        <v>5.62</v>
      </c>
      <c r="O183" s="36">
        <v>5.7720000000000002</v>
      </c>
      <c r="P183" s="36">
        <v>6.032</v>
      </c>
      <c r="Q183" s="36">
        <v>6.3079999999999998</v>
      </c>
      <c r="R183" s="36">
        <v>6.5970000000000004</v>
      </c>
      <c r="S183" s="36">
        <v>6.9029999999999996</v>
      </c>
      <c r="T183" s="36">
        <v>7.2329999999999997</v>
      </c>
      <c r="U183" s="36">
        <v>7.59</v>
      </c>
      <c r="V183" s="36">
        <v>7.9770000000000003</v>
      </c>
      <c r="W183" s="36">
        <v>8.3889999999999993</v>
      </c>
      <c r="X183" s="36">
        <v>8.8179999999999996</v>
      </c>
      <c r="Y183" s="36">
        <v>9.2439999999999998</v>
      </c>
      <c r="Z183" s="36">
        <v>9.7460000000000004</v>
      </c>
      <c r="AA183" s="36">
        <v>10.288</v>
      </c>
      <c r="AB183" s="36">
        <v>10.756</v>
      </c>
      <c r="AC183" s="36">
        <v>11.166</v>
      </c>
      <c r="AD183" s="36">
        <v>11.234999999999999</v>
      </c>
      <c r="AE183" s="36">
        <v>11.108000000000001</v>
      </c>
      <c r="AF183" s="36">
        <v>10.83</v>
      </c>
      <c r="AG183" s="36">
        <v>10.259</v>
      </c>
      <c r="AH183" s="36">
        <v>10.122999999999999</v>
      </c>
      <c r="AI183" s="36">
        <v>10.423</v>
      </c>
      <c r="AJ183" s="36">
        <v>10.698</v>
      </c>
      <c r="AK183" s="36">
        <v>10.866</v>
      </c>
      <c r="AL183" s="36">
        <v>11.021000000000001</v>
      </c>
      <c r="AM183" s="36">
        <v>11.483000000000001</v>
      </c>
      <c r="AN183" s="36">
        <v>11.943</v>
      </c>
      <c r="AO183" s="36">
        <v>12.189</v>
      </c>
      <c r="AP183" s="37">
        <v>12.436</v>
      </c>
      <c r="AQ183" s="37">
        <v>12.686999999999999</v>
      </c>
      <c r="AR183" s="37">
        <v>12.941000000000001</v>
      </c>
      <c r="AS183" s="37">
        <v>13.198</v>
      </c>
      <c r="AT183" s="37">
        <v>13.457000000000001</v>
      </c>
      <c r="AU183" s="37">
        <v>13.725</v>
      </c>
      <c r="AV183" s="37">
        <v>13.996</v>
      </c>
      <c r="AW183" s="37">
        <v>14.262</v>
      </c>
      <c r="AX183" s="37">
        <v>14.528</v>
      </c>
      <c r="AY183" s="37">
        <v>14.798999999999999</v>
      </c>
      <c r="AZ183" s="37">
        <v>15.07</v>
      </c>
      <c r="BA183" s="37">
        <v>15.336</v>
      </c>
      <c r="BB183" s="37">
        <v>15.596</v>
      </c>
      <c r="BC183" s="37">
        <v>15.851000000000001</v>
      </c>
      <c r="BD183" s="37">
        <v>16.100999999999999</v>
      </c>
      <c r="BE183" s="37">
        <v>16.350000000000001</v>
      </c>
      <c r="BF183" s="37">
        <v>16.593</v>
      </c>
      <c r="BG183" s="37">
        <v>16.829000000000001</v>
      </c>
      <c r="BH183" s="37">
        <v>17.059999999999999</v>
      </c>
      <c r="BI183" s="37">
        <v>17.286000000000001</v>
      </c>
      <c r="BJ183" s="37">
        <v>17.510000000000002</v>
      </c>
      <c r="BK183" s="37">
        <v>17.728000000000002</v>
      </c>
      <c r="BL183" s="37">
        <v>17.937999999999999</v>
      </c>
      <c r="BM183" s="37">
        <v>18.143000000000001</v>
      </c>
      <c r="BN183" s="37">
        <v>18.341999999999999</v>
      </c>
    </row>
    <row r="184" spans="1:66" x14ac:dyDescent="0.2">
      <c r="A184" s="2" t="s">
        <v>590</v>
      </c>
      <c r="B184" s="2" t="s">
        <v>591</v>
      </c>
      <c r="C184" s="11" t="s">
        <v>79</v>
      </c>
      <c r="D184" s="12" t="s">
        <v>697</v>
      </c>
      <c r="E184" s="35">
        <v>1.0305948274166401</v>
      </c>
      <c r="F184" s="36">
        <v>38.866999999999997</v>
      </c>
      <c r="G184" s="36">
        <v>38.966000000000001</v>
      </c>
      <c r="H184" s="36">
        <v>39.158000000000001</v>
      </c>
      <c r="I184" s="36">
        <v>39.360999999999997</v>
      </c>
      <c r="J184" s="36">
        <v>39.548999999999999</v>
      </c>
      <c r="K184" s="36">
        <v>39.723999999999997</v>
      </c>
      <c r="L184" s="36">
        <v>39.89</v>
      </c>
      <c r="M184" s="36">
        <v>40.057000000000002</v>
      </c>
      <c r="N184" s="36">
        <v>40.223999999999997</v>
      </c>
      <c r="O184" s="36">
        <v>40.387</v>
      </c>
      <c r="P184" s="36">
        <v>40.567999999999998</v>
      </c>
      <c r="Q184" s="36">
        <v>40.85</v>
      </c>
      <c r="R184" s="36">
        <v>41.432000000000002</v>
      </c>
      <c r="S184" s="36">
        <v>42.188000000000002</v>
      </c>
      <c r="T184" s="36">
        <v>42.921999999999997</v>
      </c>
      <c r="U184" s="36">
        <v>43.652999999999999</v>
      </c>
      <c r="V184" s="36">
        <v>44.396999999999998</v>
      </c>
      <c r="W184" s="36">
        <v>45.226999999999997</v>
      </c>
      <c r="X184" s="36">
        <v>45.954000000000001</v>
      </c>
      <c r="Y184" s="36">
        <v>46.363</v>
      </c>
      <c r="Z184" s="36">
        <v>46.576999999999998</v>
      </c>
      <c r="AA184" s="36">
        <v>46.743000000000002</v>
      </c>
      <c r="AB184" s="36">
        <v>46.773000000000003</v>
      </c>
      <c r="AC184" s="36">
        <v>46.603999999999999</v>
      </c>
      <c r="AD184" s="36">
        <v>46.460999999999999</v>
      </c>
      <c r="AE184" s="36">
        <v>46.421999999999997</v>
      </c>
      <c r="AF184" s="36">
        <v>46.457999999999998</v>
      </c>
      <c r="AG184" s="36">
        <v>46.570999999999998</v>
      </c>
      <c r="AH184" s="36">
        <v>46.781999999999996</v>
      </c>
      <c r="AI184" s="36">
        <v>47.119</v>
      </c>
      <c r="AJ184" s="36">
        <v>47.359000000000002</v>
      </c>
      <c r="AK184" s="36">
        <v>47.444000000000003</v>
      </c>
      <c r="AL184" s="36">
        <v>47.786000000000001</v>
      </c>
      <c r="AM184" s="36">
        <v>48.353000000000002</v>
      </c>
      <c r="AN184" s="36">
        <v>48.848999999999997</v>
      </c>
      <c r="AO184" s="36">
        <v>49.354999999999997</v>
      </c>
      <c r="AP184" s="37">
        <v>49.314999999999998</v>
      </c>
      <c r="AQ184" s="37">
        <v>49.265000000000001</v>
      </c>
      <c r="AR184" s="37">
        <v>49.209000000000003</v>
      </c>
      <c r="AS184" s="37">
        <v>49.145000000000003</v>
      </c>
      <c r="AT184" s="37">
        <v>49.067</v>
      </c>
      <c r="AU184" s="37">
        <v>48.976999999999997</v>
      </c>
      <c r="AV184" s="37">
        <v>48.884999999999998</v>
      </c>
      <c r="AW184" s="37">
        <v>48.792999999999999</v>
      </c>
      <c r="AX184" s="37">
        <v>48.698</v>
      </c>
      <c r="AY184" s="37">
        <v>48.597000000000001</v>
      </c>
      <c r="AZ184" s="37">
        <v>48.488999999999997</v>
      </c>
      <c r="BA184" s="37">
        <v>48.377000000000002</v>
      </c>
      <c r="BB184" s="37">
        <v>48.262999999999998</v>
      </c>
      <c r="BC184" s="37">
        <v>48.143999999999998</v>
      </c>
      <c r="BD184" s="37">
        <v>48.017000000000003</v>
      </c>
      <c r="BE184" s="37">
        <v>47.884999999999998</v>
      </c>
      <c r="BF184" s="37">
        <v>47.744999999999997</v>
      </c>
      <c r="BG184" s="37">
        <v>47.600999999999999</v>
      </c>
      <c r="BH184" s="37">
        <v>47.45</v>
      </c>
      <c r="BI184" s="37">
        <v>47.283999999999999</v>
      </c>
      <c r="BJ184" s="37">
        <v>47.106999999999999</v>
      </c>
      <c r="BK184" s="37">
        <v>46.923000000000002</v>
      </c>
      <c r="BL184" s="37">
        <v>46.728999999999999</v>
      </c>
      <c r="BM184" s="37">
        <v>46.521999999999998</v>
      </c>
      <c r="BN184" s="37">
        <v>46.302999999999997</v>
      </c>
    </row>
    <row r="185" spans="1:66" x14ac:dyDescent="0.2">
      <c r="A185" s="2" t="s">
        <v>592</v>
      </c>
      <c r="B185" s="2" t="s">
        <v>593</v>
      </c>
      <c r="C185" s="11" t="s">
        <v>82</v>
      </c>
      <c r="D185" s="12" t="s">
        <v>697</v>
      </c>
      <c r="E185" s="38">
        <v>0.93656891576585799</v>
      </c>
      <c r="F185" s="36">
        <v>16.352</v>
      </c>
      <c r="G185" s="36">
        <v>16.475000000000001</v>
      </c>
      <c r="H185" s="36">
        <v>16.739000000000001</v>
      </c>
      <c r="I185" s="36">
        <v>17.026</v>
      </c>
      <c r="J185" s="36">
        <v>17.276</v>
      </c>
      <c r="K185" s="36">
        <v>17.564</v>
      </c>
      <c r="L185" s="36">
        <v>17.905000000000001</v>
      </c>
      <c r="M185" s="36">
        <v>18.248000000000001</v>
      </c>
      <c r="N185" s="36">
        <v>18.596</v>
      </c>
      <c r="O185" s="36">
        <v>18.945</v>
      </c>
      <c r="P185" s="36">
        <v>19.292999999999999</v>
      </c>
      <c r="Q185" s="36">
        <v>19.600000000000001</v>
      </c>
      <c r="R185" s="36">
        <v>19.806000000000001</v>
      </c>
      <c r="S185" s="36">
        <v>19.952000000000002</v>
      </c>
      <c r="T185" s="36">
        <v>20.088000000000001</v>
      </c>
      <c r="U185" s="36">
        <v>20.216999999999999</v>
      </c>
      <c r="V185" s="36">
        <v>20.352</v>
      </c>
      <c r="W185" s="36">
        <v>20.492999999999999</v>
      </c>
      <c r="X185" s="36">
        <v>20.629000000000001</v>
      </c>
      <c r="Y185" s="36">
        <v>20.756</v>
      </c>
      <c r="Z185" s="36">
        <v>20.879000000000001</v>
      </c>
      <c r="AA185" s="36">
        <v>21.009</v>
      </c>
      <c r="AB185" s="36">
        <v>21.169</v>
      </c>
      <c r="AC185" s="36">
        <v>20.585000000000001</v>
      </c>
      <c r="AD185" s="36">
        <v>20.777999999999999</v>
      </c>
      <c r="AE185" s="36">
        <v>20.97</v>
      </c>
      <c r="AF185" s="36">
        <v>21.209</v>
      </c>
      <c r="AG185" s="36">
        <v>21.452999999999999</v>
      </c>
      <c r="AH185" s="36">
        <v>21.67</v>
      </c>
      <c r="AI185" s="36">
        <v>21.803000000000001</v>
      </c>
      <c r="AJ185" s="36">
        <v>21.919</v>
      </c>
      <c r="AK185" s="36">
        <v>22.155999999999999</v>
      </c>
      <c r="AL185" s="36">
        <v>22.181000000000001</v>
      </c>
      <c r="AM185" s="36">
        <v>22.036999999999999</v>
      </c>
      <c r="AN185" s="36">
        <v>21.916</v>
      </c>
      <c r="AO185" s="36">
        <v>21.756</v>
      </c>
      <c r="AP185" s="37">
        <v>21.867000000000001</v>
      </c>
      <c r="AQ185" s="37">
        <v>21.972999999999999</v>
      </c>
      <c r="AR185" s="37">
        <v>22.074000000000002</v>
      </c>
      <c r="AS185" s="37">
        <v>22.169</v>
      </c>
      <c r="AT185" s="37">
        <v>22.26</v>
      </c>
      <c r="AU185" s="37">
        <v>22.347999999999999</v>
      </c>
      <c r="AV185" s="37">
        <v>22.431999999999999</v>
      </c>
      <c r="AW185" s="37">
        <v>22.513000000000002</v>
      </c>
      <c r="AX185" s="37">
        <v>22.588999999999999</v>
      </c>
      <c r="AY185" s="37">
        <v>22.661999999999999</v>
      </c>
      <c r="AZ185" s="37">
        <v>22.73</v>
      </c>
      <c r="BA185" s="37">
        <v>22.795999999999999</v>
      </c>
      <c r="BB185" s="37">
        <v>22.859000000000002</v>
      </c>
      <c r="BC185" s="37">
        <v>22.917000000000002</v>
      </c>
      <c r="BD185" s="37">
        <v>22.971</v>
      </c>
      <c r="BE185" s="37">
        <v>23.02</v>
      </c>
      <c r="BF185" s="37">
        <v>23.062999999999999</v>
      </c>
      <c r="BG185" s="37">
        <v>23.102</v>
      </c>
      <c r="BH185" s="37">
        <v>23.135999999999999</v>
      </c>
      <c r="BI185" s="37">
        <v>23.167000000000002</v>
      </c>
      <c r="BJ185" s="37">
        <v>23.195</v>
      </c>
      <c r="BK185" s="37">
        <v>23.213999999999999</v>
      </c>
      <c r="BL185" s="37">
        <v>23.228000000000002</v>
      </c>
      <c r="BM185" s="37">
        <v>23.236000000000001</v>
      </c>
      <c r="BN185" s="37">
        <v>23.24</v>
      </c>
    </row>
    <row r="186" spans="1:66" x14ac:dyDescent="0.2">
      <c r="A186" s="2" t="s">
        <v>594</v>
      </c>
      <c r="B186" s="2" t="s">
        <v>595</v>
      </c>
      <c r="C186" s="11" t="s">
        <v>79</v>
      </c>
      <c r="D186" s="12" t="s">
        <v>697</v>
      </c>
      <c r="E186" s="35">
        <v>1.00001065609582</v>
      </c>
      <c r="F186" s="36">
        <v>0.04</v>
      </c>
      <c r="G186" s="36">
        <v>0.04</v>
      </c>
      <c r="H186" s="36">
        <v>4.1000000000000002E-2</v>
      </c>
      <c r="I186" s="36">
        <v>4.1000000000000002E-2</v>
      </c>
      <c r="J186" s="36">
        <v>4.2000000000000003E-2</v>
      </c>
      <c r="K186" s="36">
        <v>4.2000000000000003E-2</v>
      </c>
      <c r="L186" s="36">
        <v>4.2999999999999997E-2</v>
      </c>
      <c r="M186" s="36">
        <v>4.2999999999999997E-2</v>
      </c>
      <c r="N186" s="36">
        <v>4.3999999999999997E-2</v>
      </c>
      <c r="O186" s="36">
        <v>4.4999999999999998E-2</v>
      </c>
      <c r="P186" s="36">
        <v>4.4999999999999998E-2</v>
      </c>
      <c r="Q186" s="36">
        <v>4.5999999999999999E-2</v>
      </c>
      <c r="R186" s="36">
        <v>4.5999999999999999E-2</v>
      </c>
      <c r="S186" s="36">
        <v>4.5999999999999999E-2</v>
      </c>
      <c r="T186" s="36">
        <v>4.5999999999999999E-2</v>
      </c>
      <c r="U186" s="36">
        <v>4.5999999999999999E-2</v>
      </c>
      <c r="V186" s="36">
        <v>4.7E-2</v>
      </c>
      <c r="W186" s="36">
        <v>4.7E-2</v>
      </c>
      <c r="X186" s="36">
        <v>4.7E-2</v>
      </c>
      <c r="Y186" s="36">
        <v>4.7E-2</v>
      </c>
      <c r="Z186" s="36">
        <v>4.7E-2</v>
      </c>
      <c r="AA186" s="36">
        <v>4.7E-2</v>
      </c>
      <c r="AB186" s="36">
        <v>4.7E-2</v>
      </c>
      <c r="AC186" s="36">
        <v>4.7E-2</v>
      </c>
      <c r="AD186" s="36">
        <v>4.7E-2</v>
      </c>
      <c r="AE186" s="36">
        <v>4.7E-2</v>
      </c>
      <c r="AF186" s="36">
        <v>4.7E-2</v>
      </c>
      <c r="AG186" s="36">
        <v>4.7E-2</v>
      </c>
      <c r="AH186" s="36">
        <v>4.7E-2</v>
      </c>
      <c r="AI186" s="36">
        <v>4.7E-2</v>
      </c>
      <c r="AJ186" s="36">
        <v>4.7E-2</v>
      </c>
      <c r="AK186" s="36">
        <v>4.7E-2</v>
      </c>
      <c r="AL186" s="36">
        <v>4.7E-2</v>
      </c>
      <c r="AM186" s="36">
        <v>4.7E-2</v>
      </c>
      <c r="AN186" s="36">
        <v>4.7E-2</v>
      </c>
      <c r="AO186" s="36">
        <v>4.7E-2</v>
      </c>
      <c r="AP186" s="37">
        <v>4.7E-2</v>
      </c>
      <c r="AQ186" s="37">
        <v>4.7E-2</v>
      </c>
      <c r="AR186" s="37">
        <v>4.7E-2</v>
      </c>
      <c r="AS186" s="37">
        <v>4.7E-2</v>
      </c>
      <c r="AT186" s="37">
        <v>4.7E-2</v>
      </c>
      <c r="AU186" s="37">
        <v>4.7E-2</v>
      </c>
      <c r="AV186" s="37">
        <v>4.7E-2</v>
      </c>
      <c r="AW186" s="37">
        <v>4.7E-2</v>
      </c>
      <c r="AX186" s="37">
        <v>4.7E-2</v>
      </c>
      <c r="AY186" s="37">
        <v>4.7E-2</v>
      </c>
      <c r="AZ186" s="37">
        <v>4.7E-2</v>
      </c>
      <c r="BA186" s="37">
        <v>4.7E-2</v>
      </c>
      <c r="BB186" s="37">
        <v>4.7E-2</v>
      </c>
      <c r="BC186" s="37">
        <v>4.5999999999999999E-2</v>
      </c>
      <c r="BD186" s="37">
        <v>4.5999999999999999E-2</v>
      </c>
      <c r="BE186" s="37">
        <v>4.5999999999999999E-2</v>
      </c>
      <c r="BF186" s="37">
        <v>4.5999999999999999E-2</v>
      </c>
      <c r="BG186" s="37">
        <v>4.5999999999999999E-2</v>
      </c>
      <c r="BH186" s="37">
        <v>4.5999999999999999E-2</v>
      </c>
      <c r="BI186" s="37">
        <v>4.4999999999999998E-2</v>
      </c>
      <c r="BJ186" s="37">
        <v>4.4999999999999998E-2</v>
      </c>
      <c r="BK186" s="37">
        <v>4.4999999999999998E-2</v>
      </c>
      <c r="BL186" s="37">
        <v>4.4999999999999998E-2</v>
      </c>
      <c r="BM186" s="37">
        <v>4.3999999999999997E-2</v>
      </c>
      <c r="BN186" s="37">
        <v>4.3999999999999997E-2</v>
      </c>
    </row>
    <row r="187" spans="1:66" x14ac:dyDescent="0.2">
      <c r="A187" s="2" t="s">
        <v>596</v>
      </c>
      <c r="B187" s="2" t="s">
        <v>597</v>
      </c>
      <c r="C187" s="11" t="s">
        <v>82</v>
      </c>
      <c r="D187" s="12" t="s">
        <v>697</v>
      </c>
      <c r="E187" s="35">
        <v>1</v>
      </c>
      <c r="F187" s="36">
        <v>0.13800000000000001</v>
      </c>
      <c r="G187" s="36">
        <v>0.14000000000000001</v>
      </c>
      <c r="H187" s="36">
        <v>0.14199999999999999</v>
      </c>
      <c r="I187" s="36">
        <v>0.14399999999999999</v>
      </c>
      <c r="J187" s="36">
        <v>0.14599999999999999</v>
      </c>
      <c r="K187" s="36">
        <v>0.14799999999999999</v>
      </c>
      <c r="L187" s="36">
        <v>0.15</v>
      </c>
      <c r="M187" s="36">
        <v>0.153</v>
      </c>
      <c r="N187" s="36">
        <v>0.155</v>
      </c>
      <c r="O187" s="36">
        <v>0.157</v>
      </c>
      <c r="P187" s="36">
        <v>0.159</v>
      </c>
      <c r="Q187" s="36">
        <v>0.16</v>
      </c>
      <c r="R187" s="36">
        <v>0.16200000000000001</v>
      </c>
      <c r="S187" s="36">
        <v>0.16300000000000001</v>
      </c>
      <c r="T187" s="36">
        <v>0.16400000000000001</v>
      </c>
      <c r="U187" s="36">
        <v>0.16500000000000001</v>
      </c>
      <c r="V187" s="36">
        <v>0.16700000000000001</v>
      </c>
      <c r="W187" s="36">
        <v>0.16800000000000001</v>
      </c>
      <c r="X187" s="36">
        <v>0.16900000000000001</v>
      </c>
      <c r="Y187" s="36">
        <v>0.17</v>
      </c>
      <c r="Z187" s="36">
        <v>0.17100000000000001</v>
      </c>
      <c r="AA187" s="36">
        <v>0.17199999999999999</v>
      </c>
      <c r="AB187" s="36">
        <v>0.17299999999999999</v>
      </c>
      <c r="AC187" s="36">
        <v>0.17299999999999999</v>
      </c>
      <c r="AD187" s="36">
        <v>0.17399999999999999</v>
      </c>
      <c r="AE187" s="36">
        <v>0.17499999999999999</v>
      </c>
      <c r="AF187" s="36">
        <v>0.17599999999999999</v>
      </c>
      <c r="AG187" s="36">
        <v>0.17599999999999999</v>
      </c>
      <c r="AH187" s="36">
        <v>0.17699999999999999</v>
      </c>
      <c r="AI187" s="36">
        <v>0.17799999999999999</v>
      </c>
      <c r="AJ187" s="36">
        <v>0.17799999999999999</v>
      </c>
      <c r="AK187" s="36">
        <v>0.17899999999999999</v>
      </c>
      <c r="AL187" s="36">
        <v>0.17899999999999999</v>
      </c>
      <c r="AM187" s="36">
        <v>0.17899999999999999</v>
      </c>
      <c r="AN187" s="36">
        <v>0.18</v>
      </c>
      <c r="AO187" s="36">
        <v>0.18</v>
      </c>
      <c r="AP187" s="37">
        <v>0.18</v>
      </c>
      <c r="AQ187" s="37">
        <v>0.18099999999999999</v>
      </c>
      <c r="AR187" s="37">
        <v>0.18099999999999999</v>
      </c>
      <c r="AS187" s="37">
        <v>0.18099999999999999</v>
      </c>
      <c r="AT187" s="37">
        <v>0.18099999999999999</v>
      </c>
      <c r="AU187" s="37">
        <v>0.18099999999999999</v>
      </c>
      <c r="AV187" s="37">
        <v>0.18099999999999999</v>
      </c>
      <c r="AW187" s="37">
        <v>0.18099999999999999</v>
      </c>
      <c r="AX187" s="37">
        <v>0.18099999999999999</v>
      </c>
      <c r="AY187" s="37">
        <v>0.18099999999999999</v>
      </c>
      <c r="AZ187" s="37">
        <v>0.18099999999999999</v>
      </c>
      <c r="BA187" s="37">
        <v>0.18099999999999999</v>
      </c>
      <c r="BB187" s="37">
        <v>0.18</v>
      </c>
      <c r="BC187" s="37">
        <v>0.18</v>
      </c>
      <c r="BD187" s="37">
        <v>0.17899999999999999</v>
      </c>
      <c r="BE187" s="37">
        <v>0.17899999999999999</v>
      </c>
      <c r="BF187" s="37">
        <v>0.17799999999999999</v>
      </c>
      <c r="BG187" s="37">
        <v>0.17799999999999999</v>
      </c>
      <c r="BH187" s="37">
        <v>0.17699999999999999</v>
      </c>
      <c r="BI187" s="37">
        <v>0.17599999999999999</v>
      </c>
      <c r="BJ187" s="37">
        <v>0.17599999999999999</v>
      </c>
      <c r="BK187" s="37">
        <v>0.17499999999999999</v>
      </c>
      <c r="BL187" s="37">
        <v>0.17399999999999999</v>
      </c>
      <c r="BM187" s="37">
        <v>0.17299999999999999</v>
      </c>
      <c r="BN187" s="37">
        <v>0.17199999999999999</v>
      </c>
    </row>
    <row r="188" spans="1:66" x14ac:dyDescent="0.2">
      <c r="A188" s="2" t="s">
        <v>598</v>
      </c>
      <c r="B188" s="2" t="s">
        <v>599</v>
      </c>
      <c r="C188" s="11" t="s">
        <v>79</v>
      </c>
      <c r="D188" s="12" t="s">
        <v>697</v>
      </c>
      <c r="E188" s="35">
        <v>1.0000200477135599</v>
      </c>
      <c r="F188" s="36">
        <v>2.8000000000000001E-2</v>
      </c>
      <c r="G188" s="36">
        <v>2.9000000000000001E-2</v>
      </c>
      <c r="H188" s="36">
        <v>2.9000000000000001E-2</v>
      </c>
      <c r="I188" s="36">
        <v>2.9000000000000001E-2</v>
      </c>
      <c r="J188" s="36">
        <v>2.9000000000000001E-2</v>
      </c>
      <c r="K188" s="36">
        <v>2.9000000000000001E-2</v>
      </c>
      <c r="L188" s="36">
        <v>2.9000000000000001E-2</v>
      </c>
      <c r="M188" s="36">
        <v>2.9000000000000001E-2</v>
      </c>
      <c r="N188" s="36">
        <v>2.9000000000000001E-2</v>
      </c>
      <c r="O188" s="36">
        <v>2.9000000000000001E-2</v>
      </c>
      <c r="P188" s="36">
        <v>0.03</v>
      </c>
      <c r="Q188" s="36">
        <v>3.1E-2</v>
      </c>
      <c r="R188" s="36">
        <v>3.2000000000000001E-2</v>
      </c>
      <c r="S188" s="36">
        <v>3.2000000000000001E-2</v>
      </c>
      <c r="T188" s="36">
        <v>3.3000000000000002E-2</v>
      </c>
      <c r="U188" s="36">
        <v>3.4000000000000002E-2</v>
      </c>
      <c r="V188" s="36">
        <v>3.5000000000000003E-2</v>
      </c>
      <c r="W188" s="36">
        <v>3.5000000000000003E-2</v>
      </c>
      <c r="X188" s="36">
        <v>3.5999999999999997E-2</v>
      </c>
      <c r="Y188" s="36">
        <v>3.6999999999999998E-2</v>
      </c>
      <c r="Z188" s="36">
        <v>3.6999999999999998E-2</v>
      </c>
      <c r="AA188" s="36">
        <v>3.6999999999999998E-2</v>
      </c>
      <c r="AB188" s="36">
        <v>3.6999999999999998E-2</v>
      </c>
      <c r="AC188" s="36">
        <v>3.6999999999999998E-2</v>
      </c>
      <c r="AD188" s="36">
        <v>3.6999999999999998E-2</v>
      </c>
      <c r="AE188" s="36">
        <v>3.6999999999999998E-2</v>
      </c>
      <c r="AF188" s="36">
        <v>3.6999999999999998E-2</v>
      </c>
      <c r="AG188" s="36">
        <v>3.6999999999999998E-2</v>
      </c>
      <c r="AH188" s="36">
        <v>3.5999999999999997E-2</v>
      </c>
      <c r="AI188" s="36">
        <v>3.4000000000000002E-2</v>
      </c>
      <c r="AJ188" s="36">
        <v>3.2000000000000001E-2</v>
      </c>
      <c r="AK188" s="36">
        <v>0.03</v>
      </c>
      <c r="AL188" s="36">
        <v>2.9000000000000001E-2</v>
      </c>
      <c r="AM188" s="36">
        <v>2.8000000000000001E-2</v>
      </c>
      <c r="AN188" s="36">
        <v>2.5999999999999999E-2</v>
      </c>
      <c r="AO188" s="36">
        <v>2.5000000000000001E-2</v>
      </c>
      <c r="AP188" s="37">
        <v>2.4E-2</v>
      </c>
      <c r="AQ188" s="37">
        <v>2.3E-2</v>
      </c>
      <c r="AR188" s="37">
        <v>2.1999999999999999E-2</v>
      </c>
      <c r="AS188" s="37">
        <v>2.1999999999999999E-2</v>
      </c>
      <c r="AT188" s="37">
        <v>2.1000000000000001E-2</v>
      </c>
      <c r="AU188" s="37">
        <v>2.1000000000000001E-2</v>
      </c>
      <c r="AV188" s="37">
        <v>0.02</v>
      </c>
      <c r="AW188" s="37">
        <v>0.02</v>
      </c>
      <c r="AX188" s="37">
        <v>0.02</v>
      </c>
      <c r="AY188" s="37">
        <v>1.9E-2</v>
      </c>
      <c r="AZ188" s="37">
        <v>1.9E-2</v>
      </c>
      <c r="BA188" s="37">
        <v>1.9E-2</v>
      </c>
      <c r="BB188" s="37">
        <v>1.9E-2</v>
      </c>
      <c r="BC188" s="37">
        <v>1.9E-2</v>
      </c>
      <c r="BD188" s="37">
        <v>1.9E-2</v>
      </c>
      <c r="BE188" s="37">
        <v>1.9E-2</v>
      </c>
      <c r="BF188" s="37">
        <v>1.9E-2</v>
      </c>
      <c r="BG188" s="37">
        <v>1.9E-2</v>
      </c>
      <c r="BH188" s="37">
        <v>1.9E-2</v>
      </c>
      <c r="BI188" s="37">
        <v>1.9E-2</v>
      </c>
      <c r="BJ188" s="37">
        <v>1.9E-2</v>
      </c>
      <c r="BK188" s="37">
        <v>1.9E-2</v>
      </c>
      <c r="BL188" s="37">
        <v>1.9E-2</v>
      </c>
      <c r="BM188" s="37">
        <v>1.9E-2</v>
      </c>
      <c r="BN188" s="37">
        <v>1.9E-2</v>
      </c>
    </row>
    <row r="189" spans="1:66" x14ac:dyDescent="0.2">
      <c r="A189" s="2" t="s">
        <v>600</v>
      </c>
      <c r="B189" s="2" t="s">
        <v>601</v>
      </c>
      <c r="C189" s="11" t="s">
        <v>82</v>
      </c>
      <c r="D189" s="12" t="s">
        <v>697</v>
      </c>
      <c r="E189" s="35">
        <v>0.99999499622214805</v>
      </c>
      <c r="F189" s="36">
        <v>0.112</v>
      </c>
      <c r="G189" s="36">
        <v>0.112</v>
      </c>
      <c r="H189" s="36">
        <v>0.113</v>
      </c>
      <c r="I189" s="36">
        <v>0.113</v>
      </c>
      <c r="J189" s="36">
        <v>0.113</v>
      </c>
      <c r="K189" s="36">
        <v>0.113</v>
      </c>
      <c r="L189" s="36">
        <v>0.113</v>
      </c>
      <c r="M189" s="36">
        <v>0.113</v>
      </c>
      <c r="N189" s="36">
        <v>0.113</v>
      </c>
      <c r="O189" s="36">
        <v>0.113</v>
      </c>
      <c r="P189" s="36">
        <v>0.114</v>
      </c>
      <c r="Q189" s="36">
        <v>0.114</v>
      </c>
      <c r="R189" s="36">
        <v>0.113</v>
      </c>
      <c r="S189" s="36">
        <v>0.113</v>
      </c>
      <c r="T189" s="36">
        <v>0.113</v>
      </c>
      <c r="U189" s="36">
        <v>0.112</v>
      </c>
      <c r="V189" s="36">
        <v>0.112</v>
      </c>
      <c r="W189" s="36">
        <v>0.112</v>
      </c>
      <c r="X189" s="36">
        <v>0.111</v>
      </c>
      <c r="Y189" s="36">
        <v>0.111</v>
      </c>
      <c r="Z189" s="36">
        <v>0.11</v>
      </c>
      <c r="AA189" s="36">
        <v>0.109</v>
      </c>
      <c r="AB189" s="36">
        <v>0.109</v>
      </c>
      <c r="AC189" s="36">
        <v>0.108</v>
      </c>
      <c r="AD189" s="36">
        <v>0.108</v>
      </c>
      <c r="AE189" s="36">
        <v>0.107</v>
      </c>
      <c r="AF189" s="36">
        <v>0.106</v>
      </c>
      <c r="AG189" s="36">
        <v>0.106</v>
      </c>
      <c r="AH189" s="36">
        <v>0.105</v>
      </c>
      <c r="AI189" s="36">
        <v>0.104</v>
      </c>
      <c r="AJ189" s="36">
        <v>0.104</v>
      </c>
      <c r="AK189" s="36">
        <v>0.10299999999999999</v>
      </c>
      <c r="AL189" s="36">
        <v>0.10199999999999999</v>
      </c>
      <c r="AM189" s="36">
        <v>0.10100000000000001</v>
      </c>
      <c r="AN189" s="36">
        <v>0.10100000000000001</v>
      </c>
      <c r="AO189" s="36">
        <v>0.1</v>
      </c>
      <c r="AP189" s="37">
        <v>9.9000000000000005E-2</v>
      </c>
      <c r="AQ189" s="37">
        <v>9.9000000000000005E-2</v>
      </c>
      <c r="AR189" s="37">
        <v>9.8000000000000004E-2</v>
      </c>
      <c r="AS189" s="37">
        <v>9.7000000000000003E-2</v>
      </c>
      <c r="AT189" s="37">
        <v>9.7000000000000003E-2</v>
      </c>
      <c r="AU189" s="37">
        <v>9.6000000000000002E-2</v>
      </c>
      <c r="AV189" s="37">
        <v>9.6000000000000002E-2</v>
      </c>
      <c r="AW189" s="37">
        <v>9.5000000000000001E-2</v>
      </c>
      <c r="AX189" s="37">
        <v>9.5000000000000001E-2</v>
      </c>
      <c r="AY189" s="37">
        <v>9.4E-2</v>
      </c>
      <c r="AZ189" s="37">
        <v>9.4E-2</v>
      </c>
      <c r="BA189" s="37">
        <v>9.4E-2</v>
      </c>
      <c r="BB189" s="37">
        <v>9.2999999999999999E-2</v>
      </c>
      <c r="BC189" s="37">
        <v>9.2999999999999999E-2</v>
      </c>
      <c r="BD189" s="37">
        <v>9.2999999999999999E-2</v>
      </c>
      <c r="BE189" s="37">
        <v>9.1999999999999998E-2</v>
      </c>
      <c r="BF189" s="37">
        <v>9.1999999999999998E-2</v>
      </c>
      <c r="BG189" s="37">
        <v>9.1999999999999998E-2</v>
      </c>
      <c r="BH189" s="37">
        <v>9.0999999999999998E-2</v>
      </c>
      <c r="BI189" s="37">
        <v>9.0999999999999998E-2</v>
      </c>
      <c r="BJ189" s="37">
        <v>9.0999999999999998E-2</v>
      </c>
      <c r="BK189" s="37">
        <v>0.09</v>
      </c>
      <c r="BL189" s="37">
        <v>0.09</v>
      </c>
      <c r="BM189" s="37">
        <v>8.8999999999999996E-2</v>
      </c>
      <c r="BN189" s="37">
        <v>8.8999999999999996E-2</v>
      </c>
    </row>
    <row r="190" spans="1:66" x14ac:dyDescent="0.2">
      <c r="A190" s="2" t="s">
        <v>602</v>
      </c>
      <c r="B190" s="2" t="s">
        <v>603</v>
      </c>
      <c r="C190" s="11" t="s">
        <v>75</v>
      </c>
      <c r="D190" s="12" t="s">
        <v>697</v>
      </c>
      <c r="E190" s="35">
        <v>0.99999999032173403</v>
      </c>
      <c r="F190" s="36">
        <v>22.021000000000001</v>
      </c>
      <c r="G190" s="36">
        <v>22.471</v>
      </c>
      <c r="H190" s="36">
        <v>22.927</v>
      </c>
      <c r="I190" s="36">
        <v>23.446000000000002</v>
      </c>
      <c r="J190" s="36">
        <v>24.044</v>
      </c>
      <c r="K190" s="36">
        <v>24.672000000000001</v>
      </c>
      <c r="L190" s="36">
        <v>25.231999999999999</v>
      </c>
      <c r="M190" s="36">
        <v>25.8</v>
      </c>
      <c r="N190" s="36">
        <v>26.459</v>
      </c>
      <c r="O190" s="36">
        <v>27.131</v>
      </c>
      <c r="P190" s="36">
        <v>27.817</v>
      </c>
      <c r="Q190" s="36">
        <v>28.516999999999999</v>
      </c>
      <c r="R190" s="36">
        <v>29.228999999999999</v>
      </c>
      <c r="S190" s="36">
        <v>29.896000000000001</v>
      </c>
      <c r="T190" s="36">
        <v>30.556999999999999</v>
      </c>
      <c r="U190" s="36">
        <v>31.262</v>
      </c>
      <c r="V190" s="36">
        <v>31.992000000000001</v>
      </c>
      <c r="W190" s="36">
        <v>32.764000000000003</v>
      </c>
      <c r="X190" s="36">
        <v>33.624000000000002</v>
      </c>
      <c r="Y190" s="36">
        <v>34.569000000000003</v>
      </c>
      <c r="Z190" s="36">
        <v>35.414000000000001</v>
      </c>
      <c r="AA190" s="36">
        <v>36.140999999999998</v>
      </c>
      <c r="AB190" s="36">
        <v>36.923000000000002</v>
      </c>
      <c r="AC190" s="36">
        <v>37.786000000000001</v>
      </c>
      <c r="AD190" s="36">
        <v>38.823</v>
      </c>
      <c r="AE190" s="36">
        <v>40.024000000000001</v>
      </c>
      <c r="AF190" s="36">
        <v>41.26</v>
      </c>
      <c r="AG190" s="36">
        <v>42.713999999999999</v>
      </c>
      <c r="AH190" s="36">
        <v>44.231000000000002</v>
      </c>
      <c r="AI190" s="36">
        <v>45.548000000000002</v>
      </c>
      <c r="AJ190" s="36">
        <v>46.789000000000001</v>
      </c>
      <c r="AK190" s="36">
        <v>48.067</v>
      </c>
      <c r="AL190" s="36">
        <v>49.383000000000003</v>
      </c>
      <c r="AM190" s="36">
        <v>50.042999999999999</v>
      </c>
      <c r="AN190" s="36">
        <v>50.448999999999998</v>
      </c>
      <c r="AO190" s="36">
        <v>51.661999999999999</v>
      </c>
      <c r="AP190" s="37">
        <v>53.283000000000001</v>
      </c>
      <c r="AQ190" s="37">
        <v>54.723999999999997</v>
      </c>
      <c r="AR190" s="37">
        <v>55.994</v>
      </c>
      <c r="AS190" s="37">
        <v>57.274999999999999</v>
      </c>
      <c r="AT190" s="37">
        <v>58.572000000000003</v>
      </c>
      <c r="AU190" s="37">
        <v>59.872999999999998</v>
      </c>
      <c r="AV190" s="37">
        <v>61.179000000000002</v>
      </c>
      <c r="AW190" s="37">
        <v>62.497</v>
      </c>
      <c r="AX190" s="37">
        <v>63.822000000000003</v>
      </c>
      <c r="AY190" s="37">
        <v>65.147999999999996</v>
      </c>
      <c r="AZ190" s="37">
        <v>66.47</v>
      </c>
      <c r="BA190" s="37">
        <v>67.790999999999997</v>
      </c>
      <c r="BB190" s="37">
        <v>69.108000000000004</v>
      </c>
      <c r="BC190" s="37">
        <v>70.417000000000002</v>
      </c>
      <c r="BD190" s="37">
        <v>71.730999999999995</v>
      </c>
      <c r="BE190" s="37">
        <v>73.055999999999997</v>
      </c>
      <c r="BF190" s="37">
        <v>74.388000000000005</v>
      </c>
      <c r="BG190" s="37">
        <v>75.724000000000004</v>
      </c>
      <c r="BH190" s="37">
        <v>77.066000000000003</v>
      </c>
      <c r="BI190" s="37">
        <v>78.415000000000006</v>
      </c>
      <c r="BJ190" s="37">
        <v>79.766999999999996</v>
      </c>
      <c r="BK190" s="37">
        <v>81.114999999999995</v>
      </c>
      <c r="BL190" s="37">
        <v>82.462999999999994</v>
      </c>
      <c r="BM190" s="37">
        <v>83.828000000000003</v>
      </c>
      <c r="BN190" s="37">
        <v>85.206000000000003</v>
      </c>
    </row>
    <row r="191" spans="1:66" x14ac:dyDescent="0.2">
      <c r="A191" s="2" t="s">
        <v>605</v>
      </c>
      <c r="B191" s="2" t="s">
        <v>606</v>
      </c>
      <c r="C191" s="11" t="s">
        <v>82</v>
      </c>
      <c r="D191" s="12" t="s">
        <v>697</v>
      </c>
      <c r="E191" s="35">
        <v>1</v>
      </c>
      <c r="F191" s="36">
        <v>0.41199999999999998</v>
      </c>
      <c r="G191" s="36">
        <v>0.41499999999999998</v>
      </c>
      <c r="H191" s="36">
        <v>0.41799999999999998</v>
      </c>
      <c r="I191" s="36">
        <v>0.41899999999999998</v>
      </c>
      <c r="J191" s="36">
        <v>0.42199999999999999</v>
      </c>
      <c r="K191" s="36">
        <v>0.43</v>
      </c>
      <c r="L191" s="36">
        <v>0.439</v>
      </c>
      <c r="M191" s="36">
        <v>0.44800000000000001</v>
      </c>
      <c r="N191" s="36">
        <v>0.45700000000000002</v>
      </c>
      <c r="O191" s="36">
        <v>0.46700000000000003</v>
      </c>
      <c r="P191" s="36">
        <v>0.47699999999999998</v>
      </c>
      <c r="Q191" s="36">
        <v>0.48699999999999999</v>
      </c>
      <c r="R191" s="36">
        <v>0.497</v>
      </c>
      <c r="S191" s="36">
        <v>0.50600000000000001</v>
      </c>
      <c r="T191" s="36">
        <v>0.51400000000000001</v>
      </c>
      <c r="U191" s="36">
        <v>0.51900000000000002</v>
      </c>
      <c r="V191" s="36">
        <v>0.52500000000000002</v>
      </c>
      <c r="W191" s="36">
        <v>0.53100000000000003</v>
      </c>
      <c r="X191" s="36">
        <v>0.53700000000000003</v>
      </c>
      <c r="Y191" s="36">
        <v>0.54400000000000004</v>
      </c>
      <c r="Z191" s="36">
        <v>0.55000000000000004</v>
      </c>
      <c r="AA191" s="36">
        <v>0.55600000000000005</v>
      </c>
      <c r="AB191" s="36">
        <v>0.56299999999999994</v>
      </c>
      <c r="AC191" s="36">
        <v>0.56899999999999995</v>
      </c>
      <c r="AD191" s="36">
        <v>0.57499999999999996</v>
      </c>
      <c r="AE191" s="36">
        <v>0.58199999999999996</v>
      </c>
      <c r="AF191" s="36">
        <v>0.58799999999999997</v>
      </c>
      <c r="AG191" s="36">
        <v>0.59399999999999997</v>
      </c>
      <c r="AH191" s="36">
        <v>0.6</v>
      </c>
      <c r="AI191" s="36">
        <v>0.60599999999999998</v>
      </c>
      <c r="AJ191" s="36">
        <v>0.61199999999999999</v>
      </c>
      <c r="AK191" s="36">
        <v>0.61799999999999999</v>
      </c>
      <c r="AL191" s="36">
        <v>0.623</v>
      </c>
      <c r="AM191" s="36">
        <v>0.629</v>
      </c>
      <c r="AN191" s="36">
        <v>0.63400000000000001</v>
      </c>
      <c r="AO191" s="36">
        <v>0.64</v>
      </c>
      <c r="AP191" s="37">
        <v>0.64500000000000002</v>
      </c>
      <c r="AQ191" s="37">
        <v>0.65100000000000002</v>
      </c>
      <c r="AR191" s="37">
        <v>0.65600000000000003</v>
      </c>
      <c r="AS191" s="37">
        <v>0.66100000000000003</v>
      </c>
      <c r="AT191" s="37">
        <v>0.66600000000000004</v>
      </c>
      <c r="AU191" s="37">
        <v>0.67</v>
      </c>
      <c r="AV191" s="37">
        <v>0.67500000000000004</v>
      </c>
      <c r="AW191" s="37">
        <v>0.68</v>
      </c>
      <c r="AX191" s="37">
        <v>0.68400000000000005</v>
      </c>
      <c r="AY191" s="37">
        <v>0.68799999999999994</v>
      </c>
      <c r="AZ191" s="37">
        <v>0.69199999999999995</v>
      </c>
      <c r="BA191" s="37">
        <v>0.69599999999999995</v>
      </c>
      <c r="BB191" s="37">
        <v>0.7</v>
      </c>
      <c r="BC191" s="37">
        <v>0.70399999999999996</v>
      </c>
      <c r="BD191" s="37">
        <v>0.70699999999999996</v>
      </c>
      <c r="BE191" s="37">
        <v>0.71099999999999997</v>
      </c>
      <c r="BF191" s="37">
        <v>0.71399999999999997</v>
      </c>
      <c r="BG191" s="37">
        <v>0.71699999999999997</v>
      </c>
      <c r="BH191" s="37">
        <v>0.72</v>
      </c>
      <c r="BI191" s="37">
        <v>0.72299999999999998</v>
      </c>
      <c r="BJ191" s="37">
        <v>0.72499999999999998</v>
      </c>
      <c r="BK191" s="37">
        <v>0.72799999999999998</v>
      </c>
      <c r="BL191" s="37">
        <v>0.73</v>
      </c>
      <c r="BM191" s="37">
        <v>0.73199999999999998</v>
      </c>
      <c r="BN191" s="37">
        <v>0.73399999999999999</v>
      </c>
    </row>
    <row r="192" spans="1:66" x14ac:dyDescent="0.2">
      <c r="A192" s="2" t="s">
        <v>607</v>
      </c>
      <c r="B192" s="2" t="s">
        <v>608</v>
      </c>
      <c r="C192" s="11" t="s">
        <v>79</v>
      </c>
      <c r="D192" s="12" t="s">
        <v>697</v>
      </c>
      <c r="E192" s="35">
        <v>0.99436848392921096</v>
      </c>
      <c r="F192" s="36">
        <v>8.5589999999999993</v>
      </c>
      <c r="G192" s="36">
        <v>8.6170000000000009</v>
      </c>
      <c r="H192" s="36">
        <v>8.6679999999999993</v>
      </c>
      <c r="I192" s="36">
        <v>8.7189999999999994</v>
      </c>
      <c r="J192" s="36">
        <v>8.7810000000000006</v>
      </c>
      <c r="K192" s="36">
        <v>8.827</v>
      </c>
      <c r="L192" s="36">
        <v>8.8409999999999993</v>
      </c>
      <c r="M192" s="36">
        <v>8.8460000000000001</v>
      </c>
      <c r="N192" s="36">
        <v>8.8510000000000009</v>
      </c>
      <c r="O192" s="36">
        <v>8.8580000000000005</v>
      </c>
      <c r="P192" s="36">
        <v>8.8719999999999999</v>
      </c>
      <c r="Q192" s="36">
        <v>8.8960000000000008</v>
      </c>
      <c r="R192" s="36">
        <v>8.9250000000000007</v>
      </c>
      <c r="S192" s="36">
        <v>8.9580000000000002</v>
      </c>
      <c r="T192" s="36">
        <v>8.9939999999999998</v>
      </c>
      <c r="U192" s="36">
        <v>9.0299999999999994</v>
      </c>
      <c r="V192" s="36">
        <v>9.0809999999999995</v>
      </c>
      <c r="W192" s="36">
        <v>9.1479999999999997</v>
      </c>
      <c r="X192" s="36">
        <v>9.2200000000000006</v>
      </c>
      <c r="Y192" s="36">
        <v>9.2989999999999995</v>
      </c>
      <c r="Z192" s="36">
        <v>9.3780000000000001</v>
      </c>
      <c r="AA192" s="36">
        <v>9.4489999999999998</v>
      </c>
      <c r="AB192" s="36">
        <v>9.5190000000000001</v>
      </c>
      <c r="AC192" s="36">
        <v>9.6</v>
      </c>
      <c r="AD192" s="36">
        <v>9.6959999999999997</v>
      </c>
      <c r="AE192" s="36">
        <v>9.7989999999999995</v>
      </c>
      <c r="AF192" s="36">
        <v>9.923</v>
      </c>
      <c r="AG192" s="36">
        <v>10.058</v>
      </c>
      <c r="AH192" s="36">
        <v>10.175000000000001</v>
      </c>
      <c r="AI192" s="36">
        <v>10.279</v>
      </c>
      <c r="AJ192" s="36">
        <v>10.353</v>
      </c>
      <c r="AK192" s="36">
        <v>10.416</v>
      </c>
      <c r="AL192" s="36">
        <v>10.487</v>
      </c>
      <c r="AM192" s="36">
        <v>10.537000000000001</v>
      </c>
      <c r="AN192" s="36">
        <v>10.57</v>
      </c>
      <c r="AO192" s="36">
        <v>10.597</v>
      </c>
      <c r="AP192" s="37">
        <v>10.641</v>
      </c>
      <c r="AQ192" s="37">
        <v>10.680999999999999</v>
      </c>
      <c r="AR192" s="37">
        <v>10.718</v>
      </c>
      <c r="AS192" s="37">
        <v>10.750999999999999</v>
      </c>
      <c r="AT192" s="37">
        <v>10.781000000000001</v>
      </c>
      <c r="AU192" s="37">
        <v>10.808</v>
      </c>
      <c r="AV192" s="37">
        <v>10.833</v>
      </c>
      <c r="AW192" s="37">
        <v>10.856999999999999</v>
      </c>
      <c r="AX192" s="37">
        <v>10.881</v>
      </c>
      <c r="AY192" s="37">
        <v>10.903</v>
      </c>
      <c r="AZ192" s="37">
        <v>10.926</v>
      </c>
      <c r="BA192" s="37">
        <v>10.948</v>
      </c>
      <c r="BB192" s="37">
        <v>10.97</v>
      </c>
      <c r="BC192" s="37">
        <v>10.993</v>
      </c>
      <c r="BD192" s="37">
        <v>11.016</v>
      </c>
      <c r="BE192" s="37">
        <v>11.04</v>
      </c>
      <c r="BF192" s="37">
        <v>11.065</v>
      </c>
      <c r="BG192" s="37">
        <v>11.09</v>
      </c>
      <c r="BH192" s="37">
        <v>11.115</v>
      </c>
      <c r="BI192" s="37">
        <v>11.14</v>
      </c>
      <c r="BJ192" s="37">
        <v>11.163</v>
      </c>
      <c r="BK192" s="37">
        <v>11.185</v>
      </c>
      <c r="BL192" s="37">
        <v>11.207000000000001</v>
      </c>
      <c r="BM192" s="37">
        <v>11.227</v>
      </c>
      <c r="BN192" s="37">
        <v>11.246</v>
      </c>
    </row>
    <row r="193" spans="1:66" x14ac:dyDescent="0.2">
      <c r="A193" s="2" t="s">
        <v>609</v>
      </c>
      <c r="B193" s="2" t="s">
        <v>610</v>
      </c>
      <c r="C193" s="11" t="s">
        <v>79</v>
      </c>
      <c r="D193" s="12" t="s">
        <v>697</v>
      </c>
      <c r="E193" s="35">
        <v>1.01394254694013</v>
      </c>
      <c r="F193" s="36">
        <v>6.7160000000000002</v>
      </c>
      <c r="G193" s="36">
        <v>6.8</v>
      </c>
      <c r="H193" s="36">
        <v>6.875</v>
      </c>
      <c r="I193" s="36">
        <v>6.9379999999999997</v>
      </c>
      <c r="J193" s="36">
        <v>6.9939999999999998</v>
      </c>
      <c r="K193" s="36">
        <v>7.0410000000000004</v>
      </c>
      <c r="L193" s="36">
        <v>7.0720000000000001</v>
      </c>
      <c r="M193" s="36">
        <v>7.0890000000000004</v>
      </c>
      <c r="N193" s="36">
        <v>7.11</v>
      </c>
      <c r="O193" s="36">
        <v>7.1440000000000001</v>
      </c>
      <c r="P193" s="36">
        <v>7.1840000000000002</v>
      </c>
      <c r="Q193" s="36">
        <v>7.23</v>
      </c>
      <c r="R193" s="36">
        <v>7.2850000000000001</v>
      </c>
      <c r="S193" s="36">
        <v>7.3390000000000004</v>
      </c>
      <c r="T193" s="36">
        <v>7.39</v>
      </c>
      <c r="U193" s="36">
        <v>7.4370000000000003</v>
      </c>
      <c r="V193" s="36">
        <v>7.484</v>
      </c>
      <c r="W193" s="36">
        <v>7.5510000000000002</v>
      </c>
      <c r="X193" s="36">
        <v>7.6479999999999997</v>
      </c>
      <c r="Y193" s="36">
        <v>7.7439999999999998</v>
      </c>
      <c r="Z193" s="36">
        <v>7.8250000000000002</v>
      </c>
      <c r="AA193" s="36">
        <v>7.9119999999999999</v>
      </c>
      <c r="AB193" s="36">
        <v>7.9969999999999999</v>
      </c>
      <c r="AC193" s="36">
        <v>8.0890000000000004</v>
      </c>
      <c r="AD193" s="36">
        <v>8.1890000000000001</v>
      </c>
      <c r="AE193" s="36">
        <v>8.282</v>
      </c>
      <c r="AF193" s="36">
        <v>8.3729999999999993</v>
      </c>
      <c r="AG193" s="36">
        <v>8.452</v>
      </c>
      <c r="AH193" s="36">
        <v>8.5139999999999993</v>
      </c>
      <c r="AI193" s="36">
        <v>8.5749999999999993</v>
      </c>
      <c r="AJ193" s="36">
        <v>8.6379999999999999</v>
      </c>
      <c r="AK193" s="36">
        <v>8.7050000000000001</v>
      </c>
      <c r="AL193" s="36">
        <v>8.7769999999999992</v>
      </c>
      <c r="AM193" s="36">
        <v>8.8889999999999993</v>
      </c>
      <c r="AN193" s="36">
        <v>9.0060000000000002</v>
      </c>
      <c r="AO193" s="36">
        <v>9.0920000000000005</v>
      </c>
      <c r="AP193" s="37">
        <v>9.1329999999999991</v>
      </c>
      <c r="AQ193" s="37">
        <v>9.17</v>
      </c>
      <c r="AR193" s="37">
        <v>9.2029999999999994</v>
      </c>
      <c r="AS193" s="37">
        <v>9.2319999999999993</v>
      </c>
      <c r="AT193" s="37">
        <v>9.2579999999999991</v>
      </c>
      <c r="AU193" s="37">
        <v>9.282</v>
      </c>
      <c r="AV193" s="37">
        <v>9.3030000000000008</v>
      </c>
      <c r="AW193" s="37">
        <v>9.3209999999999997</v>
      </c>
      <c r="AX193" s="37">
        <v>9.3379999999999992</v>
      </c>
      <c r="AY193" s="37">
        <v>9.3529999999999998</v>
      </c>
      <c r="AZ193" s="37">
        <v>9.3659999999999997</v>
      </c>
      <c r="BA193" s="37">
        <v>9.3770000000000007</v>
      </c>
      <c r="BB193" s="37">
        <v>9.3870000000000005</v>
      </c>
      <c r="BC193" s="37">
        <v>9.3960000000000008</v>
      </c>
      <c r="BD193" s="37">
        <v>9.4060000000000006</v>
      </c>
      <c r="BE193" s="37">
        <v>9.4149999999999991</v>
      </c>
      <c r="BF193" s="37">
        <v>9.423</v>
      </c>
      <c r="BG193" s="37">
        <v>9.4320000000000004</v>
      </c>
      <c r="BH193" s="37">
        <v>9.4390000000000001</v>
      </c>
      <c r="BI193" s="37">
        <v>9.4450000000000003</v>
      </c>
      <c r="BJ193" s="37">
        <v>9.4510000000000005</v>
      </c>
      <c r="BK193" s="37">
        <v>9.4580000000000002</v>
      </c>
      <c r="BL193" s="37">
        <v>9.4649999999999999</v>
      </c>
      <c r="BM193" s="37">
        <v>9.4700000000000006</v>
      </c>
      <c r="BN193" s="37">
        <v>9.4730000000000008</v>
      </c>
    </row>
    <row r="194" spans="1:66" x14ac:dyDescent="0.2">
      <c r="A194" s="2" t="s">
        <v>611</v>
      </c>
      <c r="B194" s="2" t="s">
        <v>612</v>
      </c>
      <c r="C194" s="11" t="s">
        <v>75</v>
      </c>
      <c r="D194" s="12" t="s">
        <v>697</v>
      </c>
      <c r="E194" s="35">
        <v>1.00000001951568</v>
      </c>
      <c r="F194" s="36">
        <v>12.579000000000001</v>
      </c>
      <c r="G194" s="36">
        <v>12.981</v>
      </c>
      <c r="H194" s="36">
        <v>13.385999999999999</v>
      </c>
      <c r="I194" s="36">
        <v>13.795999999999999</v>
      </c>
      <c r="J194" s="36">
        <v>14.209</v>
      </c>
      <c r="K194" s="36">
        <v>14.617000000000001</v>
      </c>
      <c r="L194" s="36">
        <v>15.018000000000001</v>
      </c>
      <c r="M194" s="36">
        <v>15.417999999999999</v>
      </c>
      <c r="N194" s="36">
        <v>15.82</v>
      </c>
      <c r="O194" s="36">
        <v>16.228000000000002</v>
      </c>
      <c r="P194" s="36">
        <v>16.638000000000002</v>
      </c>
      <c r="Q194" s="36">
        <v>17.050999999999998</v>
      </c>
      <c r="R194" s="36">
        <v>17.468</v>
      </c>
      <c r="S194" s="36">
        <v>17.888999999999999</v>
      </c>
      <c r="T194" s="36">
        <v>18.337</v>
      </c>
      <c r="U194" s="36">
        <v>18.814</v>
      </c>
      <c r="V194" s="36">
        <v>19.637</v>
      </c>
      <c r="W194" s="36">
        <v>20.884</v>
      </c>
      <c r="X194" s="36">
        <v>21.637</v>
      </c>
      <c r="Y194" s="36">
        <v>21.977</v>
      </c>
      <c r="Z194" s="36">
        <v>22.481999999999999</v>
      </c>
      <c r="AA194" s="36">
        <v>22.878</v>
      </c>
      <c r="AB194" s="36">
        <v>22.76</v>
      </c>
      <c r="AC194" s="36">
        <v>21.667000000000002</v>
      </c>
      <c r="AD194" s="36">
        <v>20.274000000000001</v>
      </c>
      <c r="AE194" s="36">
        <v>19.425000000000001</v>
      </c>
      <c r="AF194" s="36">
        <v>19.193999999999999</v>
      </c>
      <c r="AG194" s="36">
        <v>19.225000000000001</v>
      </c>
      <c r="AH194" s="36">
        <v>19.577999999999999</v>
      </c>
      <c r="AI194" s="36">
        <v>20.353999999999999</v>
      </c>
      <c r="AJ194" s="36">
        <v>21.048999999999999</v>
      </c>
      <c r="AK194" s="36">
        <v>21.629000000000001</v>
      </c>
      <c r="AL194" s="36">
        <v>22.462</v>
      </c>
      <c r="AM194" s="36">
        <v>23.594999999999999</v>
      </c>
      <c r="AN194" s="36">
        <v>24.672999999999998</v>
      </c>
      <c r="AO194" s="36">
        <v>25.62</v>
      </c>
      <c r="AP194" s="37">
        <v>26.472000000000001</v>
      </c>
      <c r="AQ194" s="37">
        <v>27.262</v>
      </c>
      <c r="AR194" s="37">
        <v>28.007000000000001</v>
      </c>
      <c r="AS194" s="37">
        <v>28.719000000000001</v>
      </c>
      <c r="AT194" s="37">
        <v>29.396000000000001</v>
      </c>
      <c r="AU194" s="37">
        <v>30.03</v>
      </c>
      <c r="AV194" s="37">
        <v>30.634</v>
      </c>
      <c r="AW194" s="37">
        <v>31.212</v>
      </c>
      <c r="AX194" s="37">
        <v>31.768000000000001</v>
      </c>
      <c r="AY194" s="37">
        <v>32.295000000000002</v>
      </c>
      <c r="AZ194" s="37">
        <v>32.787999999999997</v>
      </c>
      <c r="BA194" s="37">
        <v>33.258000000000003</v>
      </c>
      <c r="BB194" s="37">
        <v>33.710999999999999</v>
      </c>
      <c r="BC194" s="37">
        <v>34.131</v>
      </c>
      <c r="BD194" s="37">
        <v>34.533000000000001</v>
      </c>
      <c r="BE194" s="37">
        <v>34.917000000000002</v>
      </c>
      <c r="BF194" s="37">
        <v>35.28</v>
      </c>
      <c r="BG194" s="37">
        <v>35.622999999999998</v>
      </c>
      <c r="BH194" s="37">
        <v>35.944000000000003</v>
      </c>
      <c r="BI194" s="37">
        <v>36.265000000000001</v>
      </c>
      <c r="BJ194" s="37">
        <v>36.582999999999998</v>
      </c>
      <c r="BK194" s="37">
        <v>36.878999999999998</v>
      </c>
      <c r="BL194" s="37">
        <v>37.170999999999999</v>
      </c>
      <c r="BM194" s="37">
        <v>37.478000000000002</v>
      </c>
      <c r="BN194" s="37">
        <v>37.792999999999999</v>
      </c>
    </row>
    <row r="195" spans="1:66" x14ac:dyDescent="0.2">
      <c r="A195" s="2" t="s">
        <v>614</v>
      </c>
      <c r="B195" s="2" t="s">
        <v>615</v>
      </c>
      <c r="C195" s="11" t="s">
        <v>210</v>
      </c>
      <c r="D195" s="12" t="s">
        <v>697</v>
      </c>
      <c r="E195" s="35">
        <v>1</v>
      </c>
      <c r="F195" s="36">
        <v>0.123</v>
      </c>
      <c r="G195" s="36">
        <v>0.126</v>
      </c>
      <c r="H195" s="36">
        <v>0.128</v>
      </c>
      <c r="I195" s="36">
        <v>0.13</v>
      </c>
      <c r="J195" s="36">
        <v>0.13300000000000001</v>
      </c>
      <c r="K195" s="36">
        <v>0.13500000000000001</v>
      </c>
      <c r="L195" s="36">
        <v>0.13700000000000001</v>
      </c>
      <c r="M195" s="36">
        <v>0.13900000000000001</v>
      </c>
      <c r="N195" s="36">
        <v>0.14099999999999999</v>
      </c>
      <c r="O195" s="36">
        <v>0.14199999999999999</v>
      </c>
      <c r="P195" s="36">
        <v>0.14399999999999999</v>
      </c>
      <c r="Q195" s="36">
        <v>0.14599999999999999</v>
      </c>
      <c r="R195" s="36">
        <v>0.15</v>
      </c>
      <c r="S195" s="36">
        <v>0.154</v>
      </c>
      <c r="T195" s="36">
        <v>0.158</v>
      </c>
      <c r="U195" s="36">
        <v>0.16200000000000001</v>
      </c>
      <c r="V195" s="36">
        <v>0.16600000000000001</v>
      </c>
      <c r="W195" s="36">
        <v>0.17</v>
      </c>
      <c r="X195" s="36">
        <v>0.17399999999999999</v>
      </c>
      <c r="Y195" s="36">
        <v>0.17799999999999999</v>
      </c>
      <c r="Z195" s="36">
        <v>0.182</v>
      </c>
      <c r="AA195" s="36">
        <v>0.186</v>
      </c>
      <c r="AB195" s="36">
        <v>0.189</v>
      </c>
      <c r="AC195" s="36">
        <v>0.193</v>
      </c>
      <c r="AD195" s="36">
        <v>0.19700000000000001</v>
      </c>
      <c r="AE195" s="36">
        <v>0.2</v>
      </c>
      <c r="AF195" s="36">
        <v>0.20399999999999999</v>
      </c>
      <c r="AG195" s="36">
        <v>0.20699999999999999</v>
      </c>
      <c r="AH195" s="36">
        <v>0.21</v>
      </c>
      <c r="AI195" s="36">
        <v>0.21299999999999999</v>
      </c>
      <c r="AJ195" s="36">
        <v>0.217</v>
      </c>
      <c r="AK195" s="36">
        <v>0.222</v>
      </c>
      <c r="AL195" s="36">
        <v>0.22600000000000001</v>
      </c>
      <c r="AM195" s="36">
        <v>0.23100000000000001</v>
      </c>
      <c r="AN195" s="36">
        <v>0.23599999999999999</v>
      </c>
      <c r="AO195" s="36">
        <v>0.24</v>
      </c>
      <c r="AP195" s="37">
        <v>0.245</v>
      </c>
      <c r="AQ195" s="37">
        <v>0.25</v>
      </c>
      <c r="AR195" s="37">
        <v>0.255</v>
      </c>
      <c r="AS195" s="37">
        <v>0.26</v>
      </c>
      <c r="AT195" s="37">
        <v>0.26500000000000001</v>
      </c>
      <c r="AU195" s="37">
        <v>0.27</v>
      </c>
      <c r="AV195" s="37">
        <v>0.27500000000000002</v>
      </c>
      <c r="AW195" s="37">
        <v>0.28000000000000003</v>
      </c>
      <c r="AX195" s="37">
        <v>0.28499999999999998</v>
      </c>
      <c r="AY195" s="37">
        <v>0.28999999999999998</v>
      </c>
      <c r="AZ195" s="37">
        <v>0.29499999999999998</v>
      </c>
      <c r="BA195" s="37">
        <v>0.3</v>
      </c>
      <c r="BB195" s="37">
        <v>0.30599999999999999</v>
      </c>
      <c r="BC195" s="37">
        <v>0.311</v>
      </c>
      <c r="BD195" s="37">
        <v>0.316</v>
      </c>
      <c r="BE195" s="37">
        <v>0.32100000000000001</v>
      </c>
      <c r="BF195" s="37">
        <v>0.32600000000000001</v>
      </c>
      <c r="BG195" s="37">
        <v>0.33100000000000002</v>
      </c>
      <c r="BH195" s="37">
        <v>0.33600000000000002</v>
      </c>
      <c r="BI195" s="37">
        <v>0.34100000000000003</v>
      </c>
      <c r="BJ195" s="37">
        <v>0.34599999999999997</v>
      </c>
      <c r="BK195" s="37">
        <v>0.35099999999999998</v>
      </c>
      <c r="BL195" s="37">
        <v>0.35599999999999998</v>
      </c>
      <c r="BM195" s="37">
        <v>0.36</v>
      </c>
      <c r="BN195" s="37">
        <v>0.36499999999999999</v>
      </c>
    </row>
    <row r="196" spans="1:66" x14ac:dyDescent="0.2">
      <c r="A196" s="2" t="s">
        <v>617</v>
      </c>
      <c r="B196" s="2" t="s">
        <v>618</v>
      </c>
      <c r="C196" s="11" t="s">
        <v>79</v>
      </c>
      <c r="D196" s="39" t="s">
        <v>698</v>
      </c>
      <c r="E196" s="35">
        <v>1</v>
      </c>
      <c r="F196" s="36">
        <v>20.594999999999999</v>
      </c>
      <c r="G196" s="36">
        <v>20.782</v>
      </c>
      <c r="H196" s="36">
        <v>20.981999999999999</v>
      </c>
      <c r="I196" s="36">
        <v>21.175000000000001</v>
      </c>
      <c r="J196" s="36">
        <v>21.356999999999999</v>
      </c>
      <c r="K196" s="36">
        <v>21.533999999999999</v>
      </c>
      <c r="L196" s="36">
        <v>21.709</v>
      </c>
      <c r="M196" s="36">
        <v>21.885000000000002</v>
      </c>
      <c r="N196" s="36">
        <v>22.048999999999999</v>
      </c>
      <c r="O196" s="36">
        <v>22.204000000000001</v>
      </c>
      <c r="P196" s="36">
        <v>22.332999999999998</v>
      </c>
      <c r="Q196" s="36">
        <v>22.446000000000002</v>
      </c>
      <c r="R196" s="36">
        <v>22.567</v>
      </c>
      <c r="S196" s="36">
        <v>22.664000000000001</v>
      </c>
      <c r="T196" s="36">
        <v>22.745000000000001</v>
      </c>
      <c r="U196" s="36">
        <v>22.824999999999999</v>
      </c>
      <c r="V196" s="36">
        <v>22.914999999999999</v>
      </c>
      <c r="W196" s="36">
        <v>23.007000000000001</v>
      </c>
      <c r="X196" s="36">
        <v>23.085999999999999</v>
      </c>
      <c r="Y196" s="36">
        <v>23.164000000000001</v>
      </c>
      <c r="Z196" s="36">
        <v>23.224</v>
      </c>
      <c r="AA196" s="36">
        <v>23.273</v>
      </c>
      <c r="AB196" s="36">
        <v>23.346</v>
      </c>
      <c r="AC196" s="36">
        <v>23.417000000000002</v>
      </c>
      <c r="AD196" s="36">
        <v>23.472999999999999</v>
      </c>
      <c r="AE196" s="36">
        <v>23.529</v>
      </c>
      <c r="AF196" s="36">
        <v>23.585999999999999</v>
      </c>
      <c r="AG196" s="36">
        <v>23.632999999999999</v>
      </c>
      <c r="AH196" s="36">
        <v>23.658999999999999</v>
      </c>
      <c r="AI196" s="36">
        <v>23.673999999999999</v>
      </c>
      <c r="AJ196" s="36">
        <v>23.663</v>
      </c>
      <c r="AK196" s="36">
        <v>23.558</v>
      </c>
      <c r="AL196" s="36">
        <v>23.42</v>
      </c>
      <c r="AM196" s="36">
        <v>23.317</v>
      </c>
      <c r="AN196" s="36">
        <v>23.213999999999999</v>
      </c>
      <c r="AO196" s="36">
        <v>23.113</v>
      </c>
      <c r="AP196" s="37">
        <v>23.010999999999999</v>
      </c>
      <c r="AQ196" s="37">
        <v>22.908000000000001</v>
      </c>
      <c r="AR196" s="37">
        <v>22.803999999999998</v>
      </c>
      <c r="AS196" s="37">
        <v>22.698</v>
      </c>
      <c r="AT196" s="37">
        <v>22.59</v>
      </c>
      <c r="AU196" s="37">
        <v>22.477</v>
      </c>
      <c r="AV196" s="37">
        <v>22.361000000000001</v>
      </c>
      <c r="AW196" s="37">
        <v>22.241</v>
      </c>
      <c r="AX196" s="37">
        <v>22.114999999999998</v>
      </c>
      <c r="AY196" s="37">
        <v>21.984999999999999</v>
      </c>
      <c r="AZ196" s="37">
        <v>21.85</v>
      </c>
      <c r="BA196" s="37">
        <v>21.709</v>
      </c>
      <c r="BB196" s="37">
        <v>21.564</v>
      </c>
      <c r="BC196" s="37">
        <v>21.413</v>
      </c>
      <c r="BD196" s="37">
        <v>21.257000000000001</v>
      </c>
      <c r="BE196" s="37">
        <v>21.096</v>
      </c>
      <c r="BF196" s="37">
        <v>20.928999999999998</v>
      </c>
      <c r="BG196" s="37">
        <v>20.757000000000001</v>
      </c>
      <c r="BH196" s="37">
        <v>20.581</v>
      </c>
      <c r="BI196" s="37">
        <v>20.399000000000001</v>
      </c>
      <c r="BJ196" s="37">
        <v>20.213999999999999</v>
      </c>
      <c r="BK196" s="37">
        <v>20.024999999999999</v>
      </c>
      <c r="BL196" s="37">
        <v>19.832000000000001</v>
      </c>
      <c r="BM196" s="37">
        <v>19.635000000000002</v>
      </c>
      <c r="BN196" s="37">
        <v>19.434999999999999</v>
      </c>
    </row>
    <row r="197" spans="1:66" x14ac:dyDescent="0.2">
      <c r="A197" s="2" t="s">
        <v>619</v>
      </c>
      <c r="B197" s="2" t="s">
        <v>620</v>
      </c>
      <c r="C197" s="11" t="s">
        <v>210</v>
      </c>
      <c r="D197" s="12" t="s">
        <v>697</v>
      </c>
      <c r="E197" s="35">
        <v>1.0000000463532399</v>
      </c>
      <c r="F197" s="36">
        <v>5.399</v>
      </c>
      <c r="G197" s="36">
        <v>5.5410000000000004</v>
      </c>
      <c r="H197" s="36">
        <v>5.649</v>
      </c>
      <c r="I197" s="36">
        <v>5.7249999999999996</v>
      </c>
      <c r="J197" s="36">
        <v>5.8250000000000002</v>
      </c>
      <c r="K197" s="36">
        <v>5.9489999999999998</v>
      </c>
      <c r="L197" s="36">
        <v>6.0670000000000002</v>
      </c>
      <c r="M197" s="36">
        <v>6.14</v>
      </c>
      <c r="N197" s="36">
        <v>6.1760000000000002</v>
      </c>
      <c r="O197" s="36">
        <v>6.2080000000000002</v>
      </c>
      <c r="P197" s="36">
        <v>6.2850000000000001</v>
      </c>
      <c r="Q197" s="36">
        <v>6.407</v>
      </c>
      <c r="R197" s="36">
        <v>6.532</v>
      </c>
      <c r="S197" s="36">
        <v>6.6589999999999998</v>
      </c>
      <c r="T197" s="36">
        <v>6.7910000000000004</v>
      </c>
      <c r="U197" s="36">
        <v>6.9249999999999998</v>
      </c>
      <c r="V197" s="36">
        <v>7.0579999999999998</v>
      </c>
      <c r="W197" s="36">
        <v>7.194</v>
      </c>
      <c r="X197" s="36">
        <v>7.3380000000000001</v>
      </c>
      <c r="Y197" s="36">
        <v>7.49</v>
      </c>
      <c r="Z197" s="36">
        <v>7.6520000000000001</v>
      </c>
      <c r="AA197" s="36">
        <v>7.8250000000000002</v>
      </c>
      <c r="AB197" s="36">
        <v>8.0139999999999993</v>
      </c>
      <c r="AC197" s="36">
        <v>8.2170000000000005</v>
      </c>
      <c r="AD197" s="36">
        <v>8.4260000000000002</v>
      </c>
      <c r="AE197" s="36">
        <v>8.6440000000000001</v>
      </c>
      <c r="AF197" s="36">
        <v>8.8659999999999997</v>
      </c>
      <c r="AG197" s="36">
        <v>9.0860000000000003</v>
      </c>
      <c r="AH197" s="36">
        <v>9.3070000000000004</v>
      </c>
      <c r="AI197" s="36">
        <v>9.5299999999999994</v>
      </c>
      <c r="AJ197" s="36">
        <v>9.7490000000000006</v>
      </c>
      <c r="AK197" s="36">
        <v>9.9670000000000005</v>
      </c>
      <c r="AL197" s="36">
        <v>10.182</v>
      </c>
      <c r="AM197" s="36">
        <v>10.39</v>
      </c>
      <c r="AN197" s="36">
        <v>10.590999999999999</v>
      </c>
      <c r="AO197" s="36">
        <v>10.787000000000001</v>
      </c>
      <c r="AP197" s="37">
        <v>10.978999999999999</v>
      </c>
      <c r="AQ197" s="37">
        <v>11.167999999999999</v>
      </c>
      <c r="AR197" s="37">
        <v>11.356999999999999</v>
      </c>
      <c r="AS197" s="37">
        <v>11.545</v>
      </c>
      <c r="AT197" s="37">
        <v>11.733000000000001</v>
      </c>
      <c r="AU197" s="37">
        <v>11.92</v>
      </c>
      <c r="AV197" s="37">
        <v>12.11</v>
      </c>
      <c r="AW197" s="37">
        <v>12.302</v>
      </c>
      <c r="AX197" s="37">
        <v>12.497</v>
      </c>
      <c r="AY197" s="37">
        <v>12.696</v>
      </c>
      <c r="AZ197" s="37">
        <v>12.898999999999999</v>
      </c>
      <c r="BA197" s="37">
        <v>13.103999999999999</v>
      </c>
      <c r="BB197" s="37">
        <v>13.308</v>
      </c>
      <c r="BC197" s="37">
        <v>13.510999999999999</v>
      </c>
      <c r="BD197" s="37">
        <v>13.714</v>
      </c>
      <c r="BE197" s="37">
        <v>13.914999999999999</v>
      </c>
      <c r="BF197" s="37">
        <v>14.115</v>
      </c>
      <c r="BG197" s="37">
        <v>14.311999999999999</v>
      </c>
      <c r="BH197" s="37">
        <v>14.505000000000001</v>
      </c>
      <c r="BI197" s="37">
        <v>14.695</v>
      </c>
      <c r="BJ197" s="37">
        <v>14.879</v>
      </c>
      <c r="BK197" s="37">
        <v>15.06</v>
      </c>
      <c r="BL197" s="37">
        <v>15.237</v>
      </c>
      <c r="BM197" s="37">
        <v>15.407999999999999</v>
      </c>
      <c r="BN197" s="37">
        <v>15.574999999999999</v>
      </c>
    </row>
    <row r="198" spans="1:66" x14ac:dyDescent="0.2">
      <c r="A198" s="2" t="s">
        <v>621</v>
      </c>
      <c r="B198" s="2" t="s">
        <v>622</v>
      </c>
      <c r="C198" s="11" t="s">
        <v>210</v>
      </c>
      <c r="D198" s="12" t="s">
        <v>697</v>
      </c>
      <c r="E198" s="35">
        <v>1</v>
      </c>
      <c r="F198" s="36">
        <v>26.11</v>
      </c>
      <c r="G198" s="36">
        <v>26.78</v>
      </c>
      <c r="H198" s="36">
        <v>27.457999999999998</v>
      </c>
      <c r="I198" s="36">
        <v>28.332999999999998</v>
      </c>
      <c r="J198" s="36">
        <v>29.442</v>
      </c>
      <c r="K198" s="36">
        <v>30.382999999999999</v>
      </c>
      <c r="L198" s="36">
        <v>30.946000000000002</v>
      </c>
      <c r="M198" s="36">
        <v>31.577999999999999</v>
      </c>
      <c r="N198" s="36">
        <v>32.42</v>
      </c>
      <c r="O198" s="36">
        <v>33.299999999999997</v>
      </c>
      <c r="P198" s="36">
        <v>34.26</v>
      </c>
      <c r="Q198" s="36">
        <v>35.198</v>
      </c>
      <c r="R198" s="36">
        <v>36.121000000000002</v>
      </c>
      <c r="S198" s="36">
        <v>37.090000000000003</v>
      </c>
      <c r="T198" s="36">
        <v>38.11</v>
      </c>
      <c r="U198" s="36">
        <v>39.182000000000002</v>
      </c>
      <c r="V198" s="36">
        <v>40.295000000000002</v>
      </c>
      <c r="W198" s="36">
        <v>41.436</v>
      </c>
      <c r="X198" s="36">
        <v>42.570999999999998</v>
      </c>
      <c r="Y198" s="36">
        <v>43.634</v>
      </c>
      <c r="Z198" s="36">
        <v>44.758000000000003</v>
      </c>
      <c r="AA198" s="36">
        <v>46.029000000000003</v>
      </c>
      <c r="AB198" s="36">
        <v>47.374000000000002</v>
      </c>
      <c r="AC198" s="36">
        <v>48.823999999999998</v>
      </c>
      <c r="AD198" s="36">
        <v>50.351999999999997</v>
      </c>
      <c r="AE198" s="36">
        <v>52.021000000000001</v>
      </c>
      <c r="AF198" s="36">
        <v>53.823999999999998</v>
      </c>
      <c r="AG198" s="36">
        <v>55.652999999999999</v>
      </c>
      <c r="AH198" s="36">
        <v>57.436999999999998</v>
      </c>
      <c r="AI198" s="36">
        <v>59.174999999999997</v>
      </c>
      <c r="AJ198" s="36">
        <v>60.972999999999999</v>
      </c>
      <c r="AK198" s="36">
        <v>62.83</v>
      </c>
      <c r="AL198" s="36">
        <v>64.712000000000003</v>
      </c>
      <c r="AM198" s="36">
        <v>66.617999999999995</v>
      </c>
      <c r="AN198" s="36">
        <v>68.56</v>
      </c>
      <c r="AO198" s="36">
        <v>70.546000000000006</v>
      </c>
      <c r="AP198" s="37">
        <v>72.563999999999993</v>
      </c>
      <c r="AQ198" s="37">
        <v>74.605000000000004</v>
      </c>
      <c r="AR198" s="37">
        <v>76.67</v>
      </c>
      <c r="AS198" s="37">
        <v>78.772999999999996</v>
      </c>
      <c r="AT198" s="37">
        <v>80.912999999999997</v>
      </c>
      <c r="AU198" s="37">
        <v>83.087999999999994</v>
      </c>
      <c r="AV198" s="37">
        <v>85.293000000000006</v>
      </c>
      <c r="AW198" s="37">
        <v>87.52</v>
      </c>
      <c r="AX198" s="37">
        <v>89.789000000000001</v>
      </c>
      <c r="AY198" s="37">
        <v>92.090999999999994</v>
      </c>
      <c r="AZ198" s="37">
        <v>94.421000000000006</v>
      </c>
      <c r="BA198" s="37">
        <v>96.775999999999996</v>
      </c>
      <c r="BB198" s="37">
        <v>99.156000000000006</v>
      </c>
      <c r="BC198" s="37">
        <v>101.568</v>
      </c>
      <c r="BD198" s="37">
        <v>103.999</v>
      </c>
      <c r="BE198" s="37">
        <v>106.44799999999999</v>
      </c>
      <c r="BF198" s="37">
        <v>108.926</v>
      </c>
      <c r="BG198" s="37">
        <v>111.434</v>
      </c>
      <c r="BH198" s="37">
        <v>113.96599999999999</v>
      </c>
      <c r="BI198" s="37">
        <v>116.52500000000001</v>
      </c>
      <c r="BJ198" s="37">
        <v>119.11</v>
      </c>
      <c r="BK198" s="37">
        <v>121.721</v>
      </c>
      <c r="BL198" s="37">
        <v>124.351</v>
      </c>
      <c r="BM198" s="37">
        <v>126.98099999999999</v>
      </c>
      <c r="BN198" s="37">
        <v>129.62100000000001</v>
      </c>
    </row>
    <row r="199" spans="1:66" x14ac:dyDescent="0.2">
      <c r="A199" s="2" t="s">
        <v>623</v>
      </c>
      <c r="B199" s="2" t="s">
        <v>624</v>
      </c>
      <c r="C199" s="11" t="s">
        <v>82</v>
      </c>
      <c r="D199" s="12" t="s">
        <v>697</v>
      </c>
      <c r="E199" s="35">
        <v>1</v>
      </c>
      <c r="F199" s="36">
        <v>54.738</v>
      </c>
      <c r="G199" s="36">
        <v>55.637</v>
      </c>
      <c r="H199" s="36">
        <v>56.529000000000003</v>
      </c>
      <c r="I199" s="36">
        <v>57.408000000000001</v>
      </c>
      <c r="J199" s="36">
        <v>58.261000000000003</v>
      </c>
      <c r="K199" s="36">
        <v>59.097999999999999</v>
      </c>
      <c r="L199" s="36">
        <v>59.92</v>
      </c>
      <c r="M199" s="36">
        <v>60.725000000000001</v>
      </c>
      <c r="N199" s="36">
        <v>61.523000000000003</v>
      </c>
      <c r="O199" s="36">
        <v>62.298999999999999</v>
      </c>
      <c r="P199" s="36">
        <v>63.008000000000003</v>
      </c>
      <c r="Q199" s="36">
        <v>63.651000000000003</v>
      </c>
      <c r="R199" s="36">
        <v>64.266000000000005</v>
      </c>
      <c r="S199" s="36">
        <v>64.867999999999995</v>
      </c>
      <c r="T199" s="36">
        <v>65.451999999999998</v>
      </c>
      <c r="U199" s="36">
        <v>66.016999999999996</v>
      </c>
      <c r="V199" s="36">
        <v>66.567999999999998</v>
      </c>
      <c r="W199" s="36">
        <v>67.102000000000004</v>
      </c>
      <c r="X199" s="36">
        <v>67.62</v>
      </c>
      <c r="Y199" s="36">
        <v>68.120999999999995</v>
      </c>
      <c r="Z199" s="36">
        <v>68.578999999999994</v>
      </c>
      <c r="AA199" s="36">
        <v>69.007000000000005</v>
      </c>
      <c r="AB199" s="36">
        <v>69.436000000000007</v>
      </c>
      <c r="AC199" s="36">
        <v>69.844999999999999</v>
      </c>
      <c r="AD199" s="36">
        <v>70.215999999999994</v>
      </c>
      <c r="AE199" s="36">
        <v>70.540999999999997</v>
      </c>
      <c r="AF199" s="36">
        <v>70.86</v>
      </c>
      <c r="AG199" s="36">
        <v>71.16</v>
      </c>
      <c r="AH199" s="36">
        <v>71.376000000000005</v>
      </c>
      <c r="AI199" s="36">
        <v>71.522000000000006</v>
      </c>
      <c r="AJ199" s="36">
        <v>71.641000000000005</v>
      </c>
      <c r="AK199" s="36">
        <v>71.727000000000004</v>
      </c>
      <c r="AL199" s="36">
        <v>71.734999999999999</v>
      </c>
      <c r="AM199" s="36">
        <v>71.701999999999998</v>
      </c>
      <c r="AN199" s="36">
        <v>71.668000000000006</v>
      </c>
      <c r="AO199" s="36">
        <v>71.62</v>
      </c>
      <c r="AP199" s="37">
        <v>71.56</v>
      </c>
      <c r="AQ199" s="37">
        <v>71.488</v>
      </c>
      <c r="AR199" s="37">
        <v>71.406999999999996</v>
      </c>
      <c r="AS199" s="37">
        <v>71.316000000000003</v>
      </c>
      <c r="AT199" s="37">
        <v>71.215000000000003</v>
      </c>
      <c r="AU199" s="37">
        <v>71.103999999999999</v>
      </c>
      <c r="AV199" s="37">
        <v>70.981999999999999</v>
      </c>
      <c r="AW199" s="37">
        <v>70.847999999999999</v>
      </c>
      <c r="AX199" s="37">
        <v>70.701999999999998</v>
      </c>
      <c r="AY199" s="37">
        <v>70.540999999999997</v>
      </c>
      <c r="AZ199" s="37">
        <v>70.366</v>
      </c>
      <c r="BA199" s="37">
        <v>70.180000000000007</v>
      </c>
      <c r="BB199" s="37">
        <v>69.978999999999999</v>
      </c>
      <c r="BC199" s="37">
        <v>69.763999999999996</v>
      </c>
      <c r="BD199" s="37">
        <v>69.534999999999997</v>
      </c>
      <c r="BE199" s="37">
        <v>69.287999999999997</v>
      </c>
      <c r="BF199" s="37">
        <v>69.025000000000006</v>
      </c>
      <c r="BG199" s="37">
        <v>68.748000000000005</v>
      </c>
      <c r="BH199" s="37">
        <v>68.456999999999994</v>
      </c>
      <c r="BI199" s="37">
        <v>68.150000000000006</v>
      </c>
      <c r="BJ199" s="37">
        <v>67.826999999999998</v>
      </c>
      <c r="BK199" s="37">
        <v>67.489000000000004</v>
      </c>
      <c r="BL199" s="37">
        <v>67.137</v>
      </c>
      <c r="BM199" s="37">
        <v>66.766999999999996</v>
      </c>
      <c r="BN199" s="37">
        <v>66.382999999999996</v>
      </c>
    </row>
    <row r="200" spans="1:66" x14ac:dyDescent="0.2">
      <c r="A200" s="2" t="s">
        <v>625</v>
      </c>
      <c r="B200" s="2" t="s">
        <v>626</v>
      </c>
      <c r="C200" s="11" t="s">
        <v>210</v>
      </c>
      <c r="D200" s="12" t="s">
        <v>697</v>
      </c>
      <c r="E200" s="35">
        <v>0.99999964751932902</v>
      </c>
      <c r="F200" s="36">
        <v>0.76</v>
      </c>
      <c r="G200" s="36">
        <v>0.77800000000000002</v>
      </c>
      <c r="H200" s="36">
        <v>0.79900000000000004</v>
      </c>
      <c r="I200" s="36">
        <v>0.82099999999999995</v>
      </c>
      <c r="J200" s="36">
        <v>0.84399999999999997</v>
      </c>
      <c r="K200" s="36">
        <v>0.86799999999999999</v>
      </c>
      <c r="L200" s="36">
        <v>0.89200000000000002</v>
      </c>
      <c r="M200" s="36">
        <v>0.91700000000000004</v>
      </c>
      <c r="N200" s="36">
        <v>0.94299999999999995</v>
      </c>
      <c r="O200" s="36">
        <v>0.83499999999999996</v>
      </c>
      <c r="P200" s="36">
        <v>0.745</v>
      </c>
      <c r="Q200" s="36">
        <v>0.81200000000000006</v>
      </c>
      <c r="R200" s="36">
        <v>0.879</v>
      </c>
      <c r="S200" s="36">
        <v>0.91700000000000004</v>
      </c>
      <c r="T200" s="36">
        <v>0.92900000000000005</v>
      </c>
      <c r="U200" s="36">
        <v>0.94799999999999995</v>
      </c>
      <c r="V200" s="36">
        <v>0.97699999999999998</v>
      </c>
      <c r="W200" s="36">
        <v>1.0049999999999999</v>
      </c>
      <c r="X200" s="36">
        <v>1.032</v>
      </c>
      <c r="Y200" s="36">
        <v>1.0589999999999999</v>
      </c>
      <c r="Z200" s="36">
        <v>1.085</v>
      </c>
      <c r="AA200" s="36">
        <v>1.1100000000000001</v>
      </c>
      <c r="AB200" s="36">
        <v>1.135</v>
      </c>
      <c r="AC200" s="36">
        <v>1.159</v>
      </c>
      <c r="AD200" s="36">
        <v>1.1819999999999999</v>
      </c>
      <c r="AE200" s="36">
        <v>1.2050000000000001</v>
      </c>
      <c r="AF200" s="36">
        <v>1.228</v>
      </c>
      <c r="AG200" s="36">
        <v>1.252</v>
      </c>
      <c r="AH200" s="36">
        <v>1.276</v>
      </c>
      <c r="AI200" s="36">
        <v>1.3009999999999999</v>
      </c>
      <c r="AJ200" s="36">
        <v>1.3260000000000001</v>
      </c>
      <c r="AK200" s="36">
        <v>1.35</v>
      </c>
      <c r="AL200" s="36">
        <v>1.369</v>
      </c>
      <c r="AM200" s="36">
        <v>1.3839999999999999</v>
      </c>
      <c r="AN200" s="36">
        <v>1.401</v>
      </c>
      <c r="AO200" s="36">
        <v>1.419</v>
      </c>
      <c r="AP200" s="37">
        <v>1.4370000000000001</v>
      </c>
      <c r="AQ200" s="37">
        <v>1.456</v>
      </c>
      <c r="AR200" s="37">
        <v>1.4770000000000001</v>
      </c>
      <c r="AS200" s="37">
        <v>1.498</v>
      </c>
      <c r="AT200" s="37">
        <v>1.52</v>
      </c>
      <c r="AU200" s="37">
        <v>1.5409999999999999</v>
      </c>
      <c r="AV200" s="37">
        <v>1.56</v>
      </c>
      <c r="AW200" s="37">
        <v>1.5780000000000001</v>
      </c>
      <c r="AX200" s="37">
        <v>1.597</v>
      </c>
      <c r="AY200" s="37">
        <v>1.619</v>
      </c>
      <c r="AZ200" s="37">
        <v>1.64</v>
      </c>
      <c r="BA200" s="37">
        <v>1.659</v>
      </c>
      <c r="BB200" s="37">
        <v>1.679</v>
      </c>
      <c r="BC200" s="37">
        <v>1.6990000000000001</v>
      </c>
      <c r="BD200" s="37">
        <v>1.718</v>
      </c>
      <c r="BE200" s="37">
        <v>1.736</v>
      </c>
      <c r="BF200" s="37">
        <v>1.756</v>
      </c>
      <c r="BG200" s="37">
        <v>1.776</v>
      </c>
      <c r="BH200" s="37">
        <v>1.794</v>
      </c>
      <c r="BI200" s="37">
        <v>1.81</v>
      </c>
      <c r="BJ200" s="37">
        <v>1.8260000000000001</v>
      </c>
      <c r="BK200" s="37">
        <v>1.8420000000000001</v>
      </c>
      <c r="BL200" s="37">
        <v>1.8580000000000001</v>
      </c>
      <c r="BM200" s="37">
        <v>1.8740000000000001</v>
      </c>
      <c r="BN200" s="37">
        <v>1.889</v>
      </c>
    </row>
    <row r="201" spans="1:66" x14ac:dyDescent="0.2">
      <c r="A201" s="2" t="s">
        <v>628</v>
      </c>
      <c r="B201" s="2" t="s">
        <v>629</v>
      </c>
      <c r="C201" s="11" t="s">
        <v>210</v>
      </c>
      <c r="D201" s="12" t="s">
        <v>697</v>
      </c>
      <c r="E201" s="38">
        <v>0.88376598211766999</v>
      </c>
      <c r="F201" s="36">
        <v>3.714</v>
      </c>
      <c r="G201" s="36">
        <v>3.823</v>
      </c>
      <c r="H201" s="36">
        <v>3.9329999999999998</v>
      </c>
      <c r="I201" s="36">
        <v>3.8879999999999999</v>
      </c>
      <c r="J201" s="36">
        <v>3.9039999999999999</v>
      </c>
      <c r="K201" s="36">
        <v>4.1100000000000003</v>
      </c>
      <c r="L201" s="36">
        <v>4.2910000000000004</v>
      </c>
      <c r="M201" s="36">
        <v>4.4390000000000001</v>
      </c>
      <c r="N201" s="36">
        <v>4.5519999999999996</v>
      </c>
      <c r="O201" s="36">
        <v>4.6660000000000004</v>
      </c>
      <c r="P201" s="36">
        <v>4.7839999999999998</v>
      </c>
      <c r="Q201" s="36">
        <v>4.9039999999999999</v>
      </c>
      <c r="R201" s="36">
        <v>5.0270000000000001</v>
      </c>
      <c r="S201" s="36">
        <v>5.1539999999999999</v>
      </c>
      <c r="T201" s="36">
        <v>5.2809999999999997</v>
      </c>
      <c r="U201" s="36">
        <v>5.4130000000000003</v>
      </c>
      <c r="V201" s="36">
        <v>5.57</v>
      </c>
      <c r="W201" s="36">
        <v>5.7480000000000002</v>
      </c>
      <c r="X201" s="36">
        <v>5.9359999999999999</v>
      </c>
      <c r="Y201" s="36">
        <v>6.1310000000000002</v>
      </c>
      <c r="Z201" s="36">
        <v>6.3259999999999996</v>
      </c>
      <c r="AA201" s="36">
        <v>6.5010000000000003</v>
      </c>
      <c r="AB201" s="36">
        <v>6.6539999999999999</v>
      </c>
      <c r="AC201" s="36">
        <v>6.7990000000000004</v>
      </c>
      <c r="AD201" s="36">
        <v>6.9379999999999997</v>
      </c>
      <c r="AE201" s="36">
        <v>7.0720000000000001</v>
      </c>
      <c r="AF201" s="36">
        <v>7.2009999999999996</v>
      </c>
      <c r="AG201" s="36">
        <v>7.3239999999999998</v>
      </c>
      <c r="AH201" s="36">
        <v>7.4580000000000002</v>
      </c>
      <c r="AI201" s="36">
        <v>7.62</v>
      </c>
      <c r="AJ201" s="36">
        <v>7.7880000000000003</v>
      </c>
      <c r="AK201" s="36">
        <v>7.9359999999999999</v>
      </c>
      <c r="AL201" s="36">
        <v>8.0690000000000008</v>
      </c>
      <c r="AM201" s="36">
        <v>8.2240000000000002</v>
      </c>
      <c r="AN201" s="36">
        <v>8.407</v>
      </c>
      <c r="AO201" s="36">
        <v>8.5920000000000005</v>
      </c>
      <c r="AP201" s="37">
        <v>8.7769999999999992</v>
      </c>
      <c r="AQ201" s="37">
        <v>8.9640000000000004</v>
      </c>
      <c r="AR201" s="37">
        <v>9.1530000000000005</v>
      </c>
      <c r="AS201" s="37">
        <v>9.3439999999999994</v>
      </c>
      <c r="AT201" s="37">
        <v>9.5380000000000003</v>
      </c>
      <c r="AU201" s="37">
        <v>9.7379999999999995</v>
      </c>
      <c r="AV201" s="37">
        <v>9.94</v>
      </c>
      <c r="AW201" s="37">
        <v>10.141999999999999</v>
      </c>
      <c r="AX201" s="37">
        <v>10.345000000000001</v>
      </c>
      <c r="AY201" s="37">
        <v>10.55</v>
      </c>
      <c r="AZ201" s="37">
        <v>10.756</v>
      </c>
      <c r="BA201" s="37">
        <v>10.962999999999999</v>
      </c>
      <c r="BB201" s="37">
        <v>11.172000000000001</v>
      </c>
      <c r="BC201" s="37">
        <v>11.384</v>
      </c>
      <c r="BD201" s="37">
        <v>11.596</v>
      </c>
      <c r="BE201" s="37">
        <v>11.808999999999999</v>
      </c>
      <c r="BF201" s="37">
        <v>12.023999999999999</v>
      </c>
      <c r="BG201" s="37">
        <v>12.241</v>
      </c>
      <c r="BH201" s="37">
        <v>12.461</v>
      </c>
      <c r="BI201" s="37">
        <v>12.68</v>
      </c>
      <c r="BJ201" s="37">
        <v>12.898999999999999</v>
      </c>
      <c r="BK201" s="37">
        <v>13.117000000000001</v>
      </c>
      <c r="BL201" s="37">
        <v>13.334</v>
      </c>
      <c r="BM201" s="37">
        <v>13.555</v>
      </c>
      <c r="BN201" s="37">
        <v>13.773</v>
      </c>
    </row>
    <row r="202" spans="1:66" x14ac:dyDescent="0.2">
      <c r="A202" s="2" t="s">
        <v>630</v>
      </c>
      <c r="B202" s="2" t="s">
        <v>631</v>
      </c>
      <c r="C202" s="11" t="s">
        <v>82</v>
      </c>
      <c r="D202" s="12" t="s">
        <v>697</v>
      </c>
      <c r="E202" s="35">
        <v>1</v>
      </c>
      <c r="F202" s="36">
        <v>0.1</v>
      </c>
      <c r="G202" s="36">
        <v>0.1</v>
      </c>
      <c r="H202" s="36">
        <v>0.1</v>
      </c>
      <c r="I202" s="36">
        <v>0.1</v>
      </c>
      <c r="J202" s="36">
        <v>0.1</v>
      </c>
      <c r="K202" s="36">
        <v>0.1</v>
      </c>
      <c r="L202" s="36">
        <v>0.1</v>
      </c>
      <c r="M202" s="36">
        <v>0.10100000000000001</v>
      </c>
      <c r="N202" s="36">
        <v>0.10100000000000001</v>
      </c>
      <c r="O202" s="36">
        <v>0.10199999999999999</v>
      </c>
      <c r="P202" s="36">
        <v>0.10299999999999999</v>
      </c>
      <c r="Q202" s="36">
        <v>0.10299999999999999</v>
      </c>
      <c r="R202" s="36">
        <v>0.104</v>
      </c>
      <c r="S202" s="36">
        <v>0.104</v>
      </c>
      <c r="T202" s="36">
        <v>0.105</v>
      </c>
      <c r="U202" s="36">
        <v>0.106</v>
      </c>
      <c r="V202" s="36">
        <v>0.106</v>
      </c>
      <c r="W202" s="36">
        <v>0.107</v>
      </c>
      <c r="X202" s="36">
        <v>0.107</v>
      </c>
      <c r="Y202" s="36">
        <v>0.107</v>
      </c>
      <c r="Z202" s="36">
        <v>0.107</v>
      </c>
      <c r="AA202" s="36">
        <v>0.108</v>
      </c>
      <c r="AB202" s="36">
        <v>0.107</v>
      </c>
      <c r="AC202" s="36">
        <v>0.107</v>
      </c>
      <c r="AD202" s="36">
        <v>0.107</v>
      </c>
      <c r="AE202" s="36">
        <v>0.106</v>
      </c>
      <c r="AF202" s="36">
        <v>0.106</v>
      </c>
      <c r="AG202" s="36">
        <v>0.105</v>
      </c>
      <c r="AH202" s="36">
        <v>0.106</v>
      </c>
      <c r="AI202" s="36">
        <v>0.106</v>
      </c>
      <c r="AJ202" s="36">
        <v>0.106</v>
      </c>
      <c r="AK202" s="36">
        <v>0.105</v>
      </c>
      <c r="AL202" s="36">
        <v>0.105</v>
      </c>
      <c r="AM202" s="36">
        <v>0.105</v>
      </c>
      <c r="AN202" s="36">
        <v>0.104</v>
      </c>
      <c r="AO202" s="36">
        <v>0.104</v>
      </c>
      <c r="AP202" s="37">
        <v>0.10299999999999999</v>
      </c>
      <c r="AQ202" s="37">
        <v>0.10299999999999999</v>
      </c>
      <c r="AR202" s="37">
        <v>0.10299999999999999</v>
      </c>
      <c r="AS202" s="37">
        <v>0.10199999999999999</v>
      </c>
      <c r="AT202" s="37">
        <v>0.10199999999999999</v>
      </c>
      <c r="AU202" s="37">
        <v>0.10199999999999999</v>
      </c>
      <c r="AV202" s="37">
        <v>0.10199999999999999</v>
      </c>
      <c r="AW202" s="37">
        <v>0.10199999999999999</v>
      </c>
      <c r="AX202" s="37">
        <v>0.10199999999999999</v>
      </c>
      <c r="AY202" s="37">
        <v>0.10199999999999999</v>
      </c>
      <c r="AZ202" s="37">
        <v>0.10199999999999999</v>
      </c>
      <c r="BA202" s="37">
        <v>0.10199999999999999</v>
      </c>
      <c r="BB202" s="37">
        <v>0.10199999999999999</v>
      </c>
      <c r="BC202" s="37">
        <v>0.10199999999999999</v>
      </c>
      <c r="BD202" s="37">
        <v>0.10299999999999999</v>
      </c>
      <c r="BE202" s="37">
        <v>0.10299999999999999</v>
      </c>
      <c r="BF202" s="37">
        <v>0.10299999999999999</v>
      </c>
      <c r="BG202" s="37">
        <v>0.10299999999999999</v>
      </c>
      <c r="BH202" s="37">
        <v>0.104</v>
      </c>
      <c r="BI202" s="37">
        <v>0.104</v>
      </c>
      <c r="BJ202" s="37">
        <v>0.104</v>
      </c>
      <c r="BK202" s="37">
        <v>0.105</v>
      </c>
      <c r="BL202" s="37">
        <v>0.105</v>
      </c>
      <c r="BM202" s="37">
        <v>0.105</v>
      </c>
      <c r="BN202" s="37">
        <v>0.105</v>
      </c>
    </row>
    <row r="203" spans="1:66" x14ac:dyDescent="0.2">
      <c r="A203" s="2" t="s">
        <v>632</v>
      </c>
      <c r="B203" s="2" t="s">
        <v>633</v>
      </c>
      <c r="C203" s="11" t="s">
        <v>79</v>
      </c>
      <c r="D203" s="12" t="s">
        <v>697</v>
      </c>
      <c r="E203" s="38">
        <v>0.90511165300713703</v>
      </c>
      <c r="F203" s="36">
        <v>1.252</v>
      </c>
      <c r="G203" s="36">
        <v>1.262</v>
      </c>
      <c r="H203" s="36">
        <v>1.272</v>
      </c>
      <c r="I203" s="36">
        <v>1.28</v>
      </c>
      <c r="J203" s="36">
        <v>1.288</v>
      </c>
      <c r="K203" s="36">
        <v>1.2949999999999999</v>
      </c>
      <c r="L203" s="36">
        <v>1.3009999999999999</v>
      </c>
      <c r="M203" s="36">
        <v>1.306</v>
      </c>
      <c r="N203" s="36">
        <v>1.31</v>
      </c>
      <c r="O203" s="36">
        <v>1.3149999999999999</v>
      </c>
      <c r="P203" s="36">
        <v>1.32</v>
      </c>
      <c r="Q203" s="36">
        <v>1.3260000000000001</v>
      </c>
      <c r="R203" s="36">
        <v>1.3320000000000001</v>
      </c>
      <c r="S203" s="36">
        <v>1.339</v>
      </c>
      <c r="T203" s="36">
        <v>1.345</v>
      </c>
      <c r="U203" s="36">
        <v>1.294</v>
      </c>
      <c r="V203" s="36">
        <v>1.298</v>
      </c>
      <c r="W203" s="36">
        <v>1.3029999999999999</v>
      </c>
      <c r="X203" s="36">
        <v>1.3089999999999999</v>
      </c>
      <c r="Y203" s="36">
        <v>1.31</v>
      </c>
      <c r="Z203" s="36">
        <v>1.3180000000000001</v>
      </c>
      <c r="AA203" s="36">
        <v>1.3280000000000001</v>
      </c>
      <c r="AB203" s="36">
        <v>1.335</v>
      </c>
      <c r="AC203" s="36">
        <v>1.341</v>
      </c>
      <c r="AD203" s="36">
        <v>1.345</v>
      </c>
      <c r="AE203" s="36">
        <v>1.35</v>
      </c>
      <c r="AF203" s="36">
        <v>1.3540000000000001</v>
      </c>
      <c r="AG203" s="36">
        <v>1.357</v>
      </c>
      <c r="AH203" s="36">
        <v>1.359</v>
      </c>
      <c r="AI203" s="36">
        <v>1.3640000000000001</v>
      </c>
      <c r="AJ203" s="36">
        <v>1.367</v>
      </c>
      <c r="AK203" s="36">
        <v>1.3680000000000001</v>
      </c>
      <c r="AL203" s="36">
        <v>1.3660000000000001</v>
      </c>
      <c r="AM203" s="36">
        <v>1.3680000000000001</v>
      </c>
      <c r="AN203" s="36">
        <v>1.3680000000000001</v>
      </c>
      <c r="AO203" s="36">
        <v>1.3680000000000001</v>
      </c>
      <c r="AP203" s="37">
        <v>1.37</v>
      </c>
      <c r="AQ203" s="37">
        <v>1.371</v>
      </c>
      <c r="AR203" s="37">
        <v>1.371</v>
      </c>
      <c r="AS203" s="37">
        <v>1.37</v>
      </c>
      <c r="AT203" s="37">
        <v>1.369</v>
      </c>
      <c r="AU203" s="37">
        <v>1.367</v>
      </c>
      <c r="AV203" s="37">
        <v>1.365</v>
      </c>
      <c r="AW203" s="37">
        <v>1.3620000000000001</v>
      </c>
      <c r="AX203" s="37">
        <v>1.359</v>
      </c>
      <c r="AY203" s="37">
        <v>1.3560000000000001</v>
      </c>
      <c r="AZ203" s="37">
        <v>1.3520000000000001</v>
      </c>
      <c r="BA203" s="37">
        <v>1.3480000000000001</v>
      </c>
      <c r="BB203" s="37">
        <v>1.343</v>
      </c>
      <c r="BC203" s="37">
        <v>1.3380000000000001</v>
      </c>
      <c r="BD203" s="37">
        <v>1.333</v>
      </c>
      <c r="BE203" s="37">
        <v>1.3280000000000001</v>
      </c>
      <c r="BF203" s="37">
        <v>1.3220000000000001</v>
      </c>
      <c r="BG203" s="37">
        <v>1.3160000000000001</v>
      </c>
      <c r="BH203" s="37">
        <v>1.31</v>
      </c>
      <c r="BI203" s="37">
        <v>1.3029999999999999</v>
      </c>
      <c r="BJ203" s="37">
        <v>1.296</v>
      </c>
      <c r="BK203" s="37">
        <v>1.2889999999999999</v>
      </c>
      <c r="BL203" s="37">
        <v>1.282</v>
      </c>
      <c r="BM203" s="37">
        <v>1.2749999999999999</v>
      </c>
      <c r="BN203" s="37">
        <v>1.2669999999999999</v>
      </c>
    </row>
    <row r="204" spans="1:66" x14ac:dyDescent="0.2">
      <c r="A204" s="2" t="s">
        <v>635</v>
      </c>
      <c r="B204" s="2" t="s">
        <v>636</v>
      </c>
      <c r="C204" s="11" t="s">
        <v>210</v>
      </c>
      <c r="D204" s="12" t="s">
        <v>697</v>
      </c>
      <c r="E204" s="35">
        <v>1</v>
      </c>
      <c r="F204" s="36">
        <v>8.3249999999999993</v>
      </c>
      <c r="G204" s="36">
        <v>8.5020000000000007</v>
      </c>
      <c r="H204" s="36">
        <v>8.6829999999999998</v>
      </c>
      <c r="I204" s="36">
        <v>8.8580000000000005</v>
      </c>
      <c r="J204" s="36">
        <v>9.0180000000000007</v>
      </c>
      <c r="K204" s="36">
        <v>9.1609999999999996</v>
      </c>
      <c r="L204" s="36">
        <v>9.2940000000000005</v>
      </c>
      <c r="M204" s="36">
        <v>9.4209999999999994</v>
      </c>
      <c r="N204" s="36">
        <v>9.5419999999999998</v>
      </c>
      <c r="O204" s="36">
        <v>9.6560000000000006</v>
      </c>
      <c r="P204" s="36">
        <v>9.7650000000000006</v>
      </c>
      <c r="Q204" s="36">
        <v>9.8699999999999992</v>
      </c>
      <c r="R204" s="36">
        <v>9.9719999999999995</v>
      </c>
      <c r="S204" s="36">
        <v>10.071999999999999</v>
      </c>
      <c r="T204" s="36">
        <v>10.166</v>
      </c>
      <c r="U204" s="36">
        <v>10.255000000000001</v>
      </c>
      <c r="V204" s="36">
        <v>10.346</v>
      </c>
      <c r="W204" s="36">
        <v>10.442</v>
      </c>
      <c r="X204" s="36">
        <v>10.542999999999999</v>
      </c>
      <c r="Y204" s="36">
        <v>10.651</v>
      </c>
      <c r="Z204" s="36">
        <v>10.766</v>
      </c>
      <c r="AA204" s="36">
        <v>10.885999999999999</v>
      </c>
      <c r="AB204" s="36">
        <v>11.01</v>
      </c>
      <c r="AC204" s="36">
        <v>11.141</v>
      </c>
      <c r="AD204" s="36">
        <v>11.273999999999999</v>
      </c>
      <c r="AE204" s="36">
        <v>11.401999999999999</v>
      </c>
      <c r="AF204" s="36">
        <v>11.529</v>
      </c>
      <c r="AG204" s="36">
        <v>11.65</v>
      </c>
      <c r="AH204" s="36">
        <v>11.766</v>
      </c>
      <c r="AI204" s="36">
        <v>11.875</v>
      </c>
      <c r="AJ204" s="36">
        <v>11.974</v>
      </c>
      <c r="AK204" s="36">
        <v>12.048999999999999</v>
      </c>
      <c r="AL204" s="36">
        <v>12.119</v>
      </c>
      <c r="AM204" s="36">
        <v>12.2</v>
      </c>
      <c r="AN204" s="36">
        <v>12.276999999999999</v>
      </c>
      <c r="AO204" s="36">
        <v>12.349</v>
      </c>
      <c r="AP204" s="37">
        <v>12.414999999999999</v>
      </c>
      <c r="AQ204" s="37">
        <v>12.476000000000001</v>
      </c>
      <c r="AR204" s="37">
        <v>12.532</v>
      </c>
      <c r="AS204" s="37">
        <v>12.583</v>
      </c>
      <c r="AT204" s="37">
        <v>12.628</v>
      </c>
      <c r="AU204" s="37">
        <v>12.67</v>
      </c>
      <c r="AV204" s="37">
        <v>12.709</v>
      </c>
      <c r="AW204" s="37">
        <v>12.747</v>
      </c>
      <c r="AX204" s="37">
        <v>12.781000000000001</v>
      </c>
      <c r="AY204" s="37">
        <v>12.811999999999999</v>
      </c>
      <c r="AZ204" s="37">
        <v>12.842000000000001</v>
      </c>
      <c r="BA204" s="37">
        <v>12.872</v>
      </c>
      <c r="BB204" s="37">
        <v>12.9</v>
      </c>
      <c r="BC204" s="37">
        <v>12.927</v>
      </c>
      <c r="BD204" s="37">
        <v>12.954000000000001</v>
      </c>
      <c r="BE204" s="37">
        <v>12.98</v>
      </c>
      <c r="BF204" s="37">
        <v>13.005000000000001</v>
      </c>
      <c r="BG204" s="37">
        <v>13.03</v>
      </c>
      <c r="BH204" s="37">
        <v>13.054</v>
      </c>
      <c r="BI204" s="37">
        <v>13.076000000000001</v>
      </c>
      <c r="BJ204" s="37">
        <v>13.096</v>
      </c>
      <c r="BK204" s="37">
        <v>13.113</v>
      </c>
      <c r="BL204" s="37">
        <v>13.128</v>
      </c>
      <c r="BM204" s="37">
        <v>13.138</v>
      </c>
      <c r="BN204" s="37">
        <v>13.145</v>
      </c>
    </row>
    <row r="205" spans="1:66" x14ac:dyDescent="0.2">
      <c r="A205" s="2" t="s">
        <v>638</v>
      </c>
      <c r="B205" s="2" t="s">
        <v>639</v>
      </c>
      <c r="C205" s="11" t="s">
        <v>82</v>
      </c>
      <c r="D205" s="12" t="s">
        <v>697</v>
      </c>
      <c r="E205" s="35">
        <v>0.99999993437327594</v>
      </c>
      <c r="F205" s="36">
        <v>3.7610000000000001</v>
      </c>
      <c r="G205" s="36">
        <v>3.8559999999999999</v>
      </c>
      <c r="H205" s="36">
        <v>3.9449999999999998</v>
      </c>
      <c r="I205" s="36">
        <v>4.032</v>
      </c>
      <c r="J205" s="36">
        <v>4.117</v>
      </c>
      <c r="K205" s="36">
        <v>4.1909999999999998</v>
      </c>
      <c r="L205" s="36">
        <v>4.2640000000000002</v>
      </c>
      <c r="M205" s="36">
        <v>4.3369999999999997</v>
      </c>
      <c r="N205" s="36">
        <v>4.4109999999999996</v>
      </c>
      <c r="O205" s="36">
        <v>4.492</v>
      </c>
      <c r="P205" s="36">
        <v>4.5830000000000002</v>
      </c>
      <c r="Q205" s="36">
        <v>4.6749999999999998</v>
      </c>
      <c r="R205" s="36">
        <v>4.7690000000000001</v>
      </c>
      <c r="S205" s="36">
        <v>4.8639999999999999</v>
      </c>
      <c r="T205" s="36">
        <v>4.9580000000000002</v>
      </c>
      <c r="U205" s="36">
        <v>5.0519999999999996</v>
      </c>
      <c r="V205" s="36">
        <v>5.1470000000000002</v>
      </c>
      <c r="W205" s="36">
        <v>5.2439999999999998</v>
      </c>
      <c r="X205" s="36">
        <v>5.3449999999999998</v>
      </c>
      <c r="Y205" s="36">
        <v>5.452</v>
      </c>
      <c r="Z205" s="36">
        <v>5.5640000000000001</v>
      </c>
      <c r="AA205" s="36">
        <v>5.6829999999999998</v>
      </c>
      <c r="AB205" s="36">
        <v>5.8090000000000002</v>
      </c>
      <c r="AC205" s="36">
        <v>5.9390000000000001</v>
      </c>
      <c r="AD205" s="36">
        <v>6.0750000000000002</v>
      </c>
      <c r="AE205" s="36">
        <v>6.2160000000000002</v>
      </c>
      <c r="AF205" s="36">
        <v>6.36</v>
      </c>
      <c r="AG205" s="36">
        <v>6.5069999999999997</v>
      </c>
      <c r="AH205" s="36">
        <v>6.6559999999999997</v>
      </c>
      <c r="AI205" s="36">
        <v>6.8040000000000003</v>
      </c>
      <c r="AJ205" s="36">
        <v>6.95</v>
      </c>
      <c r="AK205" s="36">
        <v>7.0919999999999996</v>
      </c>
      <c r="AL205" s="36">
        <v>7.23</v>
      </c>
      <c r="AM205" s="36">
        <v>7.3639999999999999</v>
      </c>
      <c r="AN205" s="36">
        <v>7.4939999999999998</v>
      </c>
      <c r="AO205" s="36">
        <v>7.6189999999999998</v>
      </c>
      <c r="AP205" s="37">
        <v>7.7370000000000001</v>
      </c>
      <c r="AQ205" s="37">
        <v>7.8479999999999999</v>
      </c>
      <c r="AR205" s="37">
        <v>7.9509999999999996</v>
      </c>
      <c r="AS205" s="37">
        <v>8.0470000000000006</v>
      </c>
      <c r="AT205" s="37">
        <v>8.1359999999999992</v>
      </c>
      <c r="AU205" s="37">
        <v>8.2189999999999994</v>
      </c>
      <c r="AV205" s="37">
        <v>8.3000000000000007</v>
      </c>
      <c r="AW205" s="37">
        <v>8.3800000000000008</v>
      </c>
      <c r="AX205" s="37">
        <v>8.4600000000000009</v>
      </c>
      <c r="AY205" s="37">
        <v>8.5389999999999997</v>
      </c>
      <c r="AZ205" s="37">
        <v>8.6180000000000003</v>
      </c>
      <c r="BA205" s="37">
        <v>8.6959999999999997</v>
      </c>
      <c r="BB205" s="37">
        <v>8.7750000000000004</v>
      </c>
      <c r="BC205" s="37">
        <v>8.8539999999999992</v>
      </c>
      <c r="BD205" s="37">
        <v>8.9320000000000004</v>
      </c>
      <c r="BE205" s="37">
        <v>9.01</v>
      </c>
      <c r="BF205" s="37">
        <v>9.0879999999999992</v>
      </c>
      <c r="BG205" s="37">
        <v>9.1639999999999997</v>
      </c>
      <c r="BH205" s="37">
        <v>9.2390000000000008</v>
      </c>
      <c r="BI205" s="37">
        <v>9.3130000000000006</v>
      </c>
      <c r="BJ205" s="37">
        <v>9.3840000000000003</v>
      </c>
      <c r="BK205" s="37">
        <v>9.4529999999999994</v>
      </c>
      <c r="BL205" s="37">
        <v>9.5190000000000001</v>
      </c>
      <c r="BM205" s="37">
        <v>9.5809999999999995</v>
      </c>
      <c r="BN205" s="37">
        <v>9.64</v>
      </c>
    </row>
    <row r="206" spans="1:66" x14ac:dyDescent="0.2">
      <c r="A206" s="2" t="s">
        <v>641</v>
      </c>
      <c r="B206" s="2" t="s">
        <v>642</v>
      </c>
      <c r="C206" s="11" t="s">
        <v>79</v>
      </c>
      <c r="D206" s="12" t="s">
        <v>697</v>
      </c>
      <c r="E206" s="35">
        <v>1.0000106713336001</v>
      </c>
      <c r="F206" s="36">
        <v>1.2E-2</v>
      </c>
      <c r="G206" s="36">
        <v>1.2E-2</v>
      </c>
      <c r="H206" s="36">
        <v>1.2999999999999999E-2</v>
      </c>
      <c r="I206" s="36">
        <v>1.4E-2</v>
      </c>
      <c r="J206" s="36">
        <v>1.4E-2</v>
      </c>
      <c r="K206" s="36">
        <v>1.4999999999999999E-2</v>
      </c>
      <c r="L206" s="36">
        <v>1.6E-2</v>
      </c>
      <c r="M206" s="36">
        <v>1.6E-2</v>
      </c>
      <c r="N206" s="36">
        <v>1.7000000000000001E-2</v>
      </c>
      <c r="O206" s="36">
        <v>1.7999999999999999E-2</v>
      </c>
      <c r="P206" s="36">
        <v>1.9E-2</v>
      </c>
      <c r="Q206" s="36">
        <v>0.02</v>
      </c>
      <c r="R206" s="36">
        <v>2.1000000000000001E-2</v>
      </c>
      <c r="S206" s="36">
        <v>2.1999999999999999E-2</v>
      </c>
      <c r="T206" s="36">
        <v>2.3E-2</v>
      </c>
      <c r="U206" s="36">
        <v>2.4E-2</v>
      </c>
      <c r="V206" s="36">
        <v>2.5000000000000001E-2</v>
      </c>
      <c r="W206" s="36">
        <v>2.5999999999999999E-2</v>
      </c>
      <c r="X206" s="36">
        <v>2.7E-2</v>
      </c>
      <c r="Y206" s="36">
        <v>2.9000000000000001E-2</v>
      </c>
      <c r="Z206" s="36">
        <v>0.03</v>
      </c>
      <c r="AA206" s="36">
        <v>3.1E-2</v>
      </c>
      <c r="AB206" s="36">
        <v>3.2000000000000001E-2</v>
      </c>
      <c r="AC206" s="36">
        <v>3.4000000000000002E-2</v>
      </c>
      <c r="AD206" s="36">
        <v>3.5000000000000003E-2</v>
      </c>
      <c r="AE206" s="36">
        <v>3.6999999999999998E-2</v>
      </c>
      <c r="AF206" s="36">
        <v>3.7999999999999999E-2</v>
      </c>
      <c r="AG206" s="36">
        <v>0.04</v>
      </c>
      <c r="AH206" s="36">
        <v>4.2000000000000003E-2</v>
      </c>
      <c r="AI206" s="36">
        <v>4.2999999999999997E-2</v>
      </c>
      <c r="AJ206" s="36">
        <v>4.3999999999999997E-2</v>
      </c>
      <c r="AK206" s="36">
        <v>4.4999999999999998E-2</v>
      </c>
      <c r="AL206" s="36">
        <v>4.5999999999999999E-2</v>
      </c>
      <c r="AM206" s="36">
        <v>4.5999999999999999E-2</v>
      </c>
      <c r="AN206" s="36">
        <v>4.7E-2</v>
      </c>
      <c r="AO206" s="36">
        <v>4.7E-2</v>
      </c>
      <c r="AP206" s="37">
        <v>4.7E-2</v>
      </c>
      <c r="AQ206" s="37">
        <v>4.7E-2</v>
      </c>
      <c r="AR206" s="37">
        <v>4.8000000000000001E-2</v>
      </c>
      <c r="AS206" s="37">
        <v>4.8000000000000001E-2</v>
      </c>
      <c r="AT206" s="37">
        <v>4.8000000000000001E-2</v>
      </c>
      <c r="AU206" s="37">
        <v>4.9000000000000002E-2</v>
      </c>
      <c r="AV206" s="37">
        <v>4.9000000000000002E-2</v>
      </c>
      <c r="AW206" s="37">
        <v>4.9000000000000002E-2</v>
      </c>
      <c r="AX206" s="37">
        <v>4.9000000000000002E-2</v>
      </c>
      <c r="AY206" s="37">
        <v>4.9000000000000002E-2</v>
      </c>
      <c r="AZ206" s="37">
        <v>0.05</v>
      </c>
      <c r="BA206" s="37">
        <v>0.05</v>
      </c>
      <c r="BB206" s="37">
        <v>0.05</v>
      </c>
      <c r="BC206" s="37">
        <v>0.05</v>
      </c>
      <c r="BD206" s="37">
        <v>0.05</v>
      </c>
      <c r="BE206" s="37">
        <v>5.0999999999999997E-2</v>
      </c>
      <c r="BF206" s="37">
        <v>5.0999999999999997E-2</v>
      </c>
      <c r="BG206" s="37">
        <v>5.0999999999999997E-2</v>
      </c>
      <c r="BH206" s="37">
        <v>5.0999999999999997E-2</v>
      </c>
      <c r="BI206" s="37">
        <v>5.0999999999999997E-2</v>
      </c>
      <c r="BJ206" s="37">
        <v>5.0999999999999997E-2</v>
      </c>
      <c r="BK206" s="37">
        <v>5.0999999999999997E-2</v>
      </c>
      <c r="BL206" s="37">
        <v>5.0999999999999997E-2</v>
      </c>
      <c r="BM206" s="37">
        <v>5.0999999999999997E-2</v>
      </c>
      <c r="BN206" s="37">
        <v>5.0999999999999997E-2</v>
      </c>
    </row>
    <row r="207" spans="1:66" x14ac:dyDescent="0.2">
      <c r="A207" s="2" t="s">
        <v>643</v>
      </c>
      <c r="B207" s="2" t="s">
        <v>644</v>
      </c>
      <c r="C207" s="11" t="s">
        <v>82</v>
      </c>
      <c r="D207" s="12" t="s">
        <v>697</v>
      </c>
      <c r="E207" s="35">
        <v>1.00000000000001</v>
      </c>
      <c r="F207" s="36">
        <v>8.9999999999999993E-3</v>
      </c>
      <c r="G207" s="36">
        <v>8.9999999999999993E-3</v>
      </c>
      <c r="H207" s="36">
        <v>8.9999999999999993E-3</v>
      </c>
      <c r="I207" s="36">
        <v>8.9999999999999993E-3</v>
      </c>
      <c r="J207" s="36">
        <v>8.9999999999999993E-3</v>
      </c>
      <c r="K207" s="36">
        <v>8.9999999999999993E-3</v>
      </c>
      <c r="L207" s="36">
        <v>8.9999999999999993E-3</v>
      </c>
      <c r="M207" s="36">
        <v>8.9999999999999993E-3</v>
      </c>
      <c r="N207" s="36">
        <v>8.9999999999999993E-3</v>
      </c>
      <c r="O207" s="36">
        <v>8.9999999999999993E-3</v>
      </c>
      <c r="P207" s="36">
        <v>0.01</v>
      </c>
      <c r="Q207" s="36">
        <v>0.01</v>
      </c>
      <c r="R207" s="36">
        <v>0.01</v>
      </c>
      <c r="S207" s="36">
        <v>0.01</v>
      </c>
      <c r="T207" s="36">
        <v>0.01</v>
      </c>
      <c r="U207" s="36">
        <v>0.01</v>
      </c>
      <c r="V207" s="36">
        <v>0.01</v>
      </c>
      <c r="W207" s="36">
        <v>0.01</v>
      </c>
      <c r="X207" s="36">
        <v>0.01</v>
      </c>
      <c r="Y207" s="36">
        <v>0.01</v>
      </c>
      <c r="Z207" s="36">
        <v>1.0999999999999999E-2</v>
      </c>
      <c r="AA207" s="36">
        <v>1.0999999999999999E-2</v>
      </c>
      <c r="AB207" s="36">
        <v>1.0999999999999999E-2</v>
      </c>
      <c r="AC207" s="36">
        <v>1.0999999999999999E-2</v>
      </c>
      <c r="AD207" s="36">
        <v>1.0999999999999999E-2</v>
      </c>
      <c r="AE207" s="36">
        <v>1.0999999999999999E-2</v>
      </c>
      <c r="AF207" s="36">
        <v>1.0999999999999999E-2</v>
      </c>
      <c r="AG207" s="36">
        <v>1.0999999999999999E-2</v>
      </c>
      <c r="AH207" s="36">
        <v>1.0999999999999999E-2</v>
      </c>
      <c r="AI207" s="36">
        <v>1.0999999999999999E-2</v>
      </c>
      <c r="AJ207" s="36">
        <v>0.01</v>
      </c>
      <c r="AK207" s="36">
        <v>0.01</v>
      </c>
      <c r="AL207" s="36">
        <v>0.01</v>
      </c>
      <c r="AM207" s="36">
        <v>0.01</v>
      </c>
      <c r="AN207" s="36">
        <v>0.01</v>
      </c>
      <c r="AO207" s="36">
        <v>8.9999999999999993E-3</v>
      </c>
      <c r="AP207" s="37">
        <v>8.9999999999999993E-3</v>
      </c>
      <c r="AQ207" s="37">
        <v>8.9999999999999993E-3</v>
      </c>
      <c r="AR207" s="37">
        <v>8.9999999999999993E-3</v>
      </c>
      <c r="AS207" s="37">
        <v>8.9999999999999993E-3</v>
      </c>
      <c r="AT207" s="37">
        <v>8.9999999999999993E-3</v>
      </c>
      <c r="AU207" s="37">
        <v>8.9999999999999993E-3</v>
      </c>
      <c r="AV207" s="37">
        <v>8.9999999999999993E-3</v>
      </c>
      <c r="AW207" s="37">
        <v>8.9999999999999993E-3</v>
      </c>
      <c r="AX207" s="37">
        <v>8.9999999999999993E-3</v>
      </c>
      <c r="AY207" s="37">
        <v>8.9999999999999993E-3</v>
      </c>
      <c r="AZ207" s="37">
        <v>8.9999999999999993E-3</v>
      </c>
      <c r="BA207" s="37">
        <v>8.9999999999999993E-3</v>
      </c>
      <c r="BB207" s="37">
        <v>8.9999999999999993E-3</v>
      </c>
      <c r="BC207" s="37">
        <v>8.9999999999999993E-3</v>
      </c>
      <c r="BD207" s="37">
        <v>8.9999999999999993E-3</v>
      </c>
      <c r="BE207" s="37">
        <v>8.9999999999999993E-3</v>
      </c>
      <c r="BF207" s="37">
        <v>8.9999999999999993E-3</v>
      </c>
      <c r="BG207" s="37">
        <v>8.9999999999999993E-3</v>
      </c>
      <c r="BH207" s="37">
        <v>8.9999999999999993E-3</v>
      </c>
      <c r="BI207" s="37">
        <v>8.9999999999999993E-3</v>
      </c>
      <c r="BJ207" s="37">
        <v>0.01</v>
      </c>
      <c r="BK207" s="37">
        <v>0.01</v>
      </c>
      <c r="BL207" s="37">
        <v>0.01</v>
      </c>
      <c r="BM207" s="37">
        <v>0.01</v>
      </c>
      <c r="BN207" s="37">
        <v>0.01</v>
      </c>
    </row>
    <row r="208" spans="1:66" x14ac:dyDescent="0.2">
      <c r="A208" s="2" t="s">
        <v>645</v>
      </c>
      <c r="B208" s="2" t="s">
        <v>646</v>
      </c>
      <c r="C208" s="11" t="s">
        <v>82</v>
      </c>
      <c r="D208" s="12" t="s">
        <v>697</v>
      </c>
      <c r="E208" s="35">
        <v>0.97939372501879596</v>
      </c>
      <c r="F208" s="36">
        <v>56.015999999999998</v>
      </c>
      <c r="G208" s="36">
        <v>57.01</v>
      </c>
      <c r="H208" s="36">
        <v>57.99</v>
      </c>
      <c r="I208" s="36">
        <v>58.999000000000002</v>
      </c>
      <c r="J208" s="36">
        <v>60.033999999999999</v>
      </c>
      <c r="K208" s="36">
        <v>61.024999999999999</v>
      </c>
      <c r="L208" s="36">
        <v>61.951000000000001</v>
      </c>
      <c r="M208" s="36">
        <v>62.853000000000002</v>
      </c>
      <c r="N208" s="36">
        <v>63.734000000000002</v>
      </c>
      <c r="O208" s="36">
        <v>64.591999999999999</v>
      </c>
      <c r="P208" s="36">
        <v>65.426000000000002</v>
      </c>
      <c r="Q208" s="36">
        <v>66.245000000000005</v>
      </c>
      <c r="R208" s="36">
        <v>67.049000000000007</v>
      </c>
      <c r="S208" s="36">
        <v>67.831999999999994</v>
      </c>
      <c r="T208" s="36">
        <v>68.593000000000004</v>
      </c>
      <c r="U208" s="36">
        <v>69.33</v>
      </c>
      <c r="V208" s="36">
        <v>70.045000000000002</v>
      </c>
      <c r="W208" s="36">
        <v>70.158000000000001</v>
      </c>
      <c r="X208" s="36">
        <v>71.052000000000007</v>
      </c>
      <c r="Y208" s="36">
        <v>72.039000000000001</v>
      </c>
      <c r="Z208" s="36">
        <v>73.141999999999996</v>
      </c>
      <c r="AA208" s="36">
        <v>74.224000000000004</v>
      </c>
      <c r="AB208" s="36">
        <v>75.176000000000002</v>
      </c>
      <c r="AC208" s="36">
        <v>76.147999999999996</v>
      </c>
      <c r="AD208" s="36">
        <v>77.182000000000002</v>
      </c>
      <c r="AE208" s="36">
        <v>78.218000000000004</v>
      </c>
      <c r="AF208" s="36">
        <v>79.278000000000006</v>
      </c>
      <c r="AG208" s="36">
        <v>80.313000000000002</v>
      </c>
      <c r="AH208" s="36">
        <v>81.406999999999996</v>
      </c>
      <c r="AI208" s="36">
        <v>82.578999999999994</v>
      </c>
      <c r="AJ208" s="36">
        <v>83.385000000000005</v>
      </c>
      <c r="AK208" s="36">
        <v>84.147000000000006</v>
      </c>
      <c r="AL208" s="36">
        <v>84.98</v>
      </c>
      <c r="AM208" s="36">
        <v>85.325999999999993</v>
      </c>
      <c r="AN208" s="36">
        <v>85.519000000000005</v>
      </c>
      <c r="AO208" s="36">
        <v>85.879000000000005</v>
      </c>
      <c r="AP208" s="37">
        <v>86.114000000000004</v>
      </c>
      <c r="AQ208" s="37">
        <v>86.381</v>
      </c>
      <c r="AR208" s="37">
        <v>86.656999999999996</v>
      </c>
      <c r="AS208" s="37">
        <v>86.927000000000007</v>
      </c>
      <c r="AT208" s="37">
        <v>87.192999999999998</v>
      </c>
      <c r="AU208" s="37">
        <v>87.453000000000003</v>
      </c>
      <c r="AV208" s="37">
        <v>87.692999999999998</v>
      </c>
      <c r="AW208" s="37">
        <v>87.918999999999997</v>
      </c>
      <c r="AX208" s="37">
        <v>88.131</v>
      </c>
      <c r="AY208" s="37">
        <v>88.33</v>
      </c>
      <c r="AZ208" s="37">
        <v>88.522000000000006</v>
      </c>
      <c r="BA208" s="37">
        <v>88.703999999999994</v>
      </c>
      <c r="BB208" s="37">
        <v>88.866</v>
      </c>
      <c r="BC208" s="37">
        <v>89.009</v>
      </c>
      <c r="BD208" s="37">
        <v>89.134</v>
      </c>
      <c r="BE208" s="37">
        <v>89.242000000000004</v>
      </c>
      <c r="BF208" s="37">
        <v>89.337000000000003</v>
      </c>
      <c r="BG208" s="37">
        <v>89.412999999999997</v>
      </c>
      <c r="BH208" s="37">
        <v>89.471000000000004</v>
      </c>
      <c r="BI208" s="37">
        <v>89.509</v>
      </c>
      <c r="BJ208" s="37">
        <v>89.534999999999997</v>
      </c>
      <c r="BK208" s="37">
        <v>89.543000000000006</v>
      </c>
      <c r="BL208" s="37">
        <v>89.521000000000001</v>
      </c>
      <c r="BM208" s="37">
        <v>89.465999999999994</v>
      </c>
      <c r="BN208" s="37">
        <v>89.378</v>
      </c>
    </row>
    <row r="209" spans="1:66" x14ac:dyDescent="0.2">
      <c r="A209" s="2" t="s">
        <v>647</v>
      </c>
      <c r="B209" s="2" t="s">
        <v>648</v>
      </c>
      <c r="C209" s="11" t="s">
        <v>75</v>
      </c>
      <c r="D209" s="12" t="s">
        <v>697</v>
      </c>
      <c r="E209" s="35">
        <v>1</v>
      </c>
      <c r="F209" s="36">
        <v>17.57</v>
      </c>
      <c r="G209" s="36">
        <v>18.155999999999999</v>
      </c>
      <c r="H209" s="36">
        <v>18.785</v>
      </c>
      <c r="I209" s="36">
        <v>19.445</v>
      </c>
      <c r="J209" s="36">
        <v>20.109000000000002</v>
      </c>
      <c r="K209" s="36">
        <v>20.666</v>
      </c>
      <c r="L209" s="36">
        <v>21.231999999999999</v>
      </c>
      <c r="M209" s="36">
        <v>21.856000000000002</v>
      </c>
      <c r="N209" s="36">
        <v>22.515999999999998</v>
      </c>
      <c r="O209" s="36">
        <v>23.257000000000001</v>
      </c>
      <c r="P209" s="36">
        <v>24</v>
      </c>
      <c r="Q209" s="36">
        <v>24.745999999999999</v>
      </c>
      <c r="R209" s="36">
        <v>25.533000000000001</v>
      </c>
      <c r="S209" s="36">
        <v>26.352</v>
      </c>
      <c r="T209" s="36">
        <v>27.155000000000001</v>
      </c>
      <c r="U209" s="36">
        <v>27.963000000000001</v>
      </c>
      <c r="V209" s="36">
        <v>28.794</v>
      </c>
      <c r="W209" s="36">
        <v>29.652999999999999</v>
      </c>
      <c r="X209" s="36">
        <v>30.54</v>
      </c>
      <c r="Y209" s="36">
        <v>31.451000000000001</v>
      </c>
      <c r="Z209" s="36">
        <v>32.390999999999998</v>
      </c>
      <c r="AA209" s="36">
        <v>33.354999999999997</v>
      </c>
      <c r="AB209" s="36">
        <v>34.337000000000003</v>
      </c>
      <c r="AC209" s="36">
        <v>35.337000000000003</v>
      </c>
      <c r="AD209" s="36">
        <v>36.396000000000001</v>
      </c>
      <c r="AE209" s="36">
        <v>37.530999999999999</v>
      </c>
      <c r="AF209" s="36">
        <v>38.798999999999999</v>
      </c>
      <c r="AG209" s="36">
        <v>40.177</v>
      </c>
      <c r="AH209" s="36">
        <v>41.566000000000003</v>
      </c>
      <c r="AI209" s="36">
        <v>43</v>
      </c>
      <c r="AJ209" s="36">
        <v>44.457000000000001</v>
      </c>
      <c r="AK209" s="36">
        <v>45.911000000000001</v>
      </c>
      <c r="AL209" s="36">
        <v>47.313000000000002</v>
      </c>
      <c r="AM209" s="36">
        <v>48.656999999999996</v>
      </c>
      <c r="AN209" s="36">
        <v>50.015000000000001</v>
      </c>
      <c r="AO209" s="36">
        <v>51.384999999999998</v>
      </c>
      <c r="AP209" s="37">
        <v>52.761000000000003</v>
      </c>
      <c r="AQ209" s="37">
        <v>54.143999999999998</v>
      </c>
      <c r="AR209" s="37">
        <v>55.533000000000001</v>
      </c>
      <c r="AS209" s="37">
        <v>56.923000000000002</v>
      </c>
      <c r="AT209" s="37">
        <v>58.313000000000002</v>
      </c>
      <c r="AU209" s="37">
        <v>59.704000000000001</v>
      </c>
      <c r="AV209" s="37">
        <v>61.088999999999999</v>
      </c>
      <c r="AW209" s="37">
        <v>62.463999999999999</v>
      </c>
      <c r="AX209" s="37">
        <v>63.834000000000003</v>
      </c>
      <c r="AY209" s="37">
        <v>65.206000000000003</v>
      </c>
      <c r="AZ209" s="37">
        <v>66.573999999999998</v>
      </c>
      <c r="BA209" s="37">
        <v>67.942999999999998</v>
      </c>
      <c r="BB209" s="37">
        <v>69.311999999999998</v>
      </c>
      <c r="BC209" s="37">
        <v>70.67</v>
      </c>
      <c r="BD209" s="37">
        <v>72.02</v>
      </c>
      <c r="BE209" s="37">
        <v>73.373000000000005</v>
      </c>
      <c r="BF209" s="37">
        <v>74.73</v>
      </c>
      <c r="BG209" s="37">
        <v>76.090999999999994</v>
      </c>
      <c r="BH209" s="37">
        <v>77.45</v>
      </c>
      <c r="BI209" s="37">
        <v>78.798000000000002</v>
      </c>
      <c r="BJ209" s="37">
        <v>80.138999999999996</v>
      </c>
      <c r="BK209" s="37">
        <v>81.478999999999999</v>
      </c>
      <c r="BL209" s="37">
        <v>82.811999999999998</v>
      </c>
      <c r="BM209" s="37">
        <v>84.13</v>
      </c>
      <c r="BN209" s="37">
        <v>85.430999999999997</v>
      </c>
    </row>
    <row r="210" spans="1:66" x14ac:dyDescent="0.2">
      <c r="A210" s="2" t="s">
        <v>649</v>
      </c>
      <c r="B210" s="2" t="s">
        <v>650</v>
      </c>
      <c r="C210" s="11" t="s">
        <v>82</v>
      </c>
      <c r="D210" s="12" t="s">
        <v>697</v>
      </c>
      <c r="E210" s="35">
        <v>0.99999998717303296</v>
      </c>
      <c r="F210" s="36">
        <v>52.054000000000002</v>
      </c>
      <c r="G210" s="36">
        <v>52.170999999999999</v>
      </c>
      <c r="H210" s="36">
        <v>52.323999999999998</v>
      </c>
      <c r="I210" s="36">
        <v>52.35</v>
      </c>
      <c r="J210" s="36">
        <v>52.076000000000001</v>
      </c>
      <c r="K210" s="36">
        <v>51.665999999999997</v>
      </c>
      <c r="L210" s="36">
        <v>51.225999999999999</v>
      </c>
      <c r="M210" s="36">
        <v>50.786999999999999</v>
      </c>
      <c r="N210" s="36">
        <v>50.38</v>
      </c>
      <c r="O210" s="36">
        <v>49.975999999999999</v>
      </c>
      <c r="P210" s="36">
        <v>49.557000000000002</v>
      </c>
      <c r="Q210" s="36">
        <v>49.106999999999999</v>
      </c>
      <c r="R210" s="36">
        <v>48.677</v>
      </c>
      <c r="S210" s="36">
        <v>48.314999999999998</v>
      </c>
      <c r="T210" s="36">
        <v>47.98</v>
      </c>
      <c r="U210" s="36">
        <v>47.585999999999999</v>
      </c>
      <c r="V210" s="36">
        <v>47.279000000000003</v>
      </c>
      <c r="W210" s="36">
        <v>47.063000000000002</v>
      </c>
      <c r="X210" s="36">
        <v>46.819000000000003</v>
      </c>
      <c r="Y210" s="36">
        <v>46.624000000000002</v>
      </c>
      <c r="Z210" s="36">
        <v>46.456000000000003</v>
      </c>
      <c r="AA210" s="36">
        <v>46.308</v>
      </c>
      <c r="AB210" s="36">
        <v>46.21</v>
      </c>
      <c r="AC210" s="36">
        <v>46.127000000000002</v>
      </c>
      <c r="AD210" s="36">
        <v>45.972000000000001</v>
      </c>
      <c r="AE210" s="36">
        <v>45.784999999999997</v>
      </c>
      <c r="AF210" s="36">
        <v>45.616999999999997</v>
      </c>
      <c r="AG210" s="36">
        <v>45.436</v>
      </c>
      <c r="AH210" s="36">
        <v>45.209000000000003</v>
      </c>
      <c r="AI210" s="36">
        <v>44.957000000000001</v>
      </c>
      <c r="AJ210" s="36">
        <v>44.68</v>
      </c>
      <c r="AK210" s="36">
        <v>44.298999999999999</v>
      </c>
      <c r="AL210" s="36">
        <v>41.048999999999999</v>
      </c>
      <c r="AM210" s="36">
        <v>37.732999999999997</v>
      </c>
      <c r="AN210" s="36">
        <v>37.86</v>
      </c>
      <c r="AO210" s="36">
        <v>38.979999999999997</v>
      </c>
      <c r="AP210" s="37">
        <v>39.536000000000001</v>
      </c>
      <c r="AQ210" s="37">
        <v>39.244999999999997</v>
      </c>
      <c r="AR210" s="37">
        <v>38.951999999999998</v>
      </c>
      <c r="AS210" s="37">
        <v>38.654000000000003</v>
      </c>
      <c r="AT210" s="37">
        <v>38.353999999999999</v>
      </c>
      <c r="AU210" s="37">
        <v>38.051000000000002</v>
      </c>
      <c r="AV210" s="37">
        <v>37.747</v>
      </c>
      <c r="AW210" s="37">
        <v>37.442</v>
      </c>
      <c r="AX210" s="37">
        <v>37.136000000000003</v>
      </c>
      <c r="AY210" s="37">
        <v>36.828000000000003</v>
      </c>
      <c r="AZ210" s="37">
        <v>36.520000000000003</v>
      </c>
      <c r="BA210" s="37">
        <v>36.21</v>
      </c>
      <c r="BB210" s="37">
        <v>35.898000000000003</v>
      </c>
      <c r="BC210" s="37">
        <v>35.584000000000003</v>
      </c>
      <c r="BD210" s="37">
        <v>35.271000000000001</v>
      </c>
      <c r="BE210" s="37">
        <v>34.957999999999998</v>
      </c>
      <c r="BF210" s="37">
        <v>34.642000000000003</v>
      </c>
      <c r="BG210" s="37">
        <v>34.323999999999998</v>
      </c>
      <c r="BH210" s="37">
        <v>34.003999999999998</v>
      </c>
      <c r="BI210" s="37">
        <v>33.68</v>
      </c>
      <c r="BJ210" s="37">
        <v>33.351999999999997</v>
      </c>
      <c r="BK210" s="37">
        <v>33.018000000000001</v>
      </c>
      <c r="BL210" s="37">
        <v>32.680999999999997</v>
      </c>
      <c r="BM210" s="37">
        <v>32.338999999999999</v>
      </c>
      <c r="BN210" s="37">
        <v>31.99</v>
      </c>
    </row>
    <row r="211" spans="1:66" x14ac:dyDescent="0.2">
      <c r="A211" s="2" t="s">
        <v>651</v>
      </c>
      <c r="B211" s="2" t="s">
        <v>652</v>
      </c>
      <c r="C211" s="11" t="s">
        <v>79</v>
      </c>
      <c r="D211" s="12" t="s">
        <v>697</v>
      </c>
      <c r="E211" s="35">
        <v>1.0147319760267901</v>
      </c>
      <c r="F211" s="36">
        <v>1.8979999999999999</v>
      </c>
      <c r="G211" s="36">
        <v>2.0070000000000001</v>
      </c>
      <c r="H211" s="36">
        <v>2.1150000000000002</v>
      </c>
      <c r="I211" s="36">
        <v>2.222</v>
      </c>
      <c r="J211" s="36">
        <v>2.3279999999999998</v>
      </c>
      <c r="K211" s="36">
        <v>2.4350000000000001</v>
      </c>
      <c r="L211" s="36">
        <v>2.5979999999999999</v>
      </c>
      <c r="M211" s="36">
        <v>2.8170000000000002</v>
      </c>
      <c r="N211" s="36">
        <v>3.04</v>
      </c>
      <c r="O211" s="36">
        <v>3.266</v>
      </c>
      <c r="P211" s="36">
        <v>3.4940000000000002</v>
      </c>
      <c r="Q211" s="36">
        <v>3.7240000000000002</v>
      </c>
      <c r="R211" s="36">
        <v>3.9569999999999999</v>
      </c>
      <c r="S211" s="36">
        <v>4.1920000000000002</v>
      </c>
      <c r="T211" s="36">
        <v>4.4290000000000003</v>
      </c>
      <c r="U211" s="36">
        <v>4.665</v>
      </c>
      <c r="V211" s="36">
        <v>5.0090000000000003</v>
      </c>
      <c r="W211" s="36">
        <v>5.625</v>
      </c>
      <c r="X211" s="36">
        <v>6.3029999999999999</v>
      </c>
      <c r="Y211" s="36">
        <v>6.7069999999999999</v>
      </c>
      <c r="Z211" s="36">
        <v>6.87</v>
      </c>
      <c r="AA211" s="36">
        <v>7.1050000000000004</v>
      </c>
      <c r="AB211" s="36">
        <v>7.391</v>
      </c>
      <c r="AC211" s="36">
        <v>7.6929999999999996</v>
      </c>
      <c r="AD211" s="36">
        <v>8.0589999999999993</v>
      </c>
      <c r="AE211" s="36">
        <v>8.5050000000000008</v>
      </c>
      <c r="AF211" s="36">
        <v>8.9350000000000005</v>
      </c>
      <c r="AG211" s="36">
        <v>9.2230000000000008</v>
      </c>
      <c r="AH211" s="36">
        <v>9.3469999999999995</v>
      </c>
      <c r="AI211" s="36">
        <v>9.4459999999999997</v>
      </c>
      <c r="AJ211" s="36">
        <v>9.4009999999999998</v>
      </c>
      <c r="AK211" s="36">
        <v>9.5749999999999993</v>
      </c>
      <c r="AL211" s="36">
        <v>10.074999999999999</v>
      </c>
      <c r="AM211" s="36">
        <v>10.484</v>
      </c>
      <c r="AN211" s="36">
        <v>10.986000000000001</v>
      </c>
      <c r="AO211" s="36">
        <v>11.513</v>
      </c>
      <c r="AP211" s="37">
        <v>11.744999999999999</v>
      </c>
      <c r="AQ211" s="37">
        <v>11.929</v>
      </c>
      <c r="AR211" s="37">
        <v>12.087999999999999</v>
      </c>
      <c r="AS211" s="37">
        <v>12.231999999999999</v>
      </c>
      <c r="AT211" s="37">
        <v>12.37</v>
      </c>
      <c r="AU211" s="37">
        <v>12.509</v>
      </c>
      <c r="AV211" s="37">
        <v>12.651</v>
      </c>
      <c r="AW211" s="37">
        <v>12.798</v>
      </c>
      <c r="AX211" s="37">
        <v>12.948</v>
      </c>
      <c r="AY211" s="37">
        <v>13.101000000000001</v>
      </c>
      <c r="AZ211" s="37">
        <v>13.256</v>
      </c>
      <c r="BA211" s="37">
        <v>13.414</v>
      </c>
      <c r="BB211" s="37">
        <v>13.573</v>
      </c>
      <c r="BC211" s="37">
        <v>13.734</v>
      </c>
      <c r="BD211" s="37">
        <v>13.896000000000001</v>
      </c>
      <c r="BE211" s="37">
        <v>14.058999999999999</v>
      </c>
      <c r="BF211" s="37">
        <v>14.223000000000001</v>
      </c>
      <c r="BG211" s="37">
        <v>14.388</v>
      </c>
      <c r="BH211" s="37">
        <v>14.554</v>
      </c>
      <c r="BI211" s="37">
        <v>14.721</v>
      </c>
      <c r="BJ211" s="37">
        <v>14.89</v>
      </c>
      <c r="BK211" s="37">
        <v>15.061999999999999</v>
      </c>
      <c r="BL211" s="37">
        <v>15.238</v>
      </c>
      <c r="BM211" s="37">
        <v>15.414999999999999</v>
      </c>
      <c r="BN211" s="37">
        <v>15.593999999999999</v>
      </c>
    </row>
    <row r="212" spans="1:66" x14ac:dyDescent="0.2">
      <c r="A212" s="2" t="s">
        <v>653</v>
      </c>
      <c r="B212" s="2" t="s">
        <v>654</v>
      </c>
      <c r="C212" s="11" t="s">
        <v>79</v>
      </c>
      <c r="D212" s="12" t="s">
        <v>697</v>
      </c>
      <c r="E212" s="35">
        <v>0.99907505005853103</v>
      </c>
      <c r="F212" s="36">
        <v>57.247999999999998</v>
      </c>
      <c r="G212" s="36">
        <v>57.424999999999997</v>
      </c>
      <c r="H212" s="36">
        <v>57.58</v>
      </c>
      <c r="I212" s="36">
        <v>57.719000000000001</v>
      </c>
      <c r="J212" s="36">
        <v>57.866</v>
      </c>
      <c r="K212" s="36">
        <v>58.018999999999998</v>
      </c>
      <c r="L212" s="36">
        <v>58.167000000000002</v>
      </c>
      <c r="M212" s="36">
        <v>58.317</v>
      </c>
      <c r="N212" s="36">
        <v>58.487000000000002</v>
      </c>
      <c r="O212" s="36">
        <v>58.682000000000002</v>
      </c>
      <c r="P212" s="36">
        <v>58.893000000000001</v>
      </c>
      <c r="Q212" s="36">
        <v>59.12</v>
      </c>
      <c r="R212" s="36">
        <v>59.37</v>
      </c>
      <c r="S212" s="36">
        <v>59.648000000000003</v>
      </c>
      <c r="T212" s="36">
        <v>59.988</v>
      </c>
      <c r="U212" s="36">
        <v>60.401000000000003</v>
      </c>
      <c r="V212" s="36">
        <v>60.847000000000001</v>
      </c>
      <c r="W212" s="36">
        <v>61.322000000000003</v>
      </c>
      <c r="X212" s="36">
        <v>61.807000000000002</v>
      </c>
      <c r="Y212" s="36">
        <v>62.276000000000003</v>
      </c>
      <c r="Z212" s="36">
        <v>62.765999999999998</v>
      </c>
      <c r="AA212" s="36">
        <v>63.259</v>
      </c>
      <c r="AB212" s="36">
        <v>63.710999999999999</v>
      </c>
      <c r="AC212" s="36">
        <v>64.138000000000005</v>
      </c>
      <c r="AD212" s="36">
        <v>64.619</v>
      </c>
      <c r="AE212" s="36">
        <v>65.087000000000003</v>
      </c>
      <c r="AF212" s="36">
        <v>65.605999999999995</v>
      </c>
      <c r="AG212" s="36">
        <v>65.963999999999999</v>
      </c>
      <c r="AH212" s="36">
        <v>66.287000000000006</v>
      </c>
      <c r="AI212" s="36">
        <v>66.628</v>
      </c>
      <c r="AJ212" s="36">
        <v>66.739999999999995</v>
      </c>
      <c r="AK212" s="36">
        <v>66.977999999999994</v>
      </c>
      <c r="AL212" s="36">
        <v>67.635999999999996</v>
      </c>
      <c r="AM212" s="36">
        <v>68.525999999999996</v>
      </c>
      <c r="AN212" s="36">
        <v>69.281000000000006</v>
      </c>
      <c r="AO212" s="36">
        <v>69.486999999999995</v>
      </c>
      <c r="AP212" s="37">
        <v>69.867000000000004</v>
      </c>
      <c r="AQ212" s="37">
        <v>70.228999999999999</v>
      </c>
      <c r="AR212" s="37">
        <v>70.578000000000003</v>
      </c>
      <c r="AS212" s="37">
        <v>70.906000000000006</v>
      </c>
      <c r="AT212" s="37">
        <v>71.221000000000004</v>
      </c>
      <c r="AU212" s="37">
        <v>71.521000000000001</v>
      </c>
      <c r="AV212" s="37">
        <v>71.802000000000007</v>
      </c>
      <c r="AW212" s="37">
        <v>72.075999999999993</v>
      </c>
      <c r="AX212" s="37">
        <v>72.338999999999999</v>
      </c>
      <c r="AY212" s="37">
        <v>72.59</v>
      </c>
      <c r="AZ212" s="37">
        <v>72.831000000000003</v>
      </c>
      <c r="BA212" s="37">
        <v>73.058000000000007</v>
      </c>
      <c r="BB212" s="37">
        <v>73.28</v>
      </c>
      <c r="BC212" s="37">
        <v>73.497</v>
      </c>
      <c r="BD212" s="37">
        <v>73.706000000000003</v>
      </c>
      <c r="BE212" s="37">
        <v>73.912000000000006</v>
      </c>
      <c r="BF212" s="37">
        <v>74.113</v>
      </c>
      <c r="BG212" s="37">
        <v>74.311999999999998</v>
      </c>
      <c r="BH212" s="37">
        <v>74.504000000000005</v>
      </c>
      <c r="BI212" s="37">
        <v>74.685000000000002</v>
      </c>
      <c r="BJ212" s="37">
        <v>74.855999999999995</v>
      </c>
      <c r="BK212" s="37">
        <v>75.02</v>
      </c>
      <c r="BL212" s="37">
        <v>75.171999999999997</v>
      </c>
      <c r="BM212" s="37">
        <v>75.311000000000007</v>
      </c>
      <c r="BN212" s="37">
        <v>75.435000000000002</v>
      </c>
    </row>
    <row r="213" spans="1:66" x14ac:dyDescent="0.2">
      <c r="A213" s="2" t="s">
        <v>655</v>
      </c>
      <c r="B213" s="2" t="s">
        <v>656</v>
      </c>
      <c r="C213" s="11" t="s">
        <v>79</v>
      </c>
      <c r="D213" s="12" t="s">
        <v>697</v>
      </c>
      <c r="E213" s="35">
        <v>0.98418850267881097</v>
      </c>
      <c r="F213" s="36">
        <v>249.62299999999999</v>
      </c>
      <c r="G213" s="36">
        <v>252.98099999999999</v>
      </c>
      <c r="H213" s="36">
        <v>256.51400000000001</v>
      </c>
      <c r="I213" s="36">
        <v>259.91899999999998</v>
      </c>
      <c r="J213" s="36">
        <v>263.12599999999998</v>
      </c>
      <c r="K213" s="36">
        <v>266.27800000000002</v>
      </c>
      <c r="L213" s="36">
        <v>269.39400000000001</v>
      </c>
      <c r="M213" s="36">
        <v>272.65699999999998</v>
      </c>
      <c r="N213" s="36">
        <v>275.85399999999998</v>
      </c>
      <c r="O213" s="36">
        <v>279.04000000000002</v>
      </c>
      <c r="P213" s="36">
        <v>282.16199999999998</v>
      </c>
      <c r="Q213" s="36">
        <v>284.96899999999999</v>
      </c>
      <c r="R213" s="36">
        <v>287.625</v>
      </c>
      <c r="S213" s="36">
        <v>290.108</v>
      </c>
      <c r="T213" s="36">
        <v>292.80500000000001</v>
      </c>
      <c r="U213" s="36">
        <v>295.517</v>
      </c>
      <c r="V213" s="36">
        <v>298.38</v>
      </c>
      <c r="W213" s="36">
        <v>301.23099999999999</v>
      </c>
      <c r="X213" s="36">
        <v>304.09399999999999</v>
      </c>
      <c r="Y213" s="36">
        <v>306.77199999999999</v>
      </c>
      <c r="Z213" s="36">
        <v>309.37799999999999</v>
      </c>
      <c r="AA213" s="36">
        <v>311.839</v>
      </c>
      <c r="AB213" s="36">
        <v>314.339</v>
      </c>
      <c r="AC213" s="36">
        <v>316.726</v>
      </c>
      <c r="AD213" s="36">
        <v>319.25799999999998</v>
      </c>
      <c r="AE213" s="36">
        <v>321.815</v>
      </c>
      <c r="AF213" s="36">
        <v>324.35300000000001</v>
      </c>
      <c r="AG213" s="36">
        <v>326.60899999999998</v>
      </c>
      <c r="AH213" s="36">
        <v>328.53</v>
      </c>
      <c r="AI213" s="36">
        <v>330.226</v>
      </c>
      <c r="AJ213" s="36">
        <v>331.57799999999997</v>
      </c>
      <c r="AK213" s="36">
        <v>332.1</v>
      </c>
      <c r="AL213" s="36">
        <v>333.99599999999998</v>
      </c>
      <c r="AM213" s="36">
        <v>336.755</v>
      </c>
      <c r="AN213" s="36">
        <v>340.00400000000002</v>
      </c>
      <c r="AO213" s="36">
        <v>341.78500000000003</v>
      </c>
      <c r="AP213" s="37">
        <v>343.517</v>
      </c>
      <c r="AQ213" s="37">
        <v>345.18299999999999</v>
      </c>
      <c r="AR213" s="37">
        <v>346.83199999999999</v>
      </c>
      <c r="AS213" s="37">
        <v>348.452</v>
      </c>
      <c r="AT213" s="37">
        <v>350.02699999999999</v>
      </c>
      <c r="AU213" s="37">
        <v>351.57400000000001</v>
      </c>
      <c r="AV213" s="37">
        <v>353.09699999999998</v>
      </c>
      <c r="AW213" s="37">
        <v>354.59699999999998</v>
      </c>
      <c r="AX213" s="37">
        <v>356.08100000000002</v>
      </c>
      <c r="AY213" s="37">
        <v>357.541</v>
      </c>
      <c r="AZ213" s="37">
        <v>358.96499999999997</v>
      </c>
      <c r="BA213" s="37">
        <v>360.363</v>
      </c>
      <c r="BB213" s="37">
        <v>361.74</v>
      </c>
      <c r="BC213" s="37">
        <v>363.07400000000001</v>
      </c>
      <c r="BD213" s="37">
        <v>364.35599999999999</v>
      </c>
      <c r="BE213" s="37">
        <v>365.596</v>
      </c>
      <c r="BF213" s="37">
        <v>366.81200000000001</v>
      </c>
      <c r="BG213" s="37">
        <v>367.98899999999998</v>
      </c>
      <c r="BH213" s="37">
        <v>369.09899999999999</v>
      </c>
      <c r="BI213" s="37">
        <v>370.16</v>
      </c>
      <c r="BJ213" s="37">
        <v>371.16899999999998</v>
      </c>
      <c r="BK213" s="37">
        <v>372.13900000000001</v>
      </c>
      <c r="BL213" s="37">
        <v>373.07</v>
      </c>
      <c r="BM213" s="37">
        <v>373.959</v>
      </c>
      <c r="BN213" s="37">
        <v>374.82499999999999</v>
      </c>
    </row>
    <row r="214" spans="1:66" x14ac:dyDescent="0.2">
      <c r="A214" s="2" t="s">
        <v>657</v>
      </c>
      <c r="B214" s="2" t="s">
        <v>658</v>
      </c>
      <c r="C214" s="11" t="s">
        <v>79</v>
      </c>
      <c r="D214" s="12" t="s">
        <v>697</v>
      </c>
      <c r="E214" s="35">
        <v>1</v>
      </c>
      <c r="F214" s="36">
        <v>3.1040000000000001</v>
      </c>
      <c r="G214" s="36">
        <v>3.1219999999999999</v>
      </c>
      <c r="H214" s="36">
        <v>3.14</v>
      </c>
      <c r="I214" s="36">
        <v>3.1560000000000001</v>
      </c>
      <c r="J214" s="36">
        <v>3.173</v>
      </c>
      <c r="K214" s="36">
        <v>3.1890000000000001</v>
      </c>
      <c r="L214" s="36">
        <v>3.206</v>
      </c>
      <c r="M214" s="36">
        <v>3.2229999999999999</v>
      </c>
      <c r="N214" s="36">
        <v>3.2389999999999999</v>
      </c>
      <c r="O214" s="36">
        <v>3.254</v>
      </c>
      <c r="P214" s="36">
        <v>3.266</v>
      </c>
      <c r="Q214" s="36">
        <v>3.274</v>
      </c>
      <c r="R214" s="36">
        <v>3.2789999999999999</v>
      </c>
      <c r="S214" s="36">
        <v>3.2810000000000001</v>
      </c>
      <c r="T214" s="36">
        <v>3.2829999999999999</v>
      </c>
      <c r="U214" s="36">
        <v>3.286</v>
      </c>
      <c r="V214" s="36">
        <v>3.29</v>
      </c>
      <c r="W214" s="36">
        <v>3.2949999999999999</v>
      </c>
      <c r="X214" s="36">
        <v>3.302</v>
      </c>
      <c r="Y214" s="36">
        <v>3.31</v>
      </c>
      <c r="Z214" s="36">
        <v>3.319</v>
      </c>
      <c r="AA214" s="36">
        <v>3.327</v>
      </c>
      <c r="AB214" s="36">
        <v>3.335</v>
      </c>
      <c r="AC214" s="36">
        <v>3.3450000000000002</v>
      </c>
      <c r="AD214" s="36">
        <v>3.3559999999999999</v>
      </c>
      <c r="AE214" s="36">
        <v>3.3679999999999999</v>
      </c>
      <c r="AF214" s="36">
        <v>3.379</v>
      </c>
      <c r="AG214" s="36">
        <v>3.3879999999999999</v>
      </c>
      <c r="AH214" s="36">
        <v>3.395</v>
      </c>
      <c r="AI214" s="36">
        <v>3.3969999999999998</v>
      </c>
      <c r="AJ214" s="36">
        <v>3.399</v>
      </c>
      <c r="AK214" s="36">
        <v>3.3969999999999998</v>
      </c>
      <c r="AL214" s="36">
        <v>3.391</v>
      </c>
      <c r="AM214" s="36">
        <v>3.3879999999999999</v>
      </c>
      <c r="AN214" s="36">
        <v>3.387</v>
      </c>
      <c r="AO214" s="36">
        <v>3.3849999999999998</v>
      </c>
      <c r="AP214" s="37">
        <v>3.383</v>
      </c>
      <c r="AQ214" s="37">
        <v>3.38</v>
      </c>
      <c r="AR214" s="37">
        <v>3.3780000000000001</v>
      </c>
      <c r="AS214" s="37">
        <v>3.375</v>
      </c>
      <c r="AT214" s="37">
        <v>3.3730000000000002</v>
      </c>
      <c r="AU214" s="37">
        <v>3.37</v>
      </c>
      <c r="AV214" s="37">
        <v>3.3679999999999999</v>
      </c>
      <c r="AW214" s="37">
        <v>3.3650000000000002</v>
      </c>
      <c r="AX214" s="37">
        <v>3.3620000000000001</v>
      </c>
      <c r="AY214" s="37">
        <v>3.3580000000000001</v>
      </c>
      <c r="AZ214" s="37">
        <v>3.355</v>
      </c>
      <c r="BA214" s="37">
        <v>3.351</v>
      </c>
      <c r="BB214" s="37">
        <v>3.3460000000000001</v>
      </c>
      <c r="BC214" s="37">
        <v>3.3420000000000001</v>
      </c>
      <c r="BD214" s="37">
        <v>3.3359999999999999</v>
      </c>
      <c r="BE214" s="37">
        <v>3.331</v>
      </c>
      <c r="BF214" s="37">
        <v>3.3250000000000002</v>
      </c>
      <c r="BG214" s="37">
        <v>3.3180000000000001</v>
      </c>
      <c r="BH214" s="37">
        <v>3.3109999999999999</v>
      </c>
      <c r="BI214" s="37">
        <v>3.3029999999999999</v>
      </c>
      <c r="BJ214" s="37">
        <v>3.294</v>
      </c>
      <c r="BK214" s="37">
        <v>3.2850000000000001</v>
      </c>
      <c r="BL214" s="37">
        <v>3.2759999999999998</v>
      </c>
      <c r="BM214" s="37">
        <v>3.2650000000000001</v>
      </c>
      <c r="BN214" s="37">
        <v>3.254</v>
      </c>
    </row>
    <row r="215" spans="1:66" x14ac:dyDescent="0.2">
      <c r="A215" s="2" t="s">
        <v>659</v>
      </c>
      <c r="B215" s="2" t="s">
        <v>660</v>
      </c>
      <c r="C215" s="11" t="s">
        <v>210</v>
      </c>
      <c r="D215" s="12" t="s">
        <v>697</v>
      </c>
      <c r="E215" s="35">
        <v>1</v>
      </c>
      <c r="F215" s="36">
        <v>20.465</v>
      </c>
      <c r="G215" s="36">
        <v>20.963000000000001</v>
      </c>
      <c r="H215" s="36">
        <v>21.484999999999999</v>
      </c>
      <c r="I215" s="36">
        <v>21.988</v>
      </c>
      <c r="J215" s="36">
        <v>22.463000000000001</v>
      </c>
      <c r="K215" s="36">
        <v>22.917999999999999</v>
      </c>
      <c r="L215" s="36">
        <v>23.352</v>
      </c>
      <c r="M215" s="36">
        <v>23.759</v>
      </c>
      <c r="N215" s="36">
        <v>24.135000000000002</v>
      </c>
      <c r="O215" s="36">
        <v>24.475999999999999</v>
      </c>
      <c r="P215" s="36">
        <v>24.786999999999999</v>
      </c>
      <c r="Q215" s="36">
        <v>25.09</v>
      </c>
      <c r="R215" s="36">
        <v>25.4</v>
      </c>
      <c r="S215" s="36">
        <v>25.710999999999999</v>
      </c>
      <c r="T215" s="36">
        <v>26.029</v>
      </c>
      <c r="U215" s="36">
        <v>26.356999999999999</v>
      </c>
      <c r="V215" s="36">
        <v>26.699000000000002</v>
      </c>
      <c r="W215" s="36">
        <v>27.076000000000001</v>
      </c>
      <c r="X215" s="36">
        <v>27.495000000000001</v>
      </c>
      <c r="Y215" s="36">
        <v>27.939</v>
      </c>
      <c r="Z215" s="36">
        <v>28.385999999999999</v>
      </c>
      <c r="AA215" s="36">
        <v>28.823</v>
      </c>
      <c r="AB215" s="36">
        <v>29.262</v>
      </c>
      <c r="AC215" s="36">
        <v>29.724</v>
      </c>
      <c r="AD215" s="36">
        <v>30.222999999999999</v>
      </c>
      <c r="AE215" s="36">
        <v>30.748999999999999</v>
      </c>
      <c r="AF215" s="36">
        <v>31.285</v>
      </c>
      <c r="AG215" s="36">
        <v>31.818999999999999</v>
      </c>
      <c r="AH215" s="36">
        <v>32.372999999999998</v>
      </c>
      <c r="AI215" s="36">
        <v>32.965000000000003</v>
      </c>
      <c r="AJ215" s="36">
        <v>33.585999999999999</v>
      </c>
      <c r="AK215" s="36">
        <v>34.244</v>
      </c>
      <c r="AL215" s="36">
        <v>34.939</v>
      </c>
      <c r="AM215" s="36">
        <v>35.652000000000001</v>
      </c>
      <c r="AN215" s="36">
        <v>36.362000000000002</v>
      </c>
      <c r="AO215" s="36">
        <v>37.052999999999997</v>
      </c>
      <c r="AP215" s="37">
        <v>37.723999999999997</v>
      </c>
      <c r="AQ215" s="37">
        <v>38.375999999999998</v>
      </c>
      <c r="AR215" s="37">
        <v>39.011000000000003</v>
      </c>
      <c r="AS215" s="37">
        <v>39.634</v>
      </c>
      <c r="AT215" s="37">
        <v>40.247999999999998</v>
      </c>
      <c r="AU215" s="37">
        <v>40.85</v>
      </c>
      <c r="AV215" s="37">
        <v>41.442</v>
      </c>
      <c r="AW215" s="37">
        <v>42.026000000000003</v>
      </c>
      <c r="AX215" s="37">
        <v>42.603000000000002</v>
      </c>
      <c r="AY215" s="37">
        <v>43.174999999999997</v>
      </c>
      <c r="AZ215" s="37">
        <v>43.744</v>
      </c>
      <c r="BA215" s="37">
        <v>44.314</v>
      </c>
      <c r="BB215" s="37">
        <v>44.886000000000003</v>
      </c>
      <c r="BC215" s="37">
        <v>45.462000000000003</v>
      </c>
      <c r="BD215" s="37">
        <v>46.043999999999997</v>
      </c>
      <c r="BE215" s="37">
        <v>46.637</v>
      </c>
      <c r="BF215" s="37">
        <v>47.24</v>
      </c>
      <c r="BG215" s="37">
        <v>47.851999999999997</v>
      </c>
      <c r="BH215" s="37">
        <v>48.470999999999997</v>
      </c>
      <c r="BI215" s="37">
        <v>49.095999999999997</v>
      </c>
      <c r="BJ215" s="37">
        <v>49.723999999999997</v>
      </c>
      <c r="BK215" s="37">
        <v>50.351999999999997</v>
      </c>
      <c r="BL215" s="37">
        <v>50.975999999999999</v>
      </c>
      <c r="BM215" s="37">
        <v>51.595999999999997</v>
      </c>
      <c r="BN215" s="37">
        <v>52.210999999999999</v>
      </c>
    </row>
    <row r="216" spans="1:66" x14ac:dyDescent="0.2">
      <c r="A216" s="2" t="s">
        <v>661</v>
      </c>
      <c r="B216" s="2" t="s">
        <v>662</v>
      </c>
      <c r="C216" s="11" t="s">
        <v>210</v>
      </c>
      <c r="D216" s="12" t="s">
        <v>697</v>
      </c>
      <c r="E216" s="35">
        <v>1</v>
      </c>
      <c r="F216" s="36">
        <v>0.14799999999999999</v>
      </c>
      <c r="G216" s="36">
        <v>0.152</v>
      </c>
      <c r="H216" s="36">
        <v>0.156</v>
      </c>
      <c r="I216" s="36">
        <v>0.159</v>
      </c>
      <c r="J216" s="36">
        <v>0.16300000000000001</v>
      </c>
      <c r="K216" s="36">
        <v>0.16700000000000001</v>
      </c>
      <c r="L216" s="36">
        <v>0.17100000000000001</v>
      </c>
      <c r="M216" s="36">
        <v>0.17499999999999999</v>
      </c>
      <c r="N216" s="36">
        <v>0.17799999999999999</v>
      </c>
      <c r="O216" s="36">
        <v>0.182</v>
      </c>
      <c r="P216" s="36">
        <v>0.186</v>
      </c>
      <c r="Q216" s="36">
        <v>0.191</v>
      </c>
      <c r="R216" s="36">
        <v>0.19600000000000001</v>
      </c>
      <c r="S216" s="36">
        <v>0.20100000000000001</v>
      </c>
      <c r="T216" s="36">
        <v>0.20599999999999999</v>
      </c>
      <c r="U216" s="36">
        <v>0.21099999999999999</v>
      </c>
      <c r="V216" s="36">
        <v>0.216</v>
      </c>
      <c r="W216" s="36">
        <v>0.221</v>
      </c>
      <c r="X216" s="36">
        <v>0.22700000000000001</v>
      </c>
      <c r="Y216" s="36">
        <v>0.23300000000000001</v>
      </c>
      <c r="Z216" s="36">
        <v>0.23799999999999999</v>
      </c>
      <c r="AA216" s="36">
        <v>0.24299999999999999</v>
      </c>
      <c r="AB216" s="36">
        <v>0.249</v>
      </c>
      <c r="AC216" s="36">
        <v>0.254</v>
      </c>
      <c r="AD216" s="36">
        <v>0.26</v>
      </c>
      <c r="AE216" s="36">
        <v>0.26600000000000001</v>
      </c>
      <c r="AF216" s="36">
        <v>0.27200000000000002</v>
      </c>
      <c r="AG216" s="36">
        <v>0.27900000000000003</v>
      </c>
      <c r="AH216" s="36">
        <v>0.28499999999999998</v>
      </c>
      <c r="AI216" s="36">
        <v>0.29199999999999998</v>
      </c>
      <c r="AJ216" s="36">
        <v>0.29899999999999999</v>
      </c>
      <c r="AK216" s="36">
        <v>0.30599999999999999</v>
      </c>
      <c r="AL216" s="36">
        <v>0.313</v>
      </c>
      <c r="AM216" s="36">
        <v>0.32</v>
      </c>
      <c r="AN216" s="36">
        <v>0.32800000000000001</v>
      </c>
      <c r="AO216" s="36">
        <v>0.33500000000000002</v>
      </c>
      <c r="AP216" s="37">
        <v>0.34300000000000003</v>
      </c>
      <c r="AQ216" s="37">
        <v>0.35</v>
      </c>
      <c r="AR216" s="37">
        <v>0.35699999999999998</v>
      </c>
      <c r="AS216" s="37">
        <v>0.36499999999999999</v>
      </c>
      <c r="AT216" s="37">
        <v>0.372</v>
      </c>
      <c r="AU216" s="37">
        <v>0.38</v>
      </c>
      <c r="AV216" s="37">
        <v>0.38800000000000001</v>
      </c>
      <c r="AW216" s="37">
        <v>0.39500000000000002</v>
      </c>
      <c r="AX216" s="37">
        <v>0.40300000000000002</v>
      </c>
      <c r="AY216" s="37">
        <v>0.41099999999999998</v>
      </c>
      <c r="AZ216" s="37">
        <v>0.41899999999999998</v>
      </c>
      <c r="BA216" s="37">
        <v>0.42699999999999999</v>
      </c>
      <c r="BB216" s="37">
        <v>0.435</v>
      </c>
      <c r="BC216" s="37">
        <v>0.443</v>
      </c>
      <c r="BD216" s="37">
        <v>0.45200000000000001</v>
      </c>
      <c r="BE216" s="37">
        <v>0.46</v>
      </c>
      <c r="BF216" s="37">
        <v>0.46800000000000003</v>
      </c>
      <c r="BG216" s="37">
        <v>0.47599999999999998</v>
      </c>
      <c r="BH216" s="37">
        <v>0.48499999999999999</v>
      </c>
      <c r="BI216" s="37">
        <v>0.49299999999999999</v>
      </c>
      <c r="BJ216" s="37">
        <v>0.501</v>
      </c>
      <c r="BK216" s="37">
        <v>0.51</v>
      </c>
      <c r="BL216" s="37">
        <v>0.51800000000000002</v>
      </c>
      <c r="BM216" s="37">
        <v>0.52600000000000002</v>
      </c>
      <c r="BN216" s="37">
        <v>0.53400000000000003</v>
      </c>
    </row>
    <row r="217" spans="1:66" x14ac:dyDescent="0.2">
      <c r="A217" s="2" t="s">
        <v>663</v>
      </c>
      <c r="B217" s="2" t="s">
        <v>664</v>
      </c>
      <c r="C217" s="11" t="s">
        <v>210</v>
      </c>
      <c r="D217" s="12" t="s">
        <v>697</v>
      </c>
      <c r="E217" s="35">
        <v>1</v>
      </c>
      <c r="F217" s="36">
        <v>19.827000000000002</v>
      </c>
      <c r="G217" s="36">
        <v>20.305</v>
      </c>
      <c r="H217" s="36">
        <v>20.780999999999999</v>
      </c>
      <c r="I217" s="36">
        <v>21.254999999999999</v>
      </c>
      <c r="J217" s="36">
        <v>21.725000000000001</v>
      </c>
      <c r="K217" s="36">
        <v>22.193999999999999</v>
      </c>
      <c r="L217" s="36">
        <v>22.661999999999999</v>
      </c>
      <c r="M217" s="36">
        <v>23.132000000000001</v>
      </c>
      <c r="N217" s="36">
        <v>23.600999999999999</v>
      </c>
      <c r="O217" s="36">
        <v>24.067</v>
      </c>
      <c r="P217" s="36">
        <v>24.527000000000001</v>
      </c>
      <c r="Q217" s="36">
        <v>24.98</v>
      </c>
      <c r="R217" s="36">
        <v>25.436</v>
      </c>
      <c r="S217" s="36">
        <v>25.893000000000001</v>
      </c>
      <c r="T217" s="36">
        <v>26.341000000000001</v>
      </c>
      <c r="U217" s="36">
        <v>26.786000000000001</v>
      </c>
      <c r="V217" s="36">
        <v>27.225000000000001</v>
      </c>
      <c r="W217" s="36">
        <v>27.649000000000001</v>
      </c>
      <c r="X217" s="36">
        <v>28.053999999999998</v>
      </c>
      <c r="Y217" s="36">
        <v>28.437999999999999</v>
      </c>
      <c r="Z217" s="36">
        <v>28.812999999999999</v>
      </c>
      <c r="AA217" s="36">
        <v>29.184999999999999</v>
      </c>
      <c r="AB217" s="36">
        <v>29.553999999999998</v>
      </c>
      <c r="AC217" s="36">
        <v>29.911999999999999</v>
      </c>
      <c r="AD217" s="36">
        <v>30.254000000000001</v>
      </c>
      <c r="AE217" s="36">
        <v>30.574000000000002</v>
      </c>
      <c r="AF217" s="36">
        <v>30.765999999999998</v>
      </c>
      <c r="AG217" s="36">
        <v>30.565000000000001</v>
      </c>
      <c r="AH217" s="36">
        <v>29.808</v>
      </c>
      <c r="AI217" s="36">
        <v>28.937999999999999</v>
      </c>
      <c r="AJ217" s="36">
        <v>28.443999999999999</v>
      </c>
      <c r="AK217" s="36">
        <v>28.238</v>
      </c>
      <c r="AL217" s="36">
        <v>28.213000000000001</v>
      </c>
      <c r="AM217" s="36">
        <v>28.300999999999998</v>
      </c>
      <c r="AN217" s="36">
        <v>28.405999999999999</v>
      </c>
      <c r="AO217" s="36">
        <v>28.516999999999999</v>
      </c>
      <c r="AP217" s="37">
        <v>28.634</v>
      </c>
      <c r="AQ217" s="37">
        <v>28.759</v>
      </c>
      <c r="AR217" s="37">
        <v>28.885000000000002</v>
      </c>
      <c r="AS217" s="37">
        <v>29.013999999999999</v>
      </c>
      <c r="AT217" s="37">
        <v>29.152000000000001</v>
      </c>
      <c r="AU217" s="37">
        <v>29.295999999999999</v>
      </c>
      <c r="AV217" s="37">
        <v>29.443000000000001</v>
      </c>
      <c r="AW217" s="37">
        <v>29.587</v>
      </c>
      <c r="AX217" s="37">
        <v>29.734999999999999</v>
      </c>
      <c r="AY217" s="37">
        <v>29.882999999999999</v>
      </c>
      <c r="AZ217" s="37">
        <v>30.02</v>
      </c>
      <c r="BA217" s="37">
        <v>30.146999999999998</v>
      </c>
      <c r="BB217" s="37">
        <v>30.268000000000001</v>
      </c>
      <c r="BC217" s="37">
        <v>30.385999999999999</v>
      </c>
      <c r="BD217" s="37">
        <v>30.495000000000001</v>
      </c>
      <c r="BE217" s="37">
        <v>30.59</v>
      </c>
      <c r="BF217" s="37">
        <v>30.675000000000001</v>
      </c>
      <c r="BG217" s="37">
        <v>30.75</v>
      </c>
      <c r="BH217" s="37">
        <v>30.814</v>
      </c>
      <c r="BI217" s="37">
        <v>30.870999999999999</v>
      </c>
      <c r="BJ217" s="37">
        <v>30.922999999999998</v>
      </c>
      <c r="BK217" s="37">
        <v>30.974</v>
      </c>
      <c r="BL217" s="37">
        <v>31.021999999999998</v>
      </c>
      <c r="BM217" s="37">
        <v>31.06</v>
      </c>
      <c r="BN217" s="37">
        <v>31.094999999999999</v>
      </c>
    </row>
    <row r="218" spans="1:66" x14ac:dyDescent="0.2">
      <c r="A218" s="2" t="s">
        <v>666</v>
      </c>
      <c r="B218" s="2" t="s">
        <v>667</v>
      </c>
      <c r="C218" s="11" t="s">
        <v>82</v>
      </c>
      <c r="D218" s="12" t="s">
        <v>697</v>
      </c>
      <c r="E218" s="35">
        <v>1</v>
      </c>
      <c r="F218" s="36">
        <v>65.504999999999995</v>
      </c>
      <c r="G218" s="36">
        <v>66.891999999999996</v>
      </c>
      <c r="H218" s="36">
        <v>68.260000000000005</v>
      </c>
      <c r="I218" s="36">
        <v>69.585999999999999</v>
      </c>
      <c r="J218" s="36">
        <v>70.853999999999999</v>
      </c>
      <c r="K218" s="36">
        <v>72.05</v>
      </c>
      <c r="L218" s="36">
        <v>73.156000000000006</v>
      </c>
      <c r="M218" s="36">
        <v>74.227000000000004</v>
      </c>
      <c r="N218" s="36">
        <v>75.3</v>
      </c>
      <c r="O218" s="36">
        <v>76.287000000000006</v>
      </c>
      <c r="P218" s="36">
        <v>77.153999999999996</v>
      </c>
      <c r="Q218" s="36">
        <v>77.968999999999994</v>
      </c>
      <c r="R218" s="36">
        <v>78.772000000000006</v>
      </c>
      <c r="S218" s="36">
        <v>79.563999999999993</v>
      </c>
      <c r="T218" s="36">
        <v>80.338999999999999</v>
      </c>
      <c r="U218" s="36">
        <v>81.087999999999994</v>
      </c>
      <c r="V218" s="36">
        <v>82.168000000000006</v>
      </c>
      <c r="W218" s="36">
        <v>83.632999999999996</v>
      </c>
      <c r="X218" s="36">
        <v>85.176000000000002</v>
      </c>
      <c r="Y218" s="36">
        <v>86.46</v>
      </c>
      <c r="Z218" s="36">
        <v>87.454999999999998</v>
      </c>
      <c r="AA218" s="36">
        <v>88.468000000000004</v>
      </c>
      <c r="AB218" s="36">
        <v>89.51</v>
      </c>
      <c r="AC218" s="36">
        <v>90.572999999999993</v>
      </c>
      <c r="AD218" s="36">
        <v>91.68</v>
      </c>
      <c r="AE218" s="36">
        <v>92.822999999999993</v>
      </c>
      <c r="AF218" s="36">
        <v>94</v>
      </c>
      <c r="AG218" s="36">
        <v>95.177000000000007</v>
      </c>
      <c r="AH218" s="36">
        <v>96.236999999999995</v>
      </c>
      <c r="AI218" s="36">
        <v>97.174000000000007</v>
      </c>
      <c r="AJ218" s="36">
        <v>98.078999999999994</v>
      </c>
      <c r="AK218" s="36">
        <v>98.935000000000002</v>
      </c>
      <c r="AL218" s="36">
        <v>99.680999999999997</v>
      </c>
      <c r="AM218" s="36">
        <v>100.352</v>
      </c>
      <c r="AN218" s="36">
        <v>100.988</v>
      </c>
      <c r="AO218" s="36">
        <v>101.599</v>
      </c>
      <c r="AP218" s="37">
        <v>102.17700000000001</v>
      </c>
      <c r="AQ218" s="37">
        <v>102.727</v>
      </c>
      <c r="AR218" s="37">
        <v>103.256</v>
      </c>
      <c r="AS218" s="37">
        <v>103.761</v>
      </c>
      <c r="AT218" s="37">
        <v>104.255</v>
      </c>
      <c r="AU218" s="37">
        <v>104.738</v>
      </c>
      <c r="AV218" s="37">
        <v>105.20399999999999</v>
      </c>
      <c r="AW218" s="37">
        <v>105.65600000000001</v>
      </c>
      <c r="AX218" s="37">
        <v>106.098</v>
      </c>
      <c r="AY218" s="37">
        <v>106.53100000000001</v>
      </c>
      <c r="AZ218" s="37">
        <v>106.946</v>
      </c>
      <c r="BA218" s="37">
        <v>107.346</v>
      </c>
      <c r="BB218" s="37">
        <v>107.732</v>
      </c>
      <c r="BC218" s="37">
        <v>108.098</v>
      </c>
      <c r="BD218" s="37">
        <v>108.438</v>
      </c>
      <c r="BE218" s="37">
        <v>108.752</v>
      </c>
      <c r="BF218" s="37">
        <v>109.04</v>
      </c>
      <c r="BG218" s="37">
        <v>109.29300000000001</v>
      </c>
      <c r="BH218" s="37">
        <v>109.506</v>
      </c>
      <c r="BI218" s="37">
        <v>109.685</v>
      </c>
      <c r="BJ218" s="37">
        <v>109.828</v>
      </c>
      <c r="BK218" s="37">
        <v>109.93</v>
      </c>
      <c r="BL218" s="37">
        <v>109.994</v>
      </c>
      <c r="BM218" s="37">
        <v>110.018</v>
      </c>
      <c r="BN218" s="37">
        <v>110.009</v>
      </c>
    </row>
    <row r="219" spans="1:66" x14ac:dyDescent="0.2">
      <c r="A219" s="2" t="s">
        <v>668</v>
      </c>
      <c r="B219" s="2" t="s">
        <v>669</v>
      </c>
      <c r="C219" s="11" t="s">
        <v>79</v>
      </c>
      <c r="D219" s="12" t="s">
        <v>697</v>
      </c>
      <c r="E219" s="38">
        <v>1.23358510075649</v>
      </c>
      <c r="F219" s="36">
        <v>0.104</v>
      </c>
      <c r="G219" s="36">
        <v>0.105</v>
      </c>
      <c r="H219" s="36">
        <v>0.106</v>
      </c>
      <c r="I219" s="36">
        <v>0.107</v>
      </c>
      <c r="J219" s="36">
        <v>0.107</v>
      </c>
      <c r="K219" s="36">
        <v>0.108</v>
      </c>
      <c r="L219" s="36">
        <v>0.108</v>
      </c>
      <c r="M219" s="36">
        <v>0.108</v>
      </c>
      <c r="N219" s="36">
        <v>0.109</v>
      </c>
      <c r="O219" s="36">
        <v>0.109</v>
      </c>
      <c r="P219" s="36">
        <v>0.109</v>
      </c>
      <c r="Q219" s="36">
        <v>0.109</v>
      </c>
      <c r="R219" s="36">
        <v>0.109</v>
      </c>
      <c r="S219" s="36">
        <v>0.109</v>
      </c>
      <c r="T219" s="36">
        <v>0.108</v>
      </c>
      <c r="U219" s="36">
        <v>0.108</v>
      </c>
      <c r="V219" s="36">
        <v>0.108</v>
      </c>
      <c r="W219" s="36">
        <v>0.108</v>
      </c>
      <c r="X219" s="36">
        <v>0.108</v>
      </c>
      <c r="Y219" s="36">
        <v>0.108</v>
      </c>
      <c r="Z219" s="36">
        <v>0.108</v>
      </c>
      <c r="AA219" s="36">
        <v>0.108</v>
      </c>
      <c r="AB219" s="36">
        <v>0.108</v>
      </c>
      <c r="AC219" s="36">
        <v>0.108</v>
      </c>
      <c r="AD219" s="36">
        <v>0.108</v>
      </c>
      <c r="AE219" s="36">
        <v>0.108</v>
      </c>
      <c r="AF219" s="36">
        <v>0.108</v>
      </c>
      <c r="AG219" s="36">
        <v>0.107</v>
      </c>
      <c r="AH219" s="36">
        <v>0.107</v>
      </c>
      <c r="AI219" s="36">
        <v>0.107</v>
      </c>
      <c r="AJ219" s="36">
        <v>0.106</v>
      </c>
      <c r="AK219" s="36">
        <v>0.106</v>
      </c>
      <c r="AL219" s="36">
        <v>0.105</v>
      </c>
      <c r="AM219" s="36">
        <v>0.105</v>
      </c>
      <c r="AN219" s="36">
        <v>0.104</v>
      </c>
      <c r="AO219" s="36">
        <v>0.104</v>
      </c>
      <c r="AP219" s="37">
        <v>0.10299999999999999</v>
      </c>
      <c r="AQ219" s="37">
        <v>0.10199999999999999</v>
      </c>
      <c r="AR219" s="37">
        <v>0.10100000000000001</v>
      </c>
      <c r="AS219" s="37">
        <v>0.1</v>
      </c>
      <c r="AT219" s="37">
        <v>0.1</v>
      </c>
      <c r="AU219" s="37">
        <v>9.9000000000000005E-2</v>
      </c>
      <c r="AV219" s="37">
        <v>9.8000000000000004E-2</v>
      </c>
      <c r="AW219" s="37">
        <v>9.8000000000000004E-2</v>
      </c>
      <c r="AX219" s="37">
        <v>9.7000000000000003E-2</v>
      </c>
      <c r="AY219" s="37">
        <v>9.6000000000000002E-2</v>
      </c>
      <c r="AZ219" s="37">
        <v>9.6000000000000002E-2</v>
      </c>
      <c r="BA219" s="37">
        <v>9.5000000000000001E-2</v>
      </c>
      <c r="BB219" s="37">
        <v>9.4E-2</v>
      </c>
      <c r="BC219" s="37">
        <v>9.4E-2</v>
      </c>
      <c r="BD219" s="37">
        <v>9.2999999999999999E-2</v>
      </c>
      <c r="BE219" s="37">
        <v>9.2999999999999999E-2</v>
      </c>
      <c r="BF219" s="37">
        <v>9.1999999999999998E-2</v>
      </c>
      <c r="BG219" s="37">
        <v>9.0999999999999998E-2</v>
      </c>
      <c r="BH219" s="37">
        <v>9.0999999999999998E-2</v>
      </c>
      <c r="BI219" s="37">
        <v>0.09</v>
      </c>
      <c r="BJ219" s="37">
        <v>0.09</v>
      </c>
      <c r="BK219" s="37">
        <v>8.8999999999999996E-2</v>
      </c>
      <c r="BL219" s="37">
        <v>8.8999999999999996E-2</v>
      </c>
      <c r="BM219" s="37">
        <v>8.7999999999999995E-2</v>
      </c>
      <c r="BN219" s="37">
        <v>8.7999999999999995E-2</v>
      </c>
    </row>
    <row r="220" spans="1:66" x14ac:dyDescent="0.2">
      <c r="A220" s="2" t="s">
        <v>670</v>
      </c>
      <c r="B220" s="2" t="s">
        <v>671</v>
      </c>
      <c r="C220" s="11" t="s">
        <v>210</v>
      </c>
      <c r="D220" s="12" t="s">
        <v>697</v>
      </c>
      <c r="E220" s="35">
        <v>0.968508251808753</v>
      </c>
      <c r="F220" s="36">
        <v>1.978</v>
      </c>
      <c r="G220" s="36">
        <v>2.069</v>
      </c>
      <c r="H220" s="36">
        <v>2.1640000000000001</v>
      </c>
      <c r="I220" s="36">
        <v>2.2629999999999999</v>
      </c>
      <c r="J220" s="36">
        <v>2.3660000000000001</v>
      </c>
      <c r="K220" s="36">
        <v>2.4750000000000001</v>
      </c>
      <c r="L220" s="36">
        <v>2.5880000000000001</v>
      </c>
      <c r="M220" s="36">
        <v>2.7069999999999999</v>
      </c>
      <c r="N220" s="36">
        <v>2.7770000000000001</v>
      </c>
      <c r="O220" s="36">
        <v>2.8479999999999999</v>
      </c>
      <c r="P220" s="36">
        <v>2.9220000000000002</v>
      </c>
      <c r="Q220" s="36">
        <v>2.9980000000000002</v>
      </c>
      <c r="R220" s="36">
        <v>3.0750000000000002</v>
      </c>
      <c r="S220" s="36">
        <v>3.1549999999999998</v>
      </c>
      <c r="T220" s="36">
        <v>3.2370000000000001</v>
      </c>
      <c r="U220" s="36">
        <v>3.32</v>
      </c>
      <c r="V220" s="36">
        <v>3.4060000000000001</v>
      </c>
      <c r="W220" s="36">
        <v>3.4940000000000002</v>
      </c>
      <c r="X220" s="36">
        <v>3.5920000000000001</v>
      </c>
      <c r="Y220" s="36">
        <v>3.6890000000000001</v>
      </c>
      <c r="Z220" s="36">
        <v>3.786</v>
      </c>
      <c r="AA220" s="36">
        <v>3.883</v>
      </c>
      <c r="AB220" s="36">
        <v>3.98</v>
      </c>
      <c r="AC220" s="36">
        <v>4.077</v>
      </c>
      <c r="AD220" s="36">
        <v>4.173</v>
      </c>
      <c r="AE220" s="36">
        <v>4.2699999999999996</v>
      </c>
      <c r="AF220" s="36">
        <v>4.367</v>
      </c>
      <c r="AG220" s="36">
        <v>4.4550000000000001</v>
      </c>
      <c r="AH220" s="36">
        <v>4.569</v>
      </c>
      <c r="AI220" s="36">
        <v>4.6849999999999996</v>
      </c>
      <c r="AJ220" s="36">
        <v>4.8029999999999999</v>
      </c>
      <c r="AK220" s="36">
        <v>4.923</v>
      </c>
      <c r="AL220" s="36">
        <v>5.0439999999999996</v>
      </c>
      <c r="AM220" s="36">
        <v>5.1660000000000004</v>
      </c>
      <c r="AN220" s="36">
        <v>5.2889999999999997</v>
      </c>
      <c r="AO220" s="36">
        <v>5.4139999999999997</v>
      </c>
      <c r="AP220" s="37">
        <v>5.5140000000000002</v>
      </c>
      <c r="AQ220" s="37">
        <v>5.617</v>
      </c>
      <c r="AR220" s="37">
        <v>5.7210000000000001</v>
      </c>
      <c r="AS220" s="37">
        <v>5.8239999999999998</v>
      </c>
      <c r="AT220" s="37">
        <v>5.93</v>
      </c>
      <c r="AU220" s="37">
        <v>6.0359999999999996</v>
      </c>
      <c r="AV220" s="37">
        <v>6.1440000000000001</v>
      </c>
      <c r="AW220" s="37">
        <v>6.2549999999999999</v>
      </c>
      <c r="AX220" s="37">
        <v>6.3680000000000003</v>
      </c>
      <c r="AY220" s="37">
        <v>6.4820000000000002</v>
      </c>
      <c r="AZ220" s="37">
        <v>6.5970000000000004</v>
      </c>
      <c r="BA220" s="37">
        <v>6.7110000000000003</v>
      </c>
      <c r="BB220" s="37">
        <v>6.8259999999999996</v>
      </c>
      <c r="BC220" s="37">
        <v>6.9429999999999996</v>
      </c>
      <c r="BD220" s="37">
        <v>7.0620000000000003</v>
      </c>
      <c r="BE220" s="37">
        <v>7.181</v>
      </c>
      <c r="BF220" s="37">
        <v>7.2990000000000004</v>
      </c>
      <c r="BG220" s="37">
        <v>7.4160000000000004</v>
      </c>
      <c r="BH220" s="37">
        <v>7.532</v>
      </c>
      <c r="BI220" s="37">
        <v>7.6459999999999999</v>
      </c>
      <c r="BJ220" s="37">
        <v>7.7590000000000003</v>
      </c>
      <c r="BK220" s="37">
        <v>7.8680000000000003</v>
      </c>
      <c r="BL220" s="37">
        <v>7.9749999999999996</v>
      </c>
      <c r="BM220" s="37">
        <v>8.08</v>
      </c>
      <c r="BN220" s="37">
        <v>8.1859999999999999</v>
      </c>
    </row>
    <row r="221" spans="1:66" x14ac:dyDescent="0.2">
      <c r="A221" s="2" t="s">
        <v>672</v>
      </c>
      <c r="B221" s="2" t="s">
        <v>673</v>
      </c>
      <c r="C221" s="11" t="s">
        <v>75</v>
      </c>
      <c r="D221" s="12" t="s">
        <v>697</v>
      </c>
      <c r="E221" s="35">
        <v>1.0000000119692001</v>
      </c>
      <c r="F221" s="36">
        <v>13.888</v>
      </c>
      <c r="G221" s="36">
        <v>14.43</v>
      </c>
      <c r="H221" s="36">
        <v>14.989000000000001</v>
      </c>
      <c r="I221" s="36">
        <v>15.564</v>
      </c>
      <c r="J221" s="36">
        <v>16.149000000000001</v>
      </c>
      <c r="K221" s="36">
        <v>16.739999999999998</v>
      </c>
      <c r="L221" s="36">
        <v>17.312999999999999</v>
      </c>
      <c r="M221" s="36">
        <v>17.873999999999999</v>
      </c>
      <c r="N221" s="36">
        <v>18.446000000000002</v>
      </c>
      <c r="O221" s="36">
        <v>19.029</v>
      </c>
      <c r="P221" s="36">
        <v>19.623999999999999</v>
      </c>
      <c r="Q221" s="36">
        <v>20.225999999999999</v>
      </c>
      <c r="R221" s="36">
        <v>20.835000000000001</v>
      </c>
      <c r="S221" s="36">
        <v>21.456</v>
      </c>
      <c r="T221" s="36">
        <v>22.094999999999999</v>
      </c>
      <c r="U221" s="36">
        <v>22.79</v>
      </c>
      <c r="V221" s="36">
        <v>23.542999999999999</v>
      </c>
      <c r="W221" s="36">
        <v>24.318000000000001</v>
      </c>
      <c r="X221" s="36">
        <v>25.111999999999998</v>
      </c>
      <c r="Y221" s="36">
        <v>25.928000000000001</v>
      </c>
      <c r="Z221" s="36">
        <v>26.754000000000001</v>
      </c>
      <c r="AA221" s="36">
        <v>27.582999999999998</v>
      </c>
      <c r="AB221" s="36">
        <v>28.434000000000001</v>
      </c>
      <c r="AC221" s="36">
        <v>29.312999999999999</v>
      </c>
      <c r="AD221" s="36">
        <v>30.225999999999999</v>
      </c>
      <c r="AE221" s="36">
        <v>31.158999999999999</v>
      </c>
      <c r="AF221" s="36">
        <v>32.109000000000002</v>
      </c>
      <c r="AG221" s="36">
        <v>33.091000000000001</v>
      </c>
      <c r="AH221" s="36">
        <v>34.085000000000001</v>
      </c>
      <c r="AI221" s="36">
        <v>35.110999999999997</v>
      </c>
      <c r="AJ221" s="36">
        <v>36.134999999999998</v>
      </c>
      <c r="AK221" s="36">
        <v>37.14</v>
      </c>
      <c r="AL221" s="36">
        <v>38.222999999999999</v>
      </c>
      <c r="AM221" s="36">
        <v>39.390999999999998</v>
      </c>
      <c r="AN221" s="36">
        <v>40.582999999999998</v>
      </c>
      <c r="AO221" s="36">
        <v>41.774000000000001</v>
      </c>
      <c r="AP221" s="37">
        <v>42.962000000000003</v>
      </c>
      <c r="AQ221" s="37">
        <v>44.146000000000001</v>
      </c>
      <c r="AR221" s="37">
        <v>45.323999999999998</v>
      </c>
      <c r="AS221" s="37">
        <v>46.497999999999998</v>
      </c>
      <c r="AT221" s="37">
        <v>47.667999999999999</v>
      </c>
      <c r="AU221" s="37">
        <v>48.828000000000003</v>
      </c>
      <c r="AV221" s="37">
        <v>49.978999999999999</v>
      </c>
      <c r="AW221" s="37">
        <v>51.13</v>
      </c>
      <c r="AX221" s="37">
        <v>52.28</v>
      </c>
      <c r="AY221" s="37">
        <v>53.429000000000002</v>
      </c>
      <c r="AZ221" s="37">
        <v>54.578000000000003</v>
      </c>
      <c r="BA221" s="37">
        <v>55.723999999999997</v>
      </c>
      <c r="BB221" s="37">
        <v>56.872</v>
      </c>
      <c r="BC221" s="37">
        <v>58.024999999999999</v>
      </c>
      <c r="BD221" s="37">
        <v>59.182000000000002</v>
      </c>
      <c r="BE221" s="37">
        <v>60.345999999999997</v>
      </c>
      <c r="BF221" s="37">
        <v>61.518000000000001</v>
      </c>
      <c r="BG221" s="37">
        <v>62.697000000000003</v>
      </c>
      <c r="BH221" s="37">
        <v>63.88</v>
      </c>
      <c r="BI221" s="37">
        <v>65.066000000000003</v>
      </c>
      <c r="BJ221" s="37">
        <v>66.254000000000005</v>
      </c>
      <c r="BK221" s="37">
        <v>67.438999999999993</v>
      </c>
      <c r="BL221" s="37">
        <v>68.620999999999995</v>
      </c>
      <c r="BM221" s="37">
        <v>69.8</v>
      </c>
      <c r="BN221" s="37">
        <v>70.975999999999999</v>
      </c>
    </row>
    <row r="222" spans="1:66" x14ac:dyDescent="0.2">
      <c r="A222" s="2" t="s">
        <v>675</v>
      </c>
      <c r="B222" s="2" t="s">
        <v>676</v>
      </c>
      <c r="C222" s="11" t="s">
        <v>210</v>
      </c>
      <c r="D222" s="12" t="s">
        <v>697</v>
      </c>
      <c r="E222" s="35">
        <v>1</v>
      </c>
      <c r="F222" s="36">
        <v>7.7859999999999996</v>
      </c>
      <c r="G222" s="36">
        <v>7.9820000000000002</v>
      </c>
      <c r="H222" s="36">
        <v>8.1769999999999996</v>
      </c>
      <c r="I222" s="36">
        <v>8.3740000000000006</v>
      </c>
      <c r="J222" s="36">
        <v>8.5760000000000005</v>
      </c>
      <c r="K222" s="36">
        <v>8.7859999999999996</v>
      </c>
      <c r="L222" s="36">
        <v>9.0039999999999996</v>
      </c>
      <c r="M222" s="36">
        <v>9.2370000000000001</v>
      </c>
      <c r="N222" s="36">
        <v>9.4819999999999993</v>
      </c>
      <c r="O222" s="36">
        <v>9.74</v>
      </c>
      <c r="P222" s="36">
        <v>10.018000000000001</v>
      </c>
      <c r="Q222" s="36">
        <v>10.324999999999999</v>
      </c>
      <c r="R222" s="36">
        <v>10.648</v>
      </c>
      <c r="S222" s="36">
        <v>10.984</v>
      </c>
      <c r="T222" s="36">
        <v>11.337999999999999</v>
      </c>
      <c r="U222" s="36">
        <v>11.718999999999999</v>
      </c>
      <c r="V222" s="36">
        <v>12.13</v>
      </c>
      <c r="W222" s="36">
        <v>12.565</v>
      </c>
      <c r="X222" s="36">
        <v>13.021000000000001</v>
      </c>
      <c r="Y222" s="36">
        <v>13.49</v>
      </c>
      <c r="Z222" s="36">
        <v>13.965999999999999</v>
      </c>
      <c r="AA222" s="36">
        <v>14.438000000000001</v>
      </c>
      <c r="AB222" s="36">
        <v>14.914</v>
      </c>
      <c r="AC222" s="36">
        <v>15.398999999999999</v>
      </c>
      <c r="AD222" s="36">
        <v>15.895</v>
      </c>
      <c r="AE222" s="36">
        <v>16.399000000000001</v>
      </c>
      <c r="AF222" s="36">
        <v>16.914000000000001</v>
      </c>
      <c r="AG222" s="36">
        <v>17.440999999999999</v>
      </c>
      <c r="AH222" s="36">
        <v>17.974</v>
      </c>
      <c r="AI222" s="36">
        <v>18.513999999999999</v>
      </c>
      <c r="AJ222" s="36">
        <v>19.059000000000001</v>
      </c>
      <c r="AK222" s="36">
        <v>19.603999999999999</v>
      </c>
      <c r="AL222" s="36">
        <v>20.152999999999999</v>
      </c>
      <c r="AM222" s="36">
        <v>20.724</v>
      </c>
      <c r="AN222" s="36">
        <v>21.315000000000001</v>
      </c>
      <c r="AO222" s="36">
        <v>21.914000000000001</v>
      </c>
      <c r="AP222" s="37">
        <v>22.521999999999998</v>
      </c>
      <c r="AQ222" s="37">
        <v>23.138999999999999</v>
      </c>
      <c r="AR222" s="37">
        <v>23.760999999999999</v>
      </c>
      <c r="AS222" s="37">
        <v>24.39</v>
      </c>
      <c r="AT222" s="37">
        <v>25.024999999999999</v>
      </c>
      <c r="AU222" s="37">
        <v>25.667000000000002</v>
      </c>
      <c r="AV222" s="37">
        <v>26.312000000000001</v>
      </c>
      <c r="AW222" s="37">
        <v>26.96</v>
      </c>
      <c r="AX222" s="37">
        <v>27.611999999999998</v>
      </c>
      <c r="AY222" s="37">
        <v>28.266999999999999</v>
      </c>
      <c r="AZ222" s="37">
        <v>28.925000000000001</v>
      </c>
      <c r="BA222" s="37">
        <v>29.582999999999998</v>
      </c>
      <c r="BB222" s="37">
        <v>30.241</v>
      </c>
      <c r="BC222" s="37">
        <v>30.896000000000001</v>
      </c>
      <c r="BD222" s="37">
        <v>31.55</v>
      </c>
      <c r="BE222" s="37">
        <v>32.204000000000001</v>
      </c>
      <c r="BF222" s="37">
        <v>32.856999999999999</v>
      </c>
      <c r="BG222" s="37">
        <v>33.511000000000003</v>
      </c>
      <c r="BH222" s="37">
        <v>34.165999999999997</v>
      </c>
      <c r="BI222" s="37">
        <v>34.820999999999998</v>
      </c>
      <c r="BJ222" s="37">
        <v>35.475999999999999</v>
      </c>
      <c r="BK222" s="37">
        <v>36.128999999999998</v>
      </c>
      <c r="BL222" s="37">
        <v>36.781999999999996</v>
      </c>
      <c r="BM222" s="37">
        <v>37.435000000000002</v>
      </c>
      <c r="BN222" s="37">
        <v>38.082999999999998</v>
      </c>
    </row>
    <row r="223" spans="1:66" x14ac:dyDescent="0.2">
      <c r="A223" s="2" t="s">
        <v>677</v>
      </c>
      <c r="B223" s="2" t="s">
        <v>678</v>
      </c>
      <c r="C223" s="11" t="s">
        <v>210</v>
      </c>
      <c r="D223" s="12" t="s">
        <v>697</v>
      </c>
      <c r="E223" s="35">
        <v>1</v>
      </c>
      <c r="F223" s="36">
        <v>10.137</v>
      </c>
      <c r="G223" s="36">
        <v>10.404999999999999</v>
      </c>
      <c r="H223" s="36">
        <v>10.702999999999999</v>
      </c>
      <c r="I223" s="36">
        <v>10.86</v>
      </c>
      <c r="J223" s="36">
        <v>10.872999999999999</v>
      </c>
      <c r="K223" s="36">
        <v>10.975</v>
      </c>
      <c r="L223" s="36">
        <v>11.157999999999999</v>
      </c>
      <c r="M223" s="36">
        <v>11.37</v>
      </c>
      <c r="N223" s="36">
        <v>11.593999999999999</v>
      </c>
      <c r="O223" s="36">
        <v>11.782999999999999</v>
      </c>
      <c r="P223" s="36">
        <v>11.891999999999999</v>
      </c>
      <c r="Q223" s="36">
        <v>11.972</v>
      </c>
      <c r="R223" s="36">
        <v>12.087999999999999</v>
      </c>
      <c r="S223" s="36">
        <v>12.231999999999999</v>
      </c>
      <c r="T223" s="36">
        <v>12.366</v>
      </c>
      <c r="U223" s="36">
        <v>12.483000000000001</v>
      </c>
      <c r="V223" s="36">
        <v>12.635999999999999</v>
      </c>
      <c r="W223" s="36">
        <v>12.804</v>
      </c>
      <c r="X223" s="36">
        <v>12.959</v>
      </c>
      <c r="Y223" s="36">
        <v>13.143000000000001</v>
      </c>
      <c r="Z223" s="36">
        <v>13.356999999999999</v>
      </c>
      <c r="AA223" s="36">
        <v>13.595000000000001</v>
      </c>
      <c r="AB223" s="36">
        <v>13.818</v>
      </c>
      <c r="AC223" s="36">
        <v>14.013999999999999</v>
      </c>
      <c r="AD223" s="36">
        <v>14.207000000000001</v>
      </c>
      <c r="AE223" s="36">
        <v>14.398999999999999</v>
      </c>
      <c r="AF223" s="36">
        <v>14.6</v>
      </c>
      <c r="AG223" s="36">
        <v>14.811999999999999</v>
      </c>
      <c r="AH223" s="36">
        <v>15.034000000000001</v>
      </c>
      <c r="AI223" s="36">
        <v>15.271000000000001</v>
      </c>
      <c r="AJ223" s="36">
        <v>15.526999999999999</v>
      </c>
      <c r="AK223" s="36">
        <v>15.797000000000001</v>
      </c>
      <c r="AL223" s="36">
        <v>16.068999999999999</v>
      </c>
      <c r="AM223" s="36">
        <v>16.341000000000001</v>
      </c>
      <c r="AN223" s="36">
        <v>16.634</v>
      </c>
      <c r="AO223" s="36">
        <v>16.951000000000001</v>
      </c>
      <c r="AP223" s="37">
        <v>17.274000000000001</v>
      </c>
      <c r="AQ223" s="37">
        <v>17.600999999999999</v>
      </c>
      <c r="AR223" s="37">
        <v>17.931999999999999</v>
      </c>
      <c r="AS223" s="37">
        <v>18.268999999999998</v>
      </c>
      <c r="AT223" s="37">
        <v>18.61</v>
      </c>
      <c r="AU223" s="37">
        <v>18.956</v>
      </c>
      <c r="AV223" s="37">
        <v>19.311</v>
      </c>
      <c r="AW223" s="37">
        <v>19.675999999999998</v>
      </c>
      <c r="AX223" s="37">
        <v>20.041</v>
      </c>
      <c r="AY223" s="37">
        <v>20.408999999999999</v>
      </c>
      <c r="AZ223" s="37">
        <v>20.779</v>
      </c>
      <c r="BA223" s="37">
        <v>21.145</v>
      </c>
      <c r="BB223" s="37">
        <v>21.513000000000002</v>
      </c>
      <c r="BC223" s="37">
        <v>21.881</v>
      </c>
      <c r="BD223" s="37">
        <v>22.25</v>
      </c>
      <c r="BE223" s="37">
        <v>22.626999999999999</v>
      </c>
      <c r="BF223" s="37">
        <v>23.001000000000001</v>
      </c>
      <c r="BG223" s="37">
        <v>23.370999999999999</v>
      </c>
      <c r="BH223" s="37">
        <v>23.741</v>
      </c>
      <c r="BI223" s="37">
        <v>24.102</v>
      </c>
      <c r="BJ223" s="37">
        <v>24.462</v>
      </c>
      <c r="BK223" s="37">
        <v>24.815999999999999</v>
      </c>
      <c r="BL223" s="37">
        <v>25.167999999999999</v>
      </c>
      <c r="BM223" s="37">
        <v>25.518999999999998</v>
      </c>
      <c r="BN223" s="37">
        <v>25.866</v>
      </c>
    </row>
    <row r="224" spans="1:66" x14ac:dyDescent="0.2">
      <c r="A224" s="1" t="s">
        <v>699</v>
      </c>
      <c r="F224" s="40">
        <f t="shared" ref="F224:AK224" si="0">SUM(F6:F223)</f>
        <v>5299.2840000000024</v>
      </c>
      <c r="G224" s="40">
        <f t="shared" si="0"/>
        <v>5388.4820000000009</v>
      </c>
      <c r="H224" s="40">
        <f t="shared" si="0"/>
        <v>5477.121000000001</v>
      </c>
      <c r="I224" s="40">
        <f t="shared" si="0"/>
        <v>5564.7510000000011</v>
      </c>
      <c r="J224" s="40">
        <f t="shared" si="0"/>
        <v>5650.8089999999966</v>
      </c>
      <c r="K224" s="40">
        <f t="shared" si="0"/>
        <v>5736.4790000000039</v>
      </c>
      <c r="L224" s="40">
        <f t="shared" si="0"/>
        <v>5822.612000000001</v>
      </c>
      <c r="M224" s="40">
        <f t="shared" si="0"/>
        <v>5908.4600000000019</v>
      </c>
      <c r="N224" s="40">
        <f t="shared" si="0"/>
        <v>5993.9419999999991</v>
      </c>
      <c r="O224" s="40">
        <f t="shared" si="0"/>
        <v>6078.2629999999972</v>
      </c>
      <c r="P224" s="40">
        <f t="shared" si="0"/>
        <v>6161.6969999999974</v>
      </c>
      <c r="Q224" s="40">
        <f t="shared" si="0"/>
        <v>6244.8419999999996</v>
      </c>
      <c r="R224" s="40">
        <f t="shared" si="0"/>
        <v>6327.2820000000002</v>
      </c>
      <c r="S224" s="40">
        <f t="shared" si="0"/>
        <v>6409.4710000000023</v>
      </c>
      <c r="T224" s="40">
        <f t="shared" si="0"/>
        <v>6492.4630000000016</v>
      </c>
      <c r="U224" s="40">
        <f t="shared" si="0"/>
        <v>6575.5069999999996</v>
      </c>
      <c r="V224" s="40">
        <f t="shared" si="0"/>
        <v>6659.6379999999963</v>
      </c>
      <c r="W224" s="40">
        <f t="shared" si="0"/>
        <v>6744.1479999999974</v>
      </c>
      <c r="X224" s="40">
        <f t="shared" si="0"/>
        <v>6830.1719999999968</v>
      </c>
      <c r="Y224" s="40">
        <f t="shared" si="0"/>
        <v>6916.2670000000016</v>
      </c>
      <c r="Z224" s="40">
        <f t="shared" si="0"/>
        <v>7000.9419999999991</v>
      </c>
      <c r="AA224" s="40">
        <f t="shared" si="0"/>
        <v>7086.8030000000008</v>
      </c>
      <c r="AB224" s="40">
        <f t="shared" si="0"/>
        <v>7176.5610000000042</v>
      </c>
      <c r="AC224" s="40">
        <f t="shared" si="0"/>
        <v>7265.4780000000064</v>
      </c>
      <c r="AD224" s="40">
        <f t="shared" si="0"/>
        <v>7353.6120000000019</v>
      </c>
      <c r="AE224" s="40">
        <f t="shared" si="0"/>
        <v>7441.1540000000041</v>
      </c>
      <c r="AF224" s="40">
        <f t="shared" si="0"/>
        <v>7528.2990000000045</v>
      </c>
      <c r="AG224" s="40">
        <f t="shared" si="0"/>
        <v>7613.8640000000023</v>
      </c>
      <c r="AH224" s="40">
        <f t="shared" si="0"/>
        <v>7696.2559999999985</v>
      </c>
      <c r="AI224" s="40">
        <f t="shared" si="0"/>
        <v>7777.2489999999943</v>
      </c>
      <c r="AJ224" s="40">
        <f t="shared" si="0"/>
        <v>7853.9369999999972</v>
      </c>
      <c r="AK224" s="40">
        <f t="shared" si="0"/>
        <v>7919.6379999999936</v>
      </c>
      <c r="AL224" s="40">
        <f t="shared" ref="AL224:BQ224" si="1">SUM(AL6:AL223)</f>
        <v>7988.7840000000006</v>
      </c>
      <c r="AM224" s="40">
        <f t="shared" si="1"/>
        <v>8062.8739999999989</v>
      </c>
      <c r="AN224" s="40">
        <f t="shared" si="1"/>
        <v>8140.7040000000015</v>
      </c>
      <c r="AO224" s="40">
        <f t="shared" si="1"/>
        <v>8215.1969999999947</v>
      </c>
      <c r="AP224" s="40">
        <f t="shared" si="1"/>
        <v>8284.2769999999928</v>
      </c>
      <c r="AQ224" s="40">
        <f t="shared" si="1"/>
        <v>8352.7050000000054</v>
      </c>
      <c r="AR224" s="40">
        <f t="shared" si="1"/>
        <v>8420.2459999999955</v>
      </c>
      <c r="AS224" s="40">
        <f t="shared" si="1"/>
        <v>8486.9239999999954</v>
      </c>
      <c r="AT224" s="40">
        <f t="shared" si="1"/>
        <v>8552.7780000000002</v>
      </c>
      <c r="AU224" s="40">
        <f t="shared" si="1"/>
        <v>8617.7939999999981</v>
      </c>
      <c r="AV224" s="40">
        <f t="shared" si="1"/>
        <v>8681.9199999999964</v>
      </c>
      <c r="AW224" s="40">
        <f t="shared" si="1"/>
        <v>8745.1649999999972</v>
      </c>
      <c r="AX224" s="40">
        <f t="shared" si="1"/>
        <v>8807.5300000000007</v>
      </c>
      <c r="AY224" s="40">
        <f t="shared" si="1"/>
        <v>8868.9729999999963</v>
      </c>
      <c r="AZ224" s="40">
        <f t="shared" si="1"/>
        <v>8929.4730000000054</v>
      </c>
      <c r="BA224" s="40">
        <f t="shared" si="1"/>
        <v>8988.9709999999995</v>
      </c>
      <c r="BB224" s="40">
        <f t="shared" si="1"/>
        <v>9047.426999999996</v>
      </c>
      <c r="BC224" s="40">
        <f t="shared" si="1"/>
        <v>9104.8179999999975</v>
      </c>
      <c r="BD224" s="40">
        <f t="shared" si="1"/>
        <v>9161.1060000000016</v>
      </c>
      <c r="BE224" s="40">
        <f t="shared" si="1"/>
        <v>9216.2350000000024</v>
      </c>
      <c r="BF224" s="40">
        <f t="shared" si="1"/>
        <v>9270.1029999999973</v>
      </c>
      <c r="BG224" s="40">
        <f t="shared" si="1"/>
        <v>9322.7000000000025</v>
      </c>
      <c r="BH224" s="40">
        <f t="shared" si="1"/>
        <v>9373.9649999999983</v>
      </c>
      <c r="BI224" s="40">
        <f t="shared" si="1"/>
        <v>9423.761999999997</v>
      </c>
      <c r="BJ224" s="40">
        <f t="shared" si="1"/>
        <v>9472.0719999999965</v>
      </c>
      <c r="BK224" s="40">
        <f t="shared" si="1"/>
        <v>9518.7769999999964</v>
      </c>
      <c r="BL224" s="40">
        <f t="shared" si="1"/>
        <v>9563.8310000000038</v>
      </c>
      <c r="BM224" s="40">
        <f t="shared" si="1"/>
        <v>9607.1889999999985</v>
      </c>
      <c r="BN224" s="40">
        <f t="shared" si="1"/>
        <v>9648.8059999999969</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S221"/>
  <sheetViews>
    <sheetView tabSelected="1" zoomScaleNormal="100" workbookViewId="0">
      <pane xSplit="7" ySplit="3" topLeftCell="H4" activePane="bottomRight" state="frozen"/>
      <selection pane="topRight" activeCell="H1" sqref="H1"/>
      <selection pane="bottomLeft" activeCell="A4" sqref="A4"/>
      <selection pane="bottomRight"/>
    </sheetView>
  </sheetViews>
  <sheetFormatPr baseColWidth="10" defaultColWidth="8.6640625" defaultRowHeight="15" x14ac:dyDescent="0.2"/>
  <cols>
    <col min="1" max="1" width="30" customWidth="1"/>
    <col min="2" max="2" width="7" customWidth="1"/>
    <col min="3" max="3" width="10" customWidth="1"/>
    <col min="7" max="7" width="52" customWidth="1"/>
    <col min="8" max="71" width="6" customWidth="1"/>
  </cols>
  <sheetData>
    <row r="1" spans="1:71" x14ac:dyDescent="0.2">
      <c r="A1" s="4" t="s">
        <v>700</v>
      </c>
    </row>
    <row r="3" spans="1:71" x14ac:dyDescent="0.2">
      <c r="A3" s="5" t="s">
        <v>188</v>
      </c>
      <c r="B3" s="5" t="s">
        <v>189</v>
      </c>
      <c r="C3" s="5" t="s">
        <v>190</v>
      </c>
      <c r="D3" s="5"/>
      <c r="E3" s="5"/>
      <c r="F3" s="5"/>
      <c r="G3" s="5" t="s">
        <v>130</v>
      </c>
      <c r="H3" s="5" t="s">
        <v>131</v>
      </c>
      <c r="I3" s="5" t="s">
        <v>133</v>
      </c>
      <c r="J3" s="5" t="s">
        <v>134</v>
      </c>
      <c r="K3" s="5" t="s">
        <v>135</v>
      </c>
      <c r="L3" s="5" t="s">
        <v>136</v>
      </c>
      <c r="M3" s="5" t="s">
        <v>137</v>
      </c>
      <c r="N3" s="5" t="s">
        <v>138</v>
      </c>
      <c r="O3" s="5" t="s">
        <v>139</v>
      </c>
      <c r="P3" s="5" t="s">
        <v>140</v>
      </c>
      <c r="Q3" s="5" t="s">
        <v>141</v>
      </c>
      <c r="R3" s="5" t="s">
        <v>142</v>
      </c>
      <c r="S3" s="5" t="s">
        <v>143</v>
      </c>
      <c r="T3" s="5" t="s">
        <v>144</v>
      </c>
      <c r="U3" s="5" t="s">
        <v>145</v>
      </c>
      <c r="V3" s="5" t="s">
        <v>146</v>
      </c>
      <c r="W3" s="5" t="s">
        <v>147</v>
      </c>
      <c r="X3" s="5" t="s">
        <v>148</v>
      </c>
      <c r="Y3" s="5" t="s">
        <v>149</v>
      </c>
      <c r="Z3" s="5" t="s">
        <v>150</v>
      </c>
      <c r="AA3" s="5" t="s">
        <v>151</v>
      </c>
      <c r="AB3" s="5" t="s">
        <v>152</v>
      </c>
      <c r="AC3" s="5" t="s">
        <v>153</v>
      </c>
      <c r="AD3" s="5" t="s">
        <v>154</v>
      </c>
      <c r="AE3" s="5" t="s">
        <v>155</v>
      </c>
      <c r="AF3" s="5" t="s">
        <v>156</v>
      </c>
      <c r="AG3" s="5" t="s">
        <v>157</v>
      </c>
      <c r="AH3" s="5" t="s">
        <v>158</v>
      </c>
      <c r="AI3" s="5" t="s">
        <v>159</v>
      </c>
      <c r="AJ3" s="5" t="s">
        <v>160</v>
      </c>
      <c r="AK3" s="5" t="s">
        <v>115</v>
      </c>
      <c r="AL3" s="5" t="s">
        <v>116</v>
      </c>
      <c r="AM3" s="5" t="s">
        <v>117</v>
      </c>
      <c r="AN3" s="5" t="s">
        <v>118</v>
      </c>
      <c r="AO3" s="5" t="s">
        <v>119</v>
      </c>
      <c r="AP3" s="5" t="s">
        <v>120</v>
      </c>
      <c r="AQ3" s="5" t="s">
        <v>121</v>
      </c>
      <c r="AR3" s="5" t="s">
        <v>122</v>
      </c>
      <c r="AS3" s="5" t="s">
        <v>123</v>
      </c>
      <c r="AT3" s="5" t="s">
        <v>124</v>
      </c>
      <c r="AU3" s="25" t="s">
        <v>161</v>
      </c>
      <c r="AV3" s="25" t="s">
        <v>163</v>
      </c>
      <c r="AW3" s="25" t="s">
        <v>164</v>
      </c>
      <c r="AX3" s="25" t="s">
        <v>165</v>
      </c>
      <c r="AY3" s="25" t="s">
        <v>166</v>
      </c>
      <c r="AZ3" s="25" t="s">
        <v>167</v>
      </c>
      <c r="BA3" s="25" t="s">
        <v>168</v>
      </c>
      <c r="BB3" s="25" t="s">
        <v>169</v>
      </c>
      <c r="BC3" s="25" t="s">
        <v>170</v>
      </c>
      <c r="BD3" s="25" t="s">
        <v>171</v>
      </c>
      <c r="BE3" s="25" t="s">
        <v>172</v>
      </c>
      <c r="BF3" s="25" t="s">
        <v>173</v>
      </c>
      <c r="BG3" s="25" t="s">
        <v>174</v>
      </c>
      <c r="BH3" s="25" t="s">
        <v>175</v>
      </c>
      <c r="BI3" s="25" t="s">
        <v>176</v>
      </c>
      <c r="BJ3" s="25" t="s">
        <v>177</v>
      </c>
      <c r="BK3" s="25" t="s">
        <v>178</v>
      </c>
      <c r="BL3" s="25" t="s">
        <v>179</v>
      </c>
      <c r="BM3" s="25" t="s">
        <v>180</v>
      </c>
      <c r="BN3" s="25" t="s">
        <v>181</v>
      </c>
      <c r="BO3" s="25" t="s">
        <v>182</v>
      </c>
      <c r="BP3" s="25" t="s">
        <v>183</v>
      </c>
      <c r="BQ3" s="25" t="s">
        <v>184</v>
      </c>
      <c r="BR3" s="25" t="s">
        <v>185</v>
      </c>
      <c r="BS3" s="25" t="s">
        <v>186</v>
      </c>
    </row>
    <row r="4" spans="1:71" x14ac:dyDescent="0.2">
      <c r="A4" s="2" t="s">
        <v>194</v>
      </c>
      <c r="B4" s="2" t="s">
        <v>195</v>
      </c>
      <c r="C4" s="11" t="s">
        <v>75</v>
      </c>
      <c r="G4" s="2" t="s">
        <v>196</v>
      </c>
      <c r="H4" s="41" t="s">
        <v>75</v>
      </c>
      <c r="I4" s="41" t="s">
        <v>75</v>
      </c>
      <c r="J4" s="41" t="s">
        <v>75</v>
      </c>
      <c r="K4" s="41" t="s">
        <v>75</v>
      </c>
      <c r="L4" s="41" t="s">
        <v>75</v>
      </c>
      <c r="M4" s="41" t="s">
        <v>75</v>
      </c>
      <c r="N4" s="41" t="s">
        <v>75</v>
      </c>
      <c r="O4" s="41" t="s">
        <v>75</v>
      </c>
      <c r="P4" s="41" t="s">
        <v>75</v>
      </c>
      <c r="Q4" s="41" t="s">
        <v>75</v>
      </c>
      <c r="R4" s="41" t="s">
        <v>75</v>
      </c>
      <c r="S4" s="41" t="s">
        <v>75</v>
      </c>
      <c r="T4" s="41" t="s">
        <v>75</v>
      </c>
      <c r="U4" s="41" t="s">
        <v>75</v>
      </c>
      <c r="V4" s="41" t="s">
        <v>75</v>
      </c>
      <c r="W4" s="41" t="s">
        <v>75</v>
      </c>
      <c r="X4" s="41" t="s">
        <v>75</v>
      </c>
      <c r="Y4" s="41" t="s">
        <v>75</v>
      </c>
      <c r="Z4" s="41" t="s">
        <v>75</v>
      </c>
      <c r="AA4" s="41" t="s">
        <v>75</v>
      </c>
      <c r="AB4" s="41" t="s">
        <v>75</v>
      </c>
      <c r="AC4" s="41" t="s">
        <v>75</v>
      </c>
      <c r="AD4" s="41" t="s">
        <v>75</v>
      </c>
      <c r="AE4" s="41" t="s">
        <v>75</v>
      </c>
      <c r="AF4" s="41" t="s">
        <v>75</v>
      </c>
      <c r="AG4" s="41" t="s">
        <v>75</v>
      </c>
      <c r="AH4" s="41" t="s">
        <v>75</v>
      </c>
      <c r="AI4" s="41" t="s">
        <v>75</v>
      </c>
      <c r="AJ4" s="41" t="s">
        <v>75</v>
      </c>
      <c r="AK4" s="41" t="s">
        <v>75</v>
      </c>
      <c r="AL4" s="41" t="s">
        <v>75</v>
      </c>
      <c r="AM4" s="41" t="s">
        <v>75</v>
      </c>
      <c r="AN4" s="41" t="s">
        <v>75</v>
      </c>
      <c r="AO4" s="41" t="s">
        <v>75</v>
      </c>
      <c r="AP4" s="41" t="s">
        <v>75</v>
      </c>
      <c r="AQ4" s="41" t="s">
        <v>75</v>
      </c>
      <c r="AR4" s="41" t="s">
        <v>75</v>
      </c>
      <c r="AS4" s="41" t="s">
        <v>75</v>
      </c>
      <c r="AT4" s="41" t="s">
        <v>75</v>
      </c>
      <c r="AU4" s="42" t="str">
        <f>IF('GNI per capita'!AU4&lt;=Thresholds!$C$44,"L",IF('GNI per capita'!AU4&lt;=Thresholds!$D$44,"LM",IF('GNI per capita'!AU4&lt;=Thresholds!$E$44,"UM","H")))</f>
        <v>L</v>
      </c>
      <c r="AV4" s="42" t="str">
        <f>IF('GNI per capita'!AV4&lt;=Thresholds!$C$45,"L",IF('GNI per capita'!AV4&lt;=Thresholds!$D$45,"LM",IF('GNI per capita'!AV4&lt;=Thresholds!$E$45,"UM","H")))</f>
        <v>L</v>
      </c>
      <c r="AW4" s="42" t="str">
        <f>IF('GNI per capita'!AW4&lt;=Thresholds!$C$46,"L",IF('GNI per capita'!AW4&lt;=Thresholds!$D$46,"LM",IF('GNI per capita'!AW4&lt;=Thresholds!$E$46,"UM","H")))</f>
        <v>L</v>
      </c>
      <c r="AX4" s="42" t="str">
        <f>IF('GNI per capita'!AX4&lt;=Thresholds!$C$47,"L",IF('GNI per capita'!AX4&lt;=Thresholds!$D$47,"LM",IF('GNI per capita'!AX4&lt;=Thresholds!$E$47,"UM","H")))</f>
        <v>L</v>
      </c>
      <c r="AY4" s="42" t="str">
        <f>IF('GNI per capita'!AY4&lt;=Thresholds!$C$48,"L",IF('GNI per capita'!AY4&lt;=Thresholds!$D$48,"LM",IF('GNI per capita'!AY4&lt;=Thresholds!$E$48,"UM","H")))</f>
        <v>L</v>
      </c>
      <c r="AZ4" s="42" t="str">
        <f>IF('GNI per capita'!AZ4&lt;=Thresholds!$C$49,"L",IF('GNI per capita'!AZ4&lt;=Thresholds!$D$49,"LM",IF('GNI per capita'!AZ4&lt;=Thresholds!$E$49,"UM","H")))</f>
        <v>L</v>
      </c>
      <c r="BA4" s="42" t="str">
        <f>IF('GNI per capita'!BA4&lt;=Thresholds!$C$50,"L",IF('GNI per capita'!BA4&lt;=Thresholds!$D$50,"LM",IF('GNI per capita'!BA4&lt;=Thresholds!$E$50,"UM","H")))</f>
        <v>L</v>
      </c>
      <c r="BB4" s="42" t="str">
        <f>IF('GNI per capita'!BB4&lt;=Thresholds!$C$51,"L",IF('GNI per capita'!BB4&lt;=Thresholds!$D$51,"LM",IF('GNI per capita'!BB4&lt;=Thresholds!$E$51,"UM","H")))</f>
        <v>L</v>
      </c>
      <c r="BC4" s="42" t="str">
        <f>IF('GNI per capita'!BC4&lt;=Thresholds!$C$52,"L",IF('GNI per capita'!BC4&lt;=Thresholds!$D$52,"LM",IF('GNI per capita'!BC4&lt;=Thresholds!$E$52,"UM","H")))</f>
        <v>L</v>
      </c>
      <c r="BD4" s="42" t="str">
        <f>IF('GNI per capita'!BD4&lt;=Thresholds!$C$53,"L",IF('GNI per capita'!BD4&lt;=Thresholds!$D$53,"LM",IF('GNI per capita'!BD4&lt;=Thresholds!$E$53,"UM","H")))</f>
        <v>L</v>
      </c>
      <c r="BE4" s="42" t="str">
        <f>IF('GNI per capita'!BE4&lt;=Thresholds!$C$54,"L",IF('GNI per capita'!BE4&lt;=Thresholds!$D$54,"LM",IF('GNI per capita'!BE4&lt;=Thresholds!$E$54,"UM","H")))</f>
        <v>L</v>
      </c>
      <c r="BF4" s="42" t="str">
        <f>IF('GNI per capita'!BF4&lt;=Thresholds!$C$55,"L",IF('GNI per capita'!BF4&lt;=Thresholds!$D$55,"LM",IF('GNI per capita'!BF4&lt;=Thresholds!$E$55,"UM","H")))</f>
        <v>L</v>
      </c>
      <c r="BG4" s="42" t="str">
        <f>IF('GNI per capita'!BG4&lt;=Thresholds!$C$56,"L",IF('GNI per capita'!BG4&lt;=Thresholds!$D$56,"LM",IF('GNI per capita'!BG4&lt;=Thresholds!$E$56,"UM","H")))</f>
        <v>L</v>
      </c>
      <c r="BH4" s="42" t="str">
        <f>IF('GNI per capita'!BH4&lt;=Thresholds!$C$57,"L",IF('GNI per capita'!BH4&lt;=Thresholds!$D$57,"LM",IF('GNI per capita'!BH4&lt;=Thresholds!$E$57,"UM","H")))</f>
        <v>L</v>
      </c>
      <c r="BI4" s="42" t="str">
        <f>IF('GNI per capita'!BI4&lt;=Thresholds!$C$58,"L",IF('GNI per capita'!BI4&lt;=Thresholds!$D$58,"LM",IF('GNI per capita'!BI4&lt;=Thresholds!$E$58,"UM","H")))</f>
        <v>L</v>
      </c>
      <c r="BJ4" s="42" t="str">
        <f>IF('GNI per capita'!BJ4&lt;=Thresholds!$C$59,"L",IF('GNI per capita'!BJ4&lt;=Thresholds!$D$59,"LM",IF('GNI per capita'!BJ4&lt;=Thresholds!$E$59,"UM","H")))</f>
        <v>L</v>
      </c>
      <c r="BK4" s="42" t="str">
        <f>IF('GNI per capita'!BK4&lt;=Thresholds!$C$60,"L",IF('GNI per capita'!BK4&lt;=Thresholds!$D$60,"LM",IF('GNI per capita'!BK4&lt;=Thresholds!$E$60,"UM","H")))</f>
        <v>L</v>
      </c>
      <c r="BL4" s="42" t="str">
        <f>IF('GNI per capita'!BL4&lt;=Thresholds!$C$61,"L",IF('GNI per capita'!BL4&lt;=Thresholds!$D$61,"LM",IF('GNI per capita'!BL4&lt;=Thresholds!$E$61,"UM","H")))</f>
        <v>L</v>
      </c>
      <c r="BM4" s="42" t="str">
        <f>IF('GNI per capita'!BM4&lt;=Thresholds!$C$62,"L",IF('GNI per capita'!BM4&lt;=Thresholds!$D$62,"LM",IF('GNI per capita'!BM4&lt;=Thresholds!$E$62,"UM","H")))</f>
        <v>L</v>
      </c>
      <c r="BN4" s="42" t="str">
        <f>IF('GNI per capita'!BN4&lt;=Thresholds!$C$63,"L",IF('GNI per capita'!BN4&lt;=Thresholds!$D$63,"LM",IF('GNI per capita'!BN4&lt;=Thresholds!$E$63,"UM","H")))</f>
        <v>L</v>
      </c>
      <c r="BO4" s="42" t="str">
        <f>IF('GNI per capita'!BO4&lt;=Thresholds!$C$64,"L",IF('GNI per capita'!BO4&lt;=Thresholds!$D$64,"LM",IF('GNI per capita'!BO4&lt;=Thresholds!$E$64,"UM","H")))</f>
        <v>L</v>
      </c>
      <c r="BP4" s="42" t="str">
        <f>IF('GNI per capita'!BP4&lt;=Thresholds!$C$65,"L",IF('GNI per capita'!BP4&lt;=Thresholds!$D$65,"LM",IF('GNI per capita'!BP4&lt;=Thresholds!$E$65,"UM","H")))</f>
        <v>L</v>
      </c>
      <c r="BQ4" s="42" t="str">
        <f>IF('GNI per capita'!BQ4&lt;=Thresholds!$C$66,"L",IF('GNI per capita'!BQ4&lt;=Thresholds!$D$66,"LM",IF('GNI per capita'!BQ4&lt;=Thresholds!$E$66,"UM","H")))</f>
        <v>L</v>
      </c>
      <c r="BR4" s="42" t="str">
        <f>IF('GNI per capita'!BR4&lt;=Thresholds!$C$67,"L",IF('GNI per capita'!BR4&lt;=Thresholds!$D$67,"LM",IF('GNI per capita'!BR4&lt;=Thresholds!$E$67,"UM","H")))</f>
        <v>L</v>
      </c>
      <c r="BS4" s="42" t="str">
        <f>IF('GNI per capita'!BS4&lt;=Thresholds!$C$68,"L",IF('GNI per capita'!BS4&lt;=Thresholds!$D$68,"LM",IF('GNI per capita'!BS4&lt;=Thresholds!$E$68,"UM","H")))</f>
        <v>L</v>
      </c>
    </row>
    <row r="5" spans="1:71" x14ac:dyDescent="0.2">
      <c r="A5" s="2" t="s">
        <v>197</v>
      </c>
      <c r="B5" s="2" t="s">
        <v>198</v>
      </c>
      <c r="C5" s="11" t="s">
        <v>82</v>
      </c>
      <c r="G5" s="2" t="s">
        <v>199</v>
      </c>
      <c r="H5" s="41"/>
      <c r="I5" s="41"/>
      <c r="J5" s="41"/>
      <c r="K5" s="41" t="s">
        <v>210</v>
      </c>
      <c r="L5" s="41" t="s">
        <v>210</v>
      </c>
      <c r="M5" s="41" t="s">
        <v>210</v>
      </c>
      <c r="N5" s="41" t="s">
        <v>75</v>
      </c>
      <c r="O5" s="41" t="s">
        <v>75</v>
      </c>
      <c r="P5" s="41" t="s">
        <v>75</v>
      </c>
      <c r="Q5" s="41" t="s">
        <v>210</v>
      </c>
      <c r="R5" s="41" t="s">
        <v>75</v>
      </c>
      <c r="S5" s="41" t="s">
        <v>210</v>
      </c>
      <c r="T5" s="41" t="s">
        <v>210</v>
      </c>
      <c r="U5" s="41" t="s">
        <v>210</v>
      </c>
      <c r="V5" s="41" t="s">
        <v>210</v>
      </c>
      <c r="W5" s="41" t="s">
        <v>210</v>
      </c>
      <c r="X5" s="41" t="s">
        <v>210</v>
      </c>
      <c r="Y5" s="41" t="s">
        <v>210</v>
      </c>
      <c r="Z5" s="41" t="s">
        <v>210</v>
      </c>
      <c r="AA5" s="41" t="s">
        <v>210</v>
      </c>
      <c r="AB5" s="41" t="s">
        <v>210</v>
      </c>
      <c r="AC5" s="41" t="s">
        <v>210</v>
      </c>
      <c r="AD5" s="41" t="s">
        <v>82</v>
      </c>
      <c r="AE5" s="41" t="s">
        <v>82</v>
      </c>
      <c r="AF5" s="41" t="s">
        <v>210</v>
      </c>
      <c r="AG5" s="41" t="s">
        <v>82</v>
      </c>
      <c r="AH5" s="41" t="s">
        <v>82</v>
      </c>
      <c r="AI5" s="41" t="s">
        <v>82</v>
      </c>
      <c r="AJ5" s="41" t="s">
        <v>82</v>
      </c>
      <c r="AK5" s="41" t="s">
        <v>82</v>
      </c>
      <c r="AL5" s="41" t="s">
        <v>82</v>
      </c>
      <c r="AM5" s="41" t="s">
        <v>82</v>
      </c>
      <c r="AN5" s="41" t="s">
        <v>82</v>
      </c>
      <c r="AO5" s="41" t="s">
        <v>82</v>
      </c>
      <c r="AP5" s="41" t="s">
        <v>82</v>
      </c>
      <c r="AQ5" s="41" t="s">
        <v>82</v>
      </c>
      <c r="AR5" s="41" t="s">
        <v>82</v>
      </c>
      <c r="AS5" s="41" t="s">
        <v>82</v>
      </c>
      <c r="AT5" s="41" t="s">
        <v>82</v>
      </c>
      <c r="AU5" s="42" t="str">
        <f>IF('GNI per capita'!AU5&lt;=Thresholds!$C$44,"L",IF('GNI per capita'!AU5&lt;=Thresholds!$D$44,"LM",IF('GNI per capita'!AU5&lt;=Thresholds!$E$44,"UM","H")))</f>
        <v>UM</v>
      </c>
      <c r="AV5" s="42" t="str">
        <f>IF('GNI per capita'!AV5&lt;=Thresholds!$C$45,"L",IF('GNI per capita'!AV5&lt;=Thresholds!$D$45,"LM",IF('GNI per capita'!AV5&lt;=Thresholds!$E$45,"UM","H")))</f>
        <v>UM</v>
      </c>
      <c r="AW5" s="42" t="str">
        <f>IF('GNI per capita'!AW5&lt;=Thresholds!$C$46,"L",IF('GNI per capita'!AW5&lt;=Thresholds!$D$46,"LM",IF('GNI per capita'!AW5&lt;=Thresholds!$E$46,"UM","H")))</f>
        <v>H</v>
      </c>
      <c r="AX5" s="42" t="str">
        <f>IF('GNI per capita'!AX5&lt;=Thresholds!$C$47,"L",IF('GNI per capita'!AX5&lt;=Thresholds!$D$47,"LM",IF('GNI per capita'!AX5&lt;=Thresholds!$E$47,"UM","H")))</f>
        <v>H</v>
      </c>
      <c r="AY5" s="42" t="str">
        <f>IF('GNI per capita'!AY5&lt;=Thresholds!$C$48,"L",IF('GNI per capita'!AY5&lt;=Thresholds!$D$48,"LM",IF('GNI per capita'!AY5&lt;=Thresholds!$E$48,"UM","H")))</f>
        <v>H</v>
      </c>
      <c r="AZ5" s="42" t="str">
        <f>IF('GNI per capita'!AZ5&lt;=Thresholds!$C$49,"L",IF('GNI per capita'!AZ5&lt;=Thresholds!$D$49,"LM",IF('GNI per capita'!AZ5&lt;=Thresholds!$E$49,"UM","H")))</f>
        <v>H</v>
      </c>
      <c r="BA5" s="42" t="str">
        <f>IF('GNI per capita'!BA5&lt;=Thresholds!$C$50,"L",IF('GNI per capita'!BA5&lt;=Thresholds!$D$50,"LM",IF('GNI per capita'!BA5&lt;=Thresholds!$E$50,"UM","H")))</f>
        <v>H</v>
      </c>
      <c r="BB5" s="42" t="str">
        <f>IF('GNI per capita'!BB5&lt;=Thresholds!$C$51,"L",IF('GNI per capita'!BB5&lt;=Thresholds!$D$51,"LM",IF('GNI per capita'!BB5&lt;=Thresholds!$E$51,"UM","H")))</f>
        <v>H</v>
      </c>
      <c r="BC5" s="42" t="str">
        <f>IF('GNI per capita'!BC5&lt;=Thresholds!$C$52,"L",IF('GNI per capita'!BC5&lt;=Thresholds!$D$52,"LM",IF('GNI per capita'!BC5&lt;=Thresholds!$E$52,"UM","H")))</f>
        <v>H</v>
      </c>
      <c r="BD5" s="42" t="str">
        <f>IF('GNI per capita'!BD5&lt;=Thresholds!$C$53,"L",IF('GNI per capita'!BD5&lt;=Thresholds!$D$53,"LM",IF('GNI per capita'!BD5&lt;=Thresholds!$E$53,"UM","H")))</f>
        <v>H</v>
      </c>
      <c r="BE5" s="42" t="str">
        <f>IF('GNI per capita'!BE5&lt;=Thresholds!$C$54,"L",IF('GNI per capita'!BE5&lt;=Thresholds!$D$54,"LM",IF('GNI per capita'!BE5&lt;=Thresholds!$E$54,"UM","H")))</f>
        <v>H</v>
      </c>
      <c r="BF5" s="42" t="str">
        <f>IF('GNI per capita'!BF5&lt;=Thresholds!$C$55,"L",IF('GNI per capita'!BF5&lt;=Thresholds!$D$55,"LM",IF('GNI per capita'!BF5&lt;=Thresholds!$E$55,"UM","H")))</f>
        <v>H</v>
      </c>
      <c r="BG5" s="42" t="str">
        <f>IF('GNI per capita'!BG5&lt;=Thresholds!$C$56,"L",IF('GNI per capita'!BG5&lt;=Thresholds!$D$56,"LM",IF('GNI per capita'!BG5&lt;=Thresholds!$E$56,"UM","H")))</f>
        <v>H</v>
      </c>
      <c r="BH5" s="42" t="str">
        <f>IF('GNI per capita'!BH5&lt;=Thresholds!$C$57,"L",IF('GNI per capita'!BH5&lt;=Thresholds!$D$57,"LM",IF('GNI per capita'!BH5&lt;=Thresholds!$E$57,"UM","H")))</f>
        <v>H</v>
      </c>
      <c r="BI5" s="42" t="str">
        <f>IF('GNI per capita'!BI5&lt;=Thresholds!$C$58,"L",IF('GNI per capita'!BI5&lt;=Thresholds!$D$58,"LM",IF('GNI per capita'!BI5&lt;=Thresholds!$E$58,"UM","H")))</f>
        <v>H</v>
      </c>
      <c r="BJ5" s="42" t="str">
        <f>IF('GNI per capita'!BJ5&lt;=Thresholds!$C$59,"L",IF('GNI per capita'!BJ5&lt;=Thresholds!$D$59,"LM",IF('GNI per capita'!BJ5&lt;=Thresholds!$E$59,"UM","H")))</f>
        <v>H</v>
      </c>
      <c r="BK5" s="42" t="str">
        <f>IF('GNI per capita'!BK5&lt;=Thresholds!$C$60,"L",IF('GNI per capita'!BK5&lt;=Thresholds!$D$60,"LM",IF('GNI per capita'!BK5&lt;=Thresholds!$E$60,"UM","H")))</f>
        <v>H</v>
      </c>
      <c r="BL5" s="42" t="str">
        <f>IF('GNI per capita'!BL5&lt;=Thresholds!$C$61,"L",IF('GNI per capita'!BL5&lt;=Thresholds!$D$61,"LM",IF('GNI per capita'!BL5&lt;=Thresholds!$E$61,"UM","H")))</f>
        <v>H</v>
      </c>
      <c r="BM5" s="42" t="str">
        <f>IF('GNI per capita'!BM5&lt;=Thresholds!$C$62,"L",IF('GNI per capita'!BM5&lt;=Thresholds!$D$62,"LM",IF('GNI per capita'!BM5&lt;=Thresholds!$E$62,"UM","H")))</f>
        <v>H</v>
      </c>
      <c r="BN5" s="42" t="str">
        <f>IF('GNI per capita'!BN5&lt;=Thresholds!$C$63,"L",IF('GNI per capita'!BN5&lt;=Thresholds!$D$63,"LM",IF('GNI per capita'!BN5&lt;=Thresholds!$E$63,"UM","H")))</f>
        <v>H</v>
      </c>
      <c r="BO5" s="42" t="str">
        <f>IF('GNI per capita'!BO5&lt;=Thresholds!$C$64,"L",IF('GNI per capita'!BO5&lt;=Thresholds!$D$64,"LM",IF('GNI per capita'!BO5&lt;=Thresholds!$E$64,"UM","H")))</f>
        <v>H</v>
      </c>
      <c r="BP5" s="42" t="str">
        <f>IF('GNI per capita'!BP5&lt;=Thresholds!$C$65,"L",IF('GNI per capita'!BP5&lt;=Thresholds!$D$65,"LM",IF('GNI per capita'!BP5&lt;=Thresholds!$E$65,"UM","H")))</f>
        <v>H</v>
      </c>
      <c r="BQ5" s="42" t="str">
        <f>IF('GNI per capita'!BQ5&lt;=Thresholds!$C$66,"L",IF('GNI per capita'!BQ5&lt;=Thresholds!$D$66,"LM",IF('GNI per capita'!BQ5&lt;=Thresholds!$E$66,"UM","H")))</f>
        <v>H</v>
      </c>
      <c r="BR5" s="42" t="str">
        <f>IF('GNI per capita'!BR5&lt;=Thresholds!$C$67,"L",IF('GNI per capita'!BR5&lt;=Thresholds!$D$67,"LM",IF('GNI per capita'!BR5&lt;=Thresholds!$E$67,"UM","H")))</f>
        <v>H</v>
      </c>
      <c r="BS5" s="42" t="str">
        <f>IF('GNI per capita'!BS5&lt;=Thresholds!$C$68,"L",IF('GNI per capita'!BS5&lt;=Thresholds!$D$68,"LM",IF('GNI per capita'!BS5&lt;=Thresholds!$E$68,"UM","H")))</f>
        <v>H</v>
      </c>
    </row>
    <row r="6" spans="1:71" x14ac:dyDescent="0.2">
      <c r="A6" s="2" t="s">
        <v>200</v>
      </c>
      <c r="B6" s="2" t="s">
        <v>201</v>
      </c>
      <c r="C6" s="11" t="s">
        <v>82</v>
      </c>
      <c r="G6" s="2" t="s">
        <v>162</v>
      </c>
      <c r="H6" s="41" t="s">
        <v>82</v>
      </c>
      <c r="I6" s="41" t="s">
        <v>82</v>
      </c>
      <c r="J6" s="41" t="s">
        <v>210</v>
      </c>
      <c r="K6" s="41" t="s">
        <v>210</v>
      </c>
      <c r="L6" s="41" t="s">
        <v>210</v>
      </c>
      <c r="M6" s="41" t="s">
        <v>210</v>
      </c>
      <c r="N6" s="41" t="s">
        <v>210</v>
      </c>
      <c r="O6" s="41" t="s">
        <v>210</v>
      </c>
      <c r="P6" s="41" t="s">
        <v>210</v>
      </c>
      <c r="Q6" s="41" t="s">
        <v>210</v>
      </c>
      <c r="R6" s="41" t="s">
        <v>210</v>
      </c>
      <c r="S6" s="41" t="s">
        <v>210</v>
      </c>
      <c r="T6" s="41" t="s">
        <v>210</v>
      </c>
      <c r="U6" s="41" t="s">
        <v>210</v>
      </c>
      <c r="V6" s="41" t="s">
        <v>210</v>
      </c>
      <c r="W6" s="41" t="s">
        <v>210</v>
      </c>
      <c r="X6" s="41" t="s">
        <v>210</v>
      </c>
      <c r="Y6" s="41" t="s">
        <v>210</v>
      </c>
      <c r="Z6" s="41" t="s">
        <v>210</v>
      </c>
      <c r="AA6" s="41" t="s">
        <v>210</v>
      </c>
      <c r="AB6" s="41" t="s">
        <v>210</v>
      </c>
      <c r="AC6" s="41" t="s">
        <v>82</v>
      </c>
      <c r="AD6" s="41" t="s">
        <v>82</v>
      </c>
      <c r="AE6" s="41" t="s">
        <v>82</v>
      </c>
      <c r="AF6" s="41" t="s">
        <v>82</v>
      </c>
      <c r="AG6" s="41" t="s">
        <v>82</v>
      </c>
      <c r="AH6" s="41" t="s">
        <v>82</v>
      </c>
      <c r="AI6" s="41" t="s">
        <v>82</v>
      </c>
      <c r="AJ6" s="41" t="s">
        <v>82</v>
      </c>
      <c r="AK6" s="41" t="s">
        <v>82</v>
      </c>
      <c r="AL6" s="41" t="s">
        <v>82</v>
      </c>
      <c r="AM6" s="41" t="s">
        <v>82</v>
      </c>
      <c r="AN6" s="41" t="s">
        <v>210</v>
      </c>
      <c r="AO6" s="41" t="s">
        <v>210</v>
      </c>
      <c r="AP6" s="41" t="s">
        <v>210</v>
      </c>
      <c r="AQ6" s="41" t="s">
        <v>210</v>
      </c>
      <c r="AR6" s="41" t="s">
        <v>82</v>
      </c>
      <c r="AS6" s="41" t="s">
        <v>82</v>
      </c>
      <c r="AT6" s="41" t="s">
        <v>82</v>
      </c>
      <c r="AU6" s="42" t="str">
        <f>IF('GNI per capita'!AU6&lt;=Thresholds!$C$44,"L",IF('GNI per capita'!AU6&lt;=Thresholds!$D$44,"LM",IF('GNI per capita'!AU6&lt;=Thresholds!$E$44,"UM","H")))</f>
        <v>UM</v>
      </c>
      <c r="AV6" s="42" t="str">
        <f>IF('GNI per capita'!AV6&lt;=Thresholds!$C$45,"L",IF('GNI per capita'!AV6&lt;=Thresholds!$D$45,"LM",IF('GNI per capita'!AV6&lt;=Thresholds!$E$45,"UM","H")))</f>
        <v>UM</v>
      </c>
      <c r="AW6" s="42" t="str">
        <f>IF('GNI per capita'!AW6&lt;=Thresholds!$C$46,"L",IF('GNI per capita'!AW6&lt;=Thresholds!$D$46,"LM",IF('GNI per capita'!AW6&lt;=Thresholds!$E$46,"UM","H")))</f>
        <v>UM</v>
      </c>
      <c r="AX6" s="42" t="str">
        <f>IF('GNI per capita'!AX6&lt;=Thresholds!$C$47,"L",IF('GNI per capita'!AX6&lt;=Thresholds!$D$47,"LM",IF('GNI per capita'!AX6&lt;=Thresholds!$E$47,"UM","H")))</f>
        <v>UM</v>
      </c>
      <c r="AY6" s="42" t="str">
        <f>IF('GNI per capita'!AY6&lt;=Thresholds!$C$48,"L",IF('GNI per capita'!AY6&lt;=Thresholds!$D$48,"LM",IF('GNI per capita'!AY6&lt;=Thresholds!$E$48,"UM","H")))</f>
        <v>UM</v>
      </c>
      <c r="AZ6" s="42" t="str">
        <f>IF('GNI per capita'!AZ6&lt;=Thresholds!$C$49,"L",IF('GNI per capita'!AZ6&lt;=Thresholds!$D$49,"LM",IF('GNI per capita'!AZ6&lt;=Thresholds!$E$49,"UM","H")))</f>
        <v>UM</v>
      </c>
      <c r="BA6" s="42" t="str">
        <f>IF('GNI per capita'!BA6&lt;=Thresholds!$C$50,"L",IF('GNI per capita'!BA6&lt;=Thresholds!$D$50,"LM",IF('GNI per capita'!BA6&lt;=Thresholds!$E$50,"UM","H")))</f>
        <v>UM</v>
      </c>
      <c r="BB6" s="42" t="str">
        <f>IF('GNI per capita'!BB6&lt;=Thresholds!$C$51,"L",IF('GNI per capita'!BB6&lt;=Thresholds!$D$51,"LM",IF('GNI per capita'!BB6&lt;=Thresholds!$E$51,"UM","H")))</f>
        <v>UM</v>
      </c>
      <c r="BC6" s="42" t="str">
        <f>IF('GNI per capita'!BC6&lt;=Thresholds!$C$52,"L",IF('GNI per capita'!BC6&lt;=Thresholds!$D$52,"LM",IF('GNI per capita'!BC6&lt;=Thresholds!$E$52,"UM","H")))</f>
        <v>UM</v>
      </c>
      <c r="BD6" s="42" t="str">
        <f>IF('GNI per capita'!BD6&lt;=Thresholds!$C$53,"L",IF('GNI per capita'!BD6&lt;=Thresholds!$D$53,"LM",IF('GNI per capita'!BD6&lt;=Thresholds!$E$53,"UM","H")))</f>
        <v>UM</v>
      </c>
      <c r="BE6" s="42" t="str">
        <f>IF('GNI per capita'!BE6&lt;=Thresholds!$C$54,"L",IF('GNI per capita'!BE6&lt;=Thresholds!$D$54,"LM",IF('GNI per capita'!BE6&lt;=Thresholds!$E$54,"UM","H")))</f>
        <v>UM</v>
      </c>
      <c r="BF6" s="42" t="str">
        <f>IF('GNI per capita'!BF6&lt;=Thresholds!$C$55,"L",IF('GNI per capita'!BF6&lt;=Thresholds!$D$55,"LM",IF('GNI per capita'!BF6&lt;=Thresholds!$E$55,"UM","H")))</f>
        <v>UM</v>
      </c>
      <c r="BG6" s="42" t="str">
        <f>IF('GNI per capita'!BG6&lt;=Thresholds!$C$56,"L",IF('GNI per capita'!BG6&lt;=Thresholds!$D$56,"LM",IF('GNI per capita'!BG6&lt;=Thresholds!$E$56,"UM","H")))</f>
        <v>UM</v>
      </c>
      <c r="BH6" s="42" t="str">
        <f>IF('GNI per capita'!BH6&lt;=Thresholds!$C$57,"L",IF('GNI per capita'!BH6&lt;=Thresholds!$D$57,"LM",IF('GNI per capita'!BH6&lt;=Thresholds!$E$57,"UM","H")))</f>
        <v>UM</v>
      </c>
      <c r="BI6" s="42" t="str">
        <f>IF('GNI per capita'!BI6&lt;=Thresholds!$C$58,"L",IF('GNI per capita'!BI6&lt;=Thresholds!$D$58,"LM",IF('GNI per capita'!BI6&lt;=Thresholds!$E$58,"UM","H")))</f>
        <v>UM</v>
      </c>
      <c r="BJ6" s="42" t="str">
        <f>IF('GNI per capita'!BJ6&lt;=Thresholds!$C$59,"L",IF('GNI per capita'!BJ6&lt;=Thresholds!$D$59,"LM",IF('GNI per capita'!BJ6&lt;=Thresholds!$E$59,"UM","H")))</f>
        <v>UM</v>
      </c>
      <c r="BK6" s="42" t="str">
        <f>IF('GNI per capita'!BK6&lt;=Thresholds!$C$60,"L",IF('GNI per capita'!BK6&lt;=Thresholds!$D$60,"LM",IF('GNI per capita'!BK6&lt;=Thresholds!$E$60,"UM","H")))</f>
        <v>UM</v>
      </c>
      <c r="BL6" s="42" t="str">
        <f>IF('GNI per capita'!BL6&lt;=Thresholds!$C$61,"L",IF('GNI per capita'!BL6&lt;=Thresholds!$D$61,"LM",IF('GNI per capita'!BL6&lt;=Thresholds!$E$61,"UM","H")))</f>
        <v>UM</v>
      </c>
      <c r="BM6" s="42" t="str">
        <f>IF('GNI per capita'!BM6&lt;=Thresholds!$C$62,"L",IF('GNI per capita'!BM6&lt;=Thresholds!$D$62,"LM",IF('GNI per capita'!BM6&lt;=Thresholds!$E$62,"UM","H")))</f>
        <v>UM</v>
      </c>
      <c r="BN6" s="42" t="str">
        <f>IF('GNI per capita'!BN6&lt;=Thresholds!$C$63,"L",IF('GNI per capita'!BN6&lt;=Thresholds!$D$63,"LM",IF('GNI per capita'!BN6&lt;=Thresholds!$E$63,"UM","H")))</f>
        <v>UM</v>
      </c>
      <c r="BO6" s="42" t="str">
        <f>IF('GNI per capita'!BO6&lt;=Thresholds!$C$64,"L",IF('GNI per capita'!BO6&lt;=Thresholds!$D$64,"LM",IF('GNI per capita'!BO6&lt;=Thresholds!$E$64,"UM","H")))</f>
        <v>UM</v>
      </c>
      <c r="BP6" s="42" t="str">
        <f>IF('GNI per capita'!BP6&lt;=Thresholds!$C$65,"L",IF('GNI per capita'!BP6&lt;=Thresholds!$D$65,"LM",IF('GNI per capita'!BP6&lt;=Thresholds!$E$65,"UM","H")))</f>
        <v>UM</v>
      </c>
      <c r="BQ6" s="42" t="str">
        <f>IF('GNI per capita'!BQ6&lt;=Thresholds!$C$66,"L",IF('GNI per capita'!BQ6&lt;=Thresholds!$D$66,"LM",IF('GNI per capita'!BQ6&lt;=Thresholds!$E$66,"UM","H")))</f>
        <v>UM</v>
      </c>
      <c r="BR6" s="42" t="str">
        <f>IF('GNI per capita'!BR6&lt;=Thresholds!$C$67,"L",IF('GNI per capita'!BR6&lt;=Thresholds!$D$67,"LM",IF('GNI per capita'!BR6&lt;=Thresholds!$E$67,"UM","H")))</f>
        <v>UM</v>
      </c>
      <c r="BS6" s="42" t="str">
        <f>IF('GNI per capita'!BS6&lt;=Thresholds!$C$68,"L",IF('GNI per capita'!BS6&lt;=Thresholds!$D$68,"LM",IF('GNI per capita'!BS6&lt;=Thresholds!$E$68,"UM","H")))</f>
        <v>UM</v>
      </c>
    </row>
    <row r="7" spans="1:71" x14ac:dyDescent="0.2">
      <c r="A7" s="2" t="s">
        <v>202</v>
      </c>
      <c r="B7" s="2" t="s">
        <v>203</v>
      </c>
      <c r="C7" s="11" t="s">
        <v>79</v>
      </c>
      <c r="G7" s="28" t="s">
        <v>204</v>
      </c>
      <c r="H7" s="41" t="s">
        <v>79</v>
      </c>
      <c r="I7" s="41" t="s">
        <v>79</v>
      </c>
      <c r="J7" s="41" t="s">
        <v>79</v>
      </c>
      <c r="K7" s="41" t="s">
        <v>82</v>
      </c>
      <c r="L7" s="41" t="s">
        <v>82</v>
      </c>
      <c r="M7" s="41" t="s">
        <v>82</v>
      </c>
      <c r="N7" s="41" t="s">
        <v>82</v>
      </c>
      <c r="O7" s="41" t="s">
        <v>82</v>
      </c>
      <c r="P7" s="41" t="s">
        <v>82</v>
      </c>
      <c r="Q7" s="41" t="s">
        <v>82</v>
      </c>
      <c r="R7" s="41" t="s">
        <v>82</v>
      </c>
      <c r="S7" s="41" t="s">
        <v>82</v>
      </c>
      <c r="T7" s="41" t="s">
        <v>82</v>
      </c>
      <c r="U7" s="41" t="s">
        <v>82</v>
      </c>
      <c r="V7" s="41" t="s">
        <v>82</v>
      </c>
      <c r="W7" s="41" t="s">
        <v>82</v>
      </c>
      <c r="X7" s="41" t="s">
        <v>82</v>
      </c>
      <c r="Y7" s="41" t="s">
        <v>82</v>
      </c>
      <c r="Z7" s="41" t="s">
        <v>82</v>
      </c>
      <c r="AA7" s="41" t="s">
        <v>82</v>
      </c>
      <c r="AB7" s="41" t="s">
        <v>82</v>
      </c>
      <c r="AC7" s="41" t="s">
        <v>82</v>
      </c>
      <c r="AD7" s="41" t="s">
        <v>82</v>
      </c>
      <c r="AE7" s="41" t="s">
        <v>82</v>
      </c>
      <c r="AF7" s="41" t="s">
        <v>82</v>
      </c>
      <c r="AG7" s="41" t="s">
        <v>82</v>
      </c>
      <c r="AH7" s="41" t="s">
        <v>82</v>
      </c>
      <c r="AI7" s="41" t="s">
        <v>82</v>
      </c>
      <c r="AJ7" s="41" t="s">
        <v>82</v>
      </c>
      <c r="AK7" s="41" t="s">
        <v>82</v>
      </c>
      <c r="AL7" s="41" t="s">
        <v>82</v>
      </c>
      <c r="AM7" s="41" t="s">
        <v>82</v>
      </c>
      <c r="AN7" s="41" t="s">
        <v>82</v>
      </c>
      <c r="AO7" s="41" t="s">
        <v>82</v>
      </c>
      <c r="AP7" s="41" t="s">
        <v>82</v>
      </c>
      <c r="AQ7" s="41" t="s">
        <v>79</v>
      </c>
      <c r="AR7" s="41" t="s">
        <v>79</v>
      </c>
      <c r="AS7" s="41" t="s">
        <v>79</v>
      </c>
      <c r="AT7" s="41" t="s">
        <v>79</v>
      </c>
      <c r="AU7" s="42" t="str">
        <f t="shared" ref="AU7:BD8" si="0">$C7</f>
        <v>H</v>
      </c>
      <c r="AV7" s="42" t="str">
        <f t="shared" si="0"/>
        <v>H</v>
      </c>
      <c r="AW7" s="42" t="str">
        <f t="shared" si="0"/>
        <v>H</v>
      </c>
      <c r="AX7" s="42" t="str">
        <f t="shared" si="0"/>
        <v>H</v>
      </c>
      <c r="AY7" s="42" t="str">
        <f t="shared" si="0"/>
        <v>H</v>
      </c>
      <c r="AZ7" s="42" t="str">
        <f t="shared" si="0"/>
        <v>H</v>
      </c>
      <c r="BA7" s="42" t="str">
        <f t="shared" si="0"/>
        <v>H</v>
      </c>
      <c r="BB7" s="42" t="str">
        <f t="shared" si="0"/>
        <v>H</v>
      </c>
      <c r="BC7" s="42" t="str">
        <f t="shared" si="0"/>
        <v>H</v>
      </c>
      <c r="BD7" s="42" t="str">
        <f t="shared" si="0"/>
        <v>H</v>
      </c>
      <c r="BE7" s="42" t="str">
        <f t="shared" ref="BE7:BS8" si="1">$C7</f>
        <v>H</v>
      </c>
      <c r="BF7" s="42" t="str">
        <f t="shared" si="1"/>
        <v>H</v>
      </c>
      <c r="BG7" s="42" t="str">
        <f t="shared" si="1"/>
        <v>H</v>
      </c>
      <c r="BH7" s="42" t="str">
        <f t="shared" si="1"/>
        <v>H</v>
      </c>
      <c r="BI7" s="42" t="str">
        <f t="shared" si="1"/>
        <v>H</v>
      </c>
      <c r="BJ7" s="42" t="str">
        <f t="shared" si="1"/>
        <v>H</v>
      </c>
      <c r="BK7" s="42" t="str">
        <f t="shared" si="1"/>
        <v>H</v>
      </c>
      <c r="BL7" s="42" t="str">
        <f t="shared" si="1"/>
        <v>H</v>
      </c>
      <c r="BM7" s="42" t="str">
        <f t="shared" si="1"/>
        <v>H</v>
      </c>
      <c r="BN7" s="42" t="str">
        <f t="shared" si="1"/>
        <v>H</v>
      </c>
      <c r="BO7" s="42" t="str">
        <f t="shared" si="1"/>
        <v>H</v>
      </c>
      <c r="BP7" s="42" t="str">
        <f t="shared" si="1"/>
        <v>H</v>
      </c>
      <c r="BQ7" s="42" t="str">
        <f t="shared" si="1"/>
        <v>H</v>
      </c>
      <c r="BR7" s="42" t="str">
        <f t="shared" si="1"/>
        <v>H</v>
      </c>
      <c r="BS7" s="42" t="str">
        <f t="shared" si="1"/>
        <v>H</v>
      </c>
    </row>
    <row r="8" spans="1:71" x14ac:dyDescent="0.2">
      <c r="A8" s="2" t="s">
        <v>205</v>
      </c>
      <c r="B8" s="2" t="s">
        <v>206</v>
      </c>
      <c r="C8" s="11" t="s">
        <v>79</v>
      </c>
      <c r="G8" s="28" t="s">
        <v>207</v>
      </c>
      <c r="H8" s="41"/>
      <c r="I8" s="41"/>
      <c r="J8" s="41"/>
      <c r="K8" s="41" t="s">
        <v>79</v>
      </c>
      <c r="L8" s="41" t="s">
        <v>79</v>
      </c>
      <c r="M8" s="41" t="s">
        <v>79</v>
      </c>
      <c r="N8" s="41" t="s">
        <v>79</v>
      </c>
      <c r="O8" s="41" t="s">
        <v>79</v>
      </c>
      <c r="P8" s="41" t="s">
        <v>79</v>
      </c>
      <c r="Q8" s="41" t="s">
        <v>79</v>
      </c>
      <c r="R8" s="41" t="s">
        <v>79</v>
      </c>
      <c r="S8" s="41" t="s">
        <v>79</v>
      </c>
      <c r="T8" s="41" t="s">
        <v>79</v>
      </c>
      <c r="U8" s="41" t="s">
        <v>79</v>
      </c>
      <c r="V8" s="41" t="s">
        <v>79</v>
      </c>
      <c r="W8" s="41" t="s">
        <v>79</v>
      </c>
      <c r="X8" s="41" t="s">
        <v>79</v>
      </c>
      <c r="Y8" s="41" t="s">
        <v>79</v>
      </c>
      <c r="Z8" s="41" t="s">
        <v>79</v>
      </c>
      <c r="AA8" s="41" t="s">
        <v>79</v>
      </c>
      <c r="AB8" s="41" t="s">
        <v>79</v>
      </c>
      <c r="AC8" s="41" t="s">
        <v>79</v>
      </c>
      <c r="AD8" s="41" t="s">
        <v>79</v>
      </c>
      <c r="AE8" s="41" t="s">
        <v>79</v>
      </c>
      <c r="AF8" s="41" t="s">
        <v>79</v>
      </c>
      <c r="AG8" s="41" t="s">
        <v>79</v>
      </c>
      <c r="AH8" s="41" t="s">
        <v>79</v>
      </c>
      <c r="AI8" s="41" t="s">
        <v>79</v>
      </c>
      <c r="AJ8" s="41" t="s">
        <v>79</v>
      </c>
      <c r="AK8" s="41" t="s">
        <v>79</v>
      </c>
      <c r="AL8" s="41" t="s">
        <v>79</v>
      </c>
      <c r="AM8" s="41" t="s">
        <v>79</v>
      </c>
      <c r="AN8" s="41" t="s">
        <v>79</v>
      </c>
      <c r="AO8" s="41" t="s">
        <v>79</v>
      </c>
      <c r="AP8" s="41" t="s">
        <v>79</v>
      </c>
      <c r="AQ8" s="41" t="s">
        <v>79</v>
      </c>
      <c r="AR8" s="41" t="s">
        <v>79</v>
      </c>
      <c r="AS8" s="41" t="s">
        <v>79</v>
      </c>
      <c r="AT8" s="41" t="s">
        <v>79</v>
      </c>
      <c r="AU8" s="42" t="str">
        <f t="shared" si="0"/>
        <v>H</v>
      </c>
      <c r="AV8" s="42" t="str">
        <f t="shared" si="0"/>
        <v>H</v>
      </c>
      <c r="AW8" s="42" t="str">
        <f t="shared" si="0"/>
        <v>H</v>
      </c>
      <c r="AX8" s="42" t="str">
        <f t="shared" si="0"/>
        <v>H</v>
      </c>
      <c r="AY8" s="42" t="str">
        <f t="shared" si="0"/>
        <v>H</v>
      </c>
      <c r="AZ8" s="42" t="str">
        <f t="shared" si="0"/>
        <v>H</v>
      </c>
      <c r="BA8" s="42" t="str">
        <f t="shared" si="0"/>
        <v>H</v>
      </c>
      <c r="BB8" s="42" t="str">
        <f t="shared" si="0"/>
        <v>H</v>
      </c>
      <c r="BC8" s="42" t="str">
        <f t="shared" si="0"/>
        <v>H</v>
      </c>
      <c r="BD8" s="42" t="str">
        <f t="shared" si="0"/>
        <v>H</v>
      </c>
      <c r="BE8" s="42" t="str">
        <f t="shared" si="1"/>
        <v>H</v>
      </c>
      <c r="BF8" s="42" t="str">
        <f t="shared" si="1"/>
        <v>H</v>
      </c>
      <c r="BG8" s="42" t="str">
        <f t="shared" si="1"/>
        <v>H</v>
      </c>
      <c r="BH8" s="42" t="str">
        <f t="shared" si="1"/>
        <v>H</v>
      </c>
      <c r="BI8" s="42" t="str">
        <f t="shared" si="1"/>
        <v>H</v>
      </c>
      <c r="BJ8" s="42" t="str">
        <f t="shared" si="1"/>
        <v>H</v>
      </c>
      <c r="BK8" s="42" t="str">
        <f t="shared" si="1"/>
        <v>H</v>
      </c>
      <c r="BL8" s="42" t="str">
        <f t="shared" si="1"/>
        <v>H</v>
      </c>
      <c r="BM8" s="42" t="str">
        <f t="shared" si="1"/>
        <v>H</v>
      </c>
      <c r="BN8" s="42" t="str">
        <f t="shared" si="1"/>
        <v>H</v>
      </c>
      <c r="BO8" s="42" t="str">
        <f t="shared" si="1"/>
        <v>H</v>
      </c>
      <c r="BP8" s="42" t="str">
        <f t="shared" si="1"/>
        <v>H</v>
      </c>
      <c r="BQ8" s="42" t="str">
        <f t="shared" si="1"/>
        <v>H</v>
      </c>
      <c r="BR8" s="42" t="str">
        <f t="shared" si="1"/>
        <v>H</v>
      </c>
      <c r="BS8" s="42" t="str">
        <f t="shared" si="1"/>
        <v>H</v>
      </c>
    </row>
    <row r="9" spans="1:71" x14ac:dyDescent="0.2">
      <c r="A9" s="2" t="s">
        <v>208</v>
      </c>
      <c r="B9" s="2" t="s">
        <v>209</v>
      </c>
      <c r="C9" s="11" t="s">
        <v>210</v>
      </c>
      <c r="G9" s="2" t="s">
        <v>211</v>
      </c>
      <c r="H9" s="41"/>
      <c r="I9" s="41" t="s">
        <v>210</v>
      </c>
      <c r="J9" s="41" t="s">
        <v>210</v>
      </c>
      <c r="K9" s="41" t="s">
        <v>210</v>
      </c>
      <c r="L9" s="41" t="s">
        <v>210</v>
      </c>
      <c r="M9" s="41" t="s">
        <v>210</v>
      </c>
      <c r="N9" s="41" t="s">
        <v>210</v>
      </c>
      <c r="O9" s="41" t="s">
        <v>210</v>
      </c>
      <c r="P9" s="41" t="s">
        <v>75</v>
      </c>
      <c r="Q9" s="41" t="s">
        <v>75</v>
      </c>
      <c r="R9" s="41" t="s">
        <v>75</v>
      </c>
      <c r="S9" s="41" t="s">
        <v>75</v>
      </c>
      <c r="T9" s="41" t="s">
        <v>75</v>
      </c>
      <c r="U9" s="41" t="s">
        <v>75</v>
      </c>
      <c r="V9" s="41" t="s">
        <v>75</v>
      </c>
      <c r="W9" s="41" t="s">
        <v>75</v>
      </c>
      <c r="X9" s="41" t="s">
        <v>75</v>
      </c>
      <c r="Y9" s="41" t="s">
        <v>210</v>
      </c>
      <c r="Z9" s="41" t="s">
        <v>210</v>
      </c>
      <c r="AA9" s="41" t="s">
        <v>210</v>
      </c>
      <c r="AB9" s="41" t="s">
        <v>210</v>
      </c>
      <c r="AC9" s="41" t="s">
        <v>210</v>
      </c>
      <c r="AD9" s="41" t="s">
        <v>210</v>
      </c>
      <c r="AE9" s="41" t="s">
        <v>210</v>
      </c>
      <c r="AF9" s="41" t="s">
        <v>82</v>
      </c>
      <c r="AG9" s="41" t="s">
        <v>82</v>
      </c>
      <c r="AH9" s="41" t="s">
        <v>82</v>
      </c>
      <c r="AI9" s="41" t="s">
        <v>82</v>
      </c>
      <c r="AJ9" s="41" t="s">
        <v>82</v>
      </c>
      <c r="AK9" s="41" t="s">
        <v>210</v>
      </c>
      <c r="AL9" s="41" t="s">
        <v>210</v>
      </c>
      <c r="AM9" s="41" t="s">
        <v>210</v>
      </c>
      <c r="AN9" s="41" t="s">
        <v>210</v>
      </c>
      <c r="AO9" s="41" t="s">
        <v>210</v>
      </c>
      <c r="AP9" s="41" t="s">
        <v>210</v>
      </c>
      <c r="AQ9" s="41" t="s">
        <v>210</v>
      </c>
      <c r="AR9" s="41" t="s">
        <v>210</v>
      </c>
      <c r="AS9" s="41" t="s">
        <v>210</v>
      </c>
      <c r="AT9" s="41" t="s">
        <v>210</v>
      </c>
      <c r="AU9" s="42" t="str">
        <f>IF('GNI per capita'!AU9&lt;=Thresholds!$C$44,"L",IF('GNI per capita'!AU9&lt;=Thresholds!$D$44,"LM",IF('GNI per capita'!AU9&lt;=Thresholds!$E$44,"UM","H")))</f>
        <v>LM</v>
      </c>
      <c r="AV9" s="42" t="str">
        <f>IF('GNI per capita'!AV9&lt;=Thresholds!$C$45,"L",IF('GNI per capita'!AV9&lt;=Thresholds!$D$45,"LM",IF('GNI per capita'!AV9&lt;=Thresholds!$E$45,"UM","H")))</f>
        <v>LM</v>
      </c>
      <c r="AW9" s="42" t="str">
        <f>IF('GNI per capita'!AW9&lt;=Thresholds!$C$46,"L",IF('GNI per capita'!AW9&lt;=Thresholds!$D$46,"LM",IF('GNI per capita'!AW9&lt;=Thresholds!$E$46,"UM","H")))</f>
        <v>LM</v>
      </c>
      <c r="AX9" s="42" t="str">
        <f>IF('GNI per capita'!AX9&lt;=Thresholds!$C$47,"L",IF('GNI per capita'!AX9&lt;=Thresholds!$D$47,"LM",IF('GNI per capita'!AX9&lt;=Thresholds!$E$47,"UM","H")))</f>
        <v>LM</v>
      </c>
      <c r="AY9" s="42" t="str">
        <f>IF('GNI per capita'!AY9&lt;=Thresholds!$C$48,"L",IF('GNI per capita'!AY9&lt;=Thresholds!$D$48,"LM",IF('GNI per capita'!AY9&lt;=Thresholds!$E$48,"UM","H")))</f>
        <v>LM</v>
      </c>
      <c r="AZ9" s="42" t="str">
        <f>IF('GNI per capita'!AZ9&lt;=Thresholds!$C$49,"L",IF('GNI per capita'!AZ9&lt;=Thresholds!$D$49,"LM",IF('GNI per capita'!AZ9&lt;=Thresholds!$E$49,"UM","H")))</f>
        <v>LM</v>
      </c>
      <c r="BA9" s="42" t="str">
        <f>IF('GNI per capita'!BA9&lt;=Thresholds!$C$50,"L",IF('GNI per capita'!BA9&lt;=Thresholds!$D$50,"LM",IF('GNI per capita'!BA9&lt;=Thresholds!$E$50,"UM","H")))</f>
        <v>LM</v>
      </c>
      <c r="BB9" s="42" t="str">
        <f>IF('GNI per capita'!BB9&lt;=Thresholds!$C$51,"L",IF('GNI per capita'!BB9&lt;=Thresholds!$D$51,"LM",IF('GNI per capita'!BB9&lt;=Thresholds!$E$51,"UM","H")))</f>
        <v>LM</v>
      </c>
      <c r="BC9" s="42" t="str">
        <f>IF('GNI per capita'!BC9&lt;=Thresholds!$C$52,"L",IF('GNI per capita'!BC9&lt;=Thresholds!$D$52,"LM",IF('GNI per capita'!BC9&lt;=Thresholds!$E$52,"UM","H")))</f>
        <v>LM</v>
      </c>
      <c r="BD9" s="42" t="str">
        <f>IF('GNI per capita'!BD9&lt;=Thresholds!$C$53,"L",IF('GNI per capita'!BD9&lt;=Thresholds!$D$53,"LM",IF('GNI per capita'!BD9&lt;=Thresholds!$E$53,"UM","H")))</f>
        <v>LM</v>
      </c>
      <c r="BE9" s="42" t="str">
        <f>IF('GNI per capita'!BE9&lt;=Thresholds!$C$54,"L",IF('GNI per capita'!BE9&lt;=Thresholds!$D$54,"LM",IF('GNI per capita'!BE9&lt;=Thresholds!$E$54,"UM","H")))</f>
        <v>LM</v>
      </c>
      <c r="BF9" s="42" t="str">
        <f>IF('GNI per capita'!BF9&lt;=Thresholds!$C$55,"L",IF('GNI per capita'!BF9&lt;=Thresholds!$D$55,"LM",IF('GNI per capita'!BF9&lt;=Thresholds!$E$55,"UM","H")))</f>
        <v>LM</v>
      </c>
      <c r="BG9" s="42" t="str">
        <f>IF('GNI per capita'!BG9&lt;=Thresholds!$C$56,"L",IF('GNI per capita'!BG9&lt;=Thresholds!$D$56,"LM",IF('GNI per capita'!BG9&lt;=Thresholds!$E$56,"UM","H")))</f>
        <v>LM</v>
      </c>
      <c r="BH9" s="42" t="str">
        <f>IF('GNI per capita'!BH9&lt;=Thresholds!$C$57,"L",IF('GNI per capita'!BH9&lt;=Thresholds!$D$57,"LM",IF('GNI per capita'!BH9&lt;=Thresholds!$E$57,"UM","H")))</f>
        <v>LM</v>
      </c>
      <c r="BI9" s="42" t="str">
        <f>IF('GNI per capita'!BI9&lt;=Thresholds!$C$58,"L",IF('GNI per capita'!BI9&lt;=Thresholds!$D$58,"LM",IF('GNI per capita'!BI9&lt;=Thresholds!$E$58,"UM","H")))</f>
        <v>LM</v>
      </c>
      <c r="BJ9" s="42" t="str">
        <f>IF('GNI per capita'!BJ9&lt;=Thresholds!$C$59,"L",IF('GNI per capita'!BJ9&lt;=Thresholds!$D$59,"LM",IF('GNI per capita'!BJ9&lt;=Thresholds!$E$59,"UM","H")))</f>
        <v>LM</v>
      </c>
      <c r="BK9" s="42" t="str">
        <f>IF('GNI per capita'!BK9&lt;=Thresholds!$C$60,"L",IF('GNI per capita'!BK9&lt;=Thresholds!$D$60,"LM",IF('GNI per capita'!BK9&lt;=Thresholds!$E$60,"UM","H")))</f>
        <v>LM</v>
      </c>
      <c r="BL9" s="42" t="str">
        <f>IF('GNI per capita'!BL9&lt;=Thresholds!$C$61,"L",IF('GNI per capita'!BL9&lt;=Thresholds!$D$61,"LM",IF('GNI per capita'!BL9&lt;=Thresholds!$E$61,"UM","H")))</f>
        <v>LM</v>
      </c>
      <c r="BM9" s="42" t="str">
        <f>IF('GNI per capita'!BM9&lt;=Thresholds!$C$62,"L",IF('GNI per capita'!BM9&lt;=Thresholds!$D$62,"LM",IF('GNI per capita'!BM9&lt;=Thresholds!$E$62,"UM","H")))</f>
        <v>LM</v>
      </c>
      <c r="BN9" s="42" t="str">
        <f>IF('GNI per capita'!BN9&lt;=Thresholds!$C$63,"L",IF('GNI per capita'!BN9&lt;=Thresholds!$D$63,"LM",IF('GNI per capita'!BN9&lt;=Thresholds!$E$63,"UM","H")))</f>
        <v>LM</v>
      </c>
      <c r="BO9" s="42" t="str">
        <f>IF('GNI per capita'!BO9&lt;=Thresholds!$C$64,"L",IF('GNI per capita'!BO9&lt;=Thresholds!$D$64,"LM",IF('GNI per capita'!BO9&lt;=Thresholds!$E$64,"UM","H")))</f>
        <v>LM</v>
      </c>
      <c r="BP9" s="42" t="str">
        <f>IF('GNI per capita'!BP9&lt;=Thresholds!$C$65,"L",IF('GNI per capita'!BP9&lt;=Thresholds!$D$65,"LM",IF('GNI per capita'!BP9&lt;=Thresholds!$E$65,"UM","H")))</f>
        <v>LM</v>
      </c>
      <c r="BQ9" s="42" t="str">
        <f>IF('GNI per capita'!BQ9&lt;=Thresholds!$C$66,"L",IF('GNI per capita'!BQ9&lt;=Thresholds!$D$66,"LM",IF('GNI per capita'!BQ9&lt;=Thresholds!$E$66,"UM","H")))</f>
        <v>LM</v>
      </c>
      <c r="BR9" s="42" t="str">
        <f>IF('GNI per capita'!BR9&lt;=Thresholds!$C$67,"L",IF('GNI per capita'!BR9&lt;=Thresholds!$D$67,"LM",IF('GNI per capita'!BR9&lt;=Thresholds!$E$67,"UM","H")))</f>
        <v>LM</v>
      </c>
      <c r="BS9" s="42" t="str">
        <f>IF('GNI per capita'!BS9&lt;=Thresholds!$C$68,"L",IF('GNI per capita'!BS9&lt;=Thresholds!$D$68,"LM",IF('GNI per capita'!BS9&lt;=Thresholds!$E$68,"UM","H")))</f>
        <v>LM</v>
      </c>
    </row>
    <row r="10" spans="1:71" x14ac:dyDescent="0.2">
      <c r="A10" s="2" t="s">
        <v>212</v>
      </c>
      <c r="B10" s="2" t="s">
        <v>213</v>
      </c>
      <c r="C10" s="11" t="s">
        <v>79</v>
      </c>
      <c r="G10" s="2" t="s">
        <v>162</v>
      </c>
      <c r="H10" s="41" t="s">
        <v>82</v>
      </c>
      <c r="I10" s="41" t="s">
        <v>82</v>
      </c>
      <c r="J10" s="41" t="s">
        <v>82</v>
      </c>
      <c r="K10" s="41" t="s">
        <v>82</v>
      </c>
      <c r="L10" s="41" t="s">
        <v>82</v>
      </c>
      <c r="M10" s="41" t="s">
        <v>82</v>
      </c>
      <c r="N10" s="41" t="s">
        <v>82</v>
      </c>
      <c r="O10" s="41" t="s">
        <v>82</v>
      </c>
      <c r="P10" s="41" t="s">
        <v>82</v>
      </c>
      <c r="Q10" s="41" t="s">
        <v>82</v>
      </c>
      <c r="R10" s="41" t="s">
        <v>82</v>
      </c>
      <c r="S10" s="41" t="s">
        <v>82</v>
      </c>
      <c r="T10" s="41" t="s">
        <v>82</v>
      </c>
      <c r="U10" s="41" t="s">
        <v>82</v>
      </c>
      <c r="V10" s="41" t="s">
        <v>82</v>
      </c>
      <c r="W10" s="41" t="s">
        <v>79</v>
      </c>
      <c r="X10" s="41" t="s">
        <v>82</v>
      </c>
      <c r="Y10" s="41" t="s">
        <v>82</v>
      </c>
      <c r="Z10" s="41" t="s">
        <v>79</v>
      </c>
      <c r="AA10" s="41" t="s">
        <v>79</v>
      </c>
      <c r="AB10" s="41" t="s">
        <v>79</v>
      </c>
      <c r="AC10" s="41" t="s">
        <v>79</v>
      </c>
      <c r="AD10" s="41" t="s">
        <v>82</v>
      </c>
      <c r="AE10" s="41" t="s">
        <v>82</v>
      </c>
      <c r="AF10" s="41" t="s">
        <v>82</v>
      </c>
      <c r="AG10" s="41" t="s">
        <v>79</v>
      </c>
      <c r="AH10" s="41" t="s">
        <v>79</v>
      </c>
      <c r="AI10" s="41" t="s">
        <v>79</v>
      </c>
      <c r="AJ10" s="41" t="s">
        <v>79</v>
      </c>
      <c r="AK10" s="41" t="s">
        <v>79</v>
      </c>
      <c r="AL10" s="41" t="s">
        <v>79</v>
      </c>
      <c r="AM10" s="41" t="s">
        <v>79</v>
      </c>
      <c r="AN10" s="41" t="s">
        <v>79</v>
      </c>
      <c r="AO10" s="41" t="s">
        <v>79</v>
      </c>
      <c r="AP10" s="41" t="s">
        <v>79</v>
      </c>
      <c r="AQ10" s="41" t="s">
        <v>79</v>
      </c>
      <c r="AR10" s="41" t="s">
        <v>79</v>
      </c>
      <c r="AS10" s="41" t="s">
        <v>79</v>
      </c>
      <c r="AT10" s="41" t="s">
        <v>79</v>
      </c>
      <c r="AU10" s="42" t="str">
        <f>IF('GNI per capita'!AU10&lt;=Thresholds!$C$44,"L",IF('GNI per capita'!AU10&lt;=Thresholds!$D$44,"LM",IF('GNI per capita'!AU10&lt;=Thresholds!$E$44,"UM","H")))</f>
        <v>H</v>
      </c>
      <c r="AV10" s="42" t="str">
        <f>IF('GNI per capita'!AV10&lt;=Thresholds!$C$45,"L",IF('GNI per capita'!AV10&lt;=Thresholds!$D$45,"LM",IF('GNI per capita'!AV10&lt;=Thresholds!$E$45,"UM","H")))</f>
        <v>H</v>
      </c>
      <c r="AW10" s="42" t="str">
        <f>IF('GNI per capita'!AW10&lt;=Thresholds!$C$46,"L",IF('GNI per capita'!AW10&lt;=Thresholds!$D$46,"LM",IF('GNI per capita'!AW10&lt;=Thresholds!$E$46,"UM","H")))</f>
        <v>H</v>
      </c>
      <c r="AX10" s="42" t="str">
        <f>IF('GNI per capita'!AX10&lt;=Thresholds!$C$47,"L",IF('GNI per capita'!AX10&lt;=Thresholds!$D$47,"LM",IF('GNI per capita'!AX10&lt;=Thresholds!$E$47,"UM","H")))</f>
        <v>H</v>
      </c>
      <c r="AY10" s="42" t="str">
        <f>IF('GNI per capita'!AY10&lt;=Thresholds!$C$48,"L",IF('GNI per capita'!AY10&lt;=Thresholds!$D$48,"LM",IF('GNI per capita'!AY10&lt;=Thresholds!$E$48,"UM","H")))</f>
        <v>H</v>
      </c>
      <c r="AZ10" s="42" t="str">
        <f>IF('GNI per capita'!AZ10&lt;=Thresholds!$C$49,"L",IF('GNI per capita'!AZ10&lt;=Thresholds!$D$49,"LM",IF('GNI per capita'!AZ10&lt;=Thresholds!$E$49,"UM","H")))</f>
        <v>H</v>
      </c>
      <c r="BA10" s="42" t="str">
        <f>IF('GNI per capita'!BA10&lt;=Thresholds!$C$50,"L",IF('GNI per capita'!BA10&lt;=Thresholds!$D$50,"LM",IF('GNI per capita'!BA10&lt;=Thresholds!$E$50,"UM","H")))</f>
        <v>H</v>
      </c>
      <c r="BB10" s="42" t="str">
        <f>IF('GNI per capita'!BB10&lt;=Thresholds!$C$51,"L",IF('GNI per capita'!BB10&lt;=Thresholds!$D$51,"LM",IF('GNI per capita'!BB10&lt;=Thresholds!$E$51,"UM","H")))</f>
        <v>H</v>
      </c>
      <c r="BC10" s="42" t="str">
        <f>IF('GNI per capita'!BC10&lt;=Thresholds!$C$52,"L",IF('GNI per capita'!BC10&lt;=Thresholds!$D$52,"LM",IF('GNI per capita'!BC10&lt;=Thresholds!$E$52,"UM","H")))</f>
        <v>H</v>
      </c>
      <c r="BD10" s="42" t="str">
        <f>IF('GNI per capita'!BD10&lt;=Thresholds!$C$53,"L",IF('GNI per capita'!BD10&lt;=Thresholds!$D$53,"LM",IF('GNI per capita'!BD10&lt;=Thresholds!$E$53,"UM","H")))</f>
        <v>H</v>
      </c>
      <c r="BE10" s="42" t="str">
        <f>IF('GNI per capita'!BE10&lt;=Thresholds!$C$54,"L",IF('GNI per capita'!BE10&lt;=Thresholds!$D$54,"LM",IF('GNI per capita'!BE10&lt;=Thresholds!$E$54,"UM","H")))</f>
        <v>H</v>
      </c>
      <c r="BF10" s="42" t="str">
        <f>IF('GNI per capita'!BF10&lt;=Thresholds!$C$55,"L",IF('GNI per capita'!BF10&lt;=Thresholds!$D$55,"LM",IF('GNI per capita'!BF10&lt;=Thresholds!$E$55,"UM","H")))</f>
        <v>H</v>
      </c>
      <c r="BG10" s="42" t="str">
        <f>IF('GNI per capita'!BG10&lt;=Thresholds!$C$56,"L",IF('GNI per capita'!BG10&lt;=Thresholds!$D$56,"LM",IF('GNI per capita'!BG10&lt;=Thresholds!$E$56,"UM","H")))</f>
        <v>H</v>
      </c>
      <c r="BH10" s="42" t="str">
        <f>IF('GNI per capita'!BH10&lt;=Thresholds!$C$57,"L",IF('GNI per capita'!BH10&lt;=Thresholds!$D$57,"LM",IF('GNI per capita'!BH10&lt;=Thresholds!$E$57,"UM","H")))</f>
        <v>H</v>
      </c>
      <c r="BI10" s="42" t="str">
        <f>IF('GNI per capita'!BI10&lt;=Thresholds!$C$58,"L",IF('GNI per capita'!BI10&lt;=Thresholds!$D$58,"LM",IF('GNI per capita'!BI10&lt;=Thresholds!$E$58,"UM","H")))</f>
        <v>H</v>
      </c>
      <c r="BJ10" s="42" t="str">
        <f>IF('GNI per capita'!BJ10&lt;=Thresholds!$C$59,"L",IF('GNI per capita'!BJ10&lt;=Thresholds!$D$59,"LM",IF('GNI per capita'!BJ10&lt;=Thresholds!$E$59,"UM","H")))</f>
        <v>H</v>
      </c>
      <c r="BK10" s="42" t="str">
        <f>IF('GNI per capita'!BK10&lt;=Thresholds!$C$60,"L",IF('GNI per capita'!BK10&lt;=Thresholds!$D$60,"LM",IF('GNI per capita'!BK10&lt;=Thresholds!$E$60,"UM","H")))</f>
        <v>H</v>
      </c>
      <c r="BL10" s="42" t="str">
        <f>IF('GNI per capita'!BL10&lt;=Thresholds!$C$61,"L",IF('GNI per capita'!BL10&lt;=Thresholds!$D$61,"LM",IF('GNI per capita'!BL10&lt;=Thresholds!$E$61,"UM","H")))</f>
        <v>H</v>
      </c>
      <c r="BM10" s="42" t="str">
        <f>IF('GNI per capita'!BM10&lt;=Thresholds!$C$62,"L",IF('GNI per capita'!BM10&lt;=Thresholds!$D$62,"LM",IF('GNI per capita'!BM10&lt;=Thresholds!$E$62,"UM","H")))</f>
        <v>H</v>
      </c>
      <c r="BN10" s="42" t="str">
        <f>IF('GNI per capita'!BN10&lt;=Thresholds!$C$63,"L",IF('GNI per capita'!BN10&lt;=Thresholds!$D$63,"LM",IF('GNI per capita'!BN10&lt;=Thresholds!$E$63,"UM","H")))</f>
        <v>H</v>
      </c>
      <c r="BO10" s="42" t="str">
        <f>IF('GNI per capita'!BO10&lt;=Thresholds!$C$64,"L",IF('GNI per capita'!BO10&lt;=Thresholds!$D$64,"LM",IF('GNI per capita'!BO10&lt;=Thresholds!$E$64,"UM","H")))</f>
        <v>H</v>
      </c>
      <c r="BP10" s="42" t="str">
        <f>IF('GNI per capita'!BP10&lt;=Thresholds!$C$65,"L",IF('GNI per capita'!BP10&lt;=Thresholds!$D$65,"LM",IF('GNI per capita'!BP10&lt;=Thresholds!$E$65,"UM","H")))</f>
        <v>H</v>
      </c>
      <c r="BQ10" s="42" t="str">
        <f>IF('GNI per capita'!BQ10&lt;=Thresholds!$C$66,"L",IF('GNI per capita'!BQ10&lt;=Thresholds!$D$66,"LM",IF('GNI per capita'!BQ10&lt;=Thresholds!$E$66,"UM","H")))</f>
        <v>H</v>
      </c>
      <c r="BR10" s="42" t="str">
        <f>IF('GNI per capita'!BR10&lt;=Thresholds!$C$67,"L",IF('GNI per capita'!BR10&lt;=Thresholds!$D$67,"LM",IF('GNI per capita'!BR10&lt;=Thresholds!$E$67,"UM","H")))</f>
        <v>H</v>
      </c>
      <c r="BS10" s="42" t="str">
        <f>IF('GNI per capita'!BS10&lt;=Thresholds!$C$68,"L",IF('GNI per capita'!BS10&lt;=Thresholds!$D$68,"LM",IF('GNI per capita'!BS10&lt;=Thresholds!$E$68,"UM","H")))</f>
        <v>H</v>
      </c>
    </row>
    <row r="11" spans="1:71" x14ac:dyDescent="0.2">
      <c r="A11" s="2" t="s">
        <v>214</v>
      </c>
      <c r="B11" s="2" t="s">
        <v>215</v>
      </c>
      <c r="C11" s="11" t="s">
        <v>82</v>
      </c>
      <c r="G11" s="2" t="s">
        <v>162</v>
      </c>
      <c r="H11" s="41" t="s">
        <v>82</v>
      </c>
      <c r="I11" s="41" t="s">
        <v>82</v>
      </c>
      <c r="J11" s="41" t="s">
        <v>210</v>
      </c>
      <c r="K11" s="41" t="s">
        <v>210</v>
      </c>
      <c r="L11" s="41" t="s">
        <v>82</v>
      </c>
      <c r="M11" s="41" t="s">
        <v>82</v>
      </c>
      <c r="N11" s="41" t="s">
        <v>82</v>
      </c>
      <c r="O11" s="41" t="s">
        <v>82</v>
      </c>
      <c r="P11" s="41" t="s">
        <v>82</v>
      </c>
      <c r="Q11" s="41" t="s">
        <v>82</v>
      </c>
      <c r="R11" s="41" t="s">
        <v>82</v>
      </c>
      <c r="S11" s="41" t="s">
        <v>82</v>
      </c>
      <c r="T11" s="41" t="s">
        <v>82</v>
      </c>
      <c r="U11" s="41" t="s">
        <v>82</v>
      </c>
      <c r="V11" s="41" t="s">
        <v>82</v>
      </c>
      <c r="W11" s="41" t="s">
        <v>82</v>
      </c>
      <c r="X11" s="41" t="s">
        <v>82</v>
      </c>
      <c r="Y11" s="41" t="s">
        <v>82</v>
      </c>
      <c r="Z11" s="41" t="s">
        <v>82</v>
      </c>
      <c r="AA11" s="41" t="s">
        <v>82</v>
      </c>
      <c r="AB11" s="41" t="s">
        <v>82</v>
      </c>
      <c r="AC11" s="41" t="s">
        <v>82</v>
      </c>
      <c r="AD11" s="41" t="s">
        <v>82</v>
      </c>
      <c r="AE11" s="41" t="s">
        <v>82</v>
      </c>
      <c r="AF11" s="41" t="s">
        <v>82</v>
      </c>
      <c r="AG11" s="41" t="s">
        <v>82</v>
      </c>
      <c r="AH11" s="41" t="s">
        <v>82</v>
      </c>
      <c r="AI11" s="41" t="s">
        <v>79</v>
      </c>
      <c r="AJ11" s="41" t="s">
        <v>82</v>
      </c>
      <c r="AK11" s="41" t="s">
        <v>82</v>
      </c>
      <c r="AL11" s="41" t="s">
        <v>79</v>
      </c>
      <c r="AM11" s="41" t="s">
        <v>82</v>
      </c>
      <c r="AN11" s="41" t="s">
        <v>82</v>
      </c>
      <c r="AO11" s="41" t="s">
        <v>82</v>
      </c>
      <c r="AP11" s="41" t="s">
        <v>82</v>
      </c>
      <c r="AQ11" s="41" t="s">
        <v>82</v>
      </c>
      <c r="AR11" s="41" t="s">
        <v>82</v>
      </c>
      <c r="AS11" s="41" t="s">
        <v>82</v>
      </c>
      <c r="AT11" s="41" t="s">
        <v>82</v>
      </c>
      <c r="AU11" s="42" t="str">
        <f>IF('GNI per capita'!AU11&lt;=Thresholds!$C$44,"L",IF('GNI per capita'!AU11&lt;=Thresholds!$D$44,"LM",IF('GNI per capita'!AU11&lt;=Thresholds!$E$44,"UM","H")))</f>
        <v>H</v>
      </c>
      <c r="AV11" s="42" t="str">
        <f>IF('GNI per capita'!AV11&lt;=Thresholds!$C$45,"L",IF('GNI per capita'!AV11&lt;=Thresholds!$D$45,"LM",IF('GNI per capita'!AV11&lt;=Thresholds!$E$45,"UM","H")))</f>
        <v>H</v>
      </c>
      <c r="AW11" s="42" t="str">
        <f>IF('GNI per capita'!AW11&lt;=Thresholds!$C$46,"L",IF('GNI per capita'!AW11&lt;=Thresholds!$D$46,"LM",IF('GNI per capita'!AW11&lt;=Thresholds!$E$46,"UM","H")))</f>
        <v>H</v>
      </c>
      <c r="AX11" s="42" t="str">
        <f>IF('GNI per capita'!AX11&lt;=Thresholds!$C$47,"L",IF('GNI per capita'!AX11&lt;=Thresholds!$D$47,"LM",IF('GNI per capita'!AX11&lt;=Thresholds!$E$47,"UM","H")))</f>
        <v>H</v>
      </c>
      <c r="AY11" s="42" t="str">
        <f>IF('GNI per capita'!AY11&lt;=Thresholds!$C$48,"L",IF('GNI per capita'!AY11&lt;=Thresholds!$D$48,"LM",IF('GNI per capita'!AY11&lt;=Thresholds!$E$48,"UM","H")))</f>
        <v>H</v>
      </c>
      <c r="AZ11" s="42" t="str">
        <f>IF('GNI per capita'!AZ11&lt;=Thresholds!$C$49,"L",IF('GNI per capita'!AZ11&lt;=Thresholds!$D$49,"LM",IF('GNI per capita'!AZ11&lt;=Thresholds!$E$49,"UM","H")))</f>
        <v>H</v>
      </c>
      <c r="BA11" s="42" t="str">
        <f>IF('GNI per capita'!BA11&lt;=Thresholds!$C$50,"L",IF('GNI per capita'!BA11&lt;=Thresholds!$D$50,"LM",IF('GNI per capita'!BA11&lt;=Thresholds!$E$50,"UM","H")))</f>
        <v>H</v>
      </c>
      <c r="BB11" s="42" t="str">
        <f>IF('GNI per capita'!BB11&lt;=Thresholds!$C$51,"L",IF('GNI per capita'!BB11&lt;=Thresholds!$D$51,"LM",IF('GNI per capita'!BB11&lt;=Thresholds!$E$51,"UM","H")))</f>
        <v>H</v>
      </c>
      <c r="BC11" s="42" t="str">
        <f>IF('GNI per capita'!BC11&lt;=Thresholds!$C$52,"L",IF('GNI per capita'!BC11&lt;=Thresholds!$D$52,"LM",IF('GNI per capita'!BC11&lt;=Thresholds!$E$52,"UM","H")))</f>
        <v>H</v>
      </c>
      <c r="BD11" s="42" t="str">
        <f>IF('GNI per capita'!BD11&lt;=Thresholds!$C$53,"L",IF('GNI per capita'!BD11&lt;=Thresholds!$D$53,"LM",IF('GNI per capita'!BD11&lt;=Thresholds!$E$53,"UM","H")))</f>
        <v>H</v>
      </c>
      <c r="BE11" s="42" t="str">
        <f>IF('GNI per capita'!BE11&lt;=Thresholds!$C$54,"L",IF('GNI per capita'!BE11&lt;=Thresholds!$D$54,"LM",IF('GNI per capita'!BE11&lt;=Thresholds!$E$54,"UM","H")))</f>
        <v>H</v>
      </c>
      <c r="BF11" s="42" t="str">
        <f>IF('GNI per capita'!BF11&lt;=Thresholds!$C$55,"L",IF('GNI per capita'!BF11&lt;=Thresholds!$D$55,"LM",IF('GNI per capita'!BF11&lt;=Thresholds!$E$55,"UM","H")))</f>
        <v>H</v>
      </c>
      <c r="BG11" s="42" t="str">
        <f>IF('GNI per capita'!BG11&lt;=Thresholds!$C$56,"L",IF('GNI per capita'!BG11&lt;=Thresholds!$D$56,"LM",IF('GNI per capita'!BG11&lt;=Thresholds!$E$56,"UM","H")))</f>
        <v>H</v>
      </c>
      <c r="BH11" s="42" t="str">
        <f>IF('GNI per capita'!BH11&lt;=Thresholds!$C$57,"L",IF('GNI per capita'!BH11&lt;=Thresholds!$D$57,"LM",IF('GNI per capita'!BH11&lt;=Thresholds!$E$57,"UM","H")))</f>
        <v>H</v>
      </c>
      <c r="BI11" s="42" t="str">
        <f>IF('GNI per capita'!BI11&lt;=Thresholds!$C$58,"L",IF('GNI per capita'!BI11&lt;=Thresholds!$D$58,"LM",IF('GNI per capita'!BI11&lt;=Thresholds!$E$58,"UM","H")))</f>
        <v>H</v>
      </c>
      <c r="BJ11" s="42" t="str">
        <f>IF('GNI per capita'!BJ11&lt;=Thresholds!$C$59,"L",IF('GNI per capita'!BJ11&lt;=Thresholds!$D$59,"LM",IF('GNI per capita'!BJ11&lt;=Thresholds!$E$59,"UM","H")))</f>
        <v>H</v>
      </c>
      <c r="BK11" s="42" t="str">
        <f>IF('GNI per capita'!BK11&lt;=Thresholds!$C$60,"L",IF('GNI per capita'!BK11&lt;=Thresholds!$D$60,"LM",IF('GNI per capita'!BK11&lt;=Thresholds!$E$60,"UM","H")))</f>
        <v>H</v>
      </c>
      <c r="BL11" s="42" t="str">
        <f>IF('GNI per capita'!BL11&lt;=Thresholds!$C$61,"L",IF('GNI per capita'!BL11&lt;=Thresholds!$D$61,"LM",IF('GNI per capita'!BL11&lt;=Thresholds!$E$61,"UM","H")))</f>
        <v>H</v>
      </c>
      <c r="BM11" s="42" t="str">
        <f>IF('GNI per capita'!BM11&lt;=Thresholds!$C$62,"L",IF('GNI per capita'!BM11&lt;=Thresholds!$D$62,"LM",IF('GNI per capita'!BM11&lt;=Thresholds!$E$62,"UM","H")))</f>
        <v>H</v>
      </c>
      <c r="BN11" s="42" t="str">
        <f>IF('GNI per capita'!BN11&lt;=Thresholds!$C$63,"L",IF('GNI per capita'!BN11&lt;=Thresholds!$D$63,"LM",IF('GNI per capita'!BN11&lt;=Thresholds!$E$63,"UM","H")))</f>
        <v>H</v>
      </c>
      <c r="BO11" s="42" t="str">
        <f>IF('GNI per capita'!BO11&lt;=Thresholds!$C$64,"L",IF('GNI per capita'!BO11&lt;=Thresholds!$D$64,"LM",IF('GNI per capita'!BO11&lt;=Thresholds!$E$64,"UM","H")))</f>
        <v>H</v>
      </c>
      <c r="BP11" s="42" t="str">
        <f>IF('GNI per capita'!BP11&lt;=Thresholds!$C$65,"L",IF('GNI per capita'!BP11&lt;=Thresholds!$D$65,"LM",IF('GNI per capita'!BP11&lt;=Thresholds!$E$65,"UM","H")))</f>
        <v>H</v>
      </c>
      <c r="BQ11" s="42" t="str">
        <f>IF('GNI per capita'!BQ11&lt;=Thresholds!$C$66,"L",IF('GNI per capita'!BQ11&lt;=Thresholds!$D$66,"LM",IF('GNI per capita'!BQ11&lt;=Thresholds!$E$66,"UM","H")))</f>
        <v>H</v>
      </c>
      <c r="BR11" s="42" t="str">
        <f>IF('GNI per capita'!BR11&lt;=Thresholds!$C$67,"L",IF('GNI per capita'!BR11&lt;=Thresholds!$D$67,"LM",IF('GNI per capita'!BR11&lt;=Thresholds!$E$67,"UM","H")))</f>
        <v>H</v>
      </c>
      <c r="BS11" s="42" t="str">
        <f>IF('GNI per capita'!BS11&lt;=Thresholds!$C$68,"L",IF('GNI per capita'!BS11&lt;=Thresholds!$D$68,"LM",IF('GNI per capita'!BS11&lt;=Thresholds!$E$68,"UM","H")))</f>
        <v>H</v>
      </c>
    </row>
    <row r="12" spans="1:71" x14ac:dyDescent="0.2">
      <c r="A12" s="2" t="s">
        <v>216</v>
      </c>
      <c r="B12" s="2" t="s">
        <v>217</v>
      </c>
      <c r="C12" s="11" t="s">
        <v>82</v>
      </c>
      <c r="G12" s="2" t="s">
        <v>218</v>
      </c>
      <c r="H12" s="41"/>
      <c r="I12" s="41"/>
      <c r="J12" s="41"/>
      <c r="K12" s="41"/>
      <c r="L12" s="41" t="s">
        <v>210</v>
      </c>
      <c r="M12" s="41" t="s">
        <v>210</v>
      </c>
      <c r="N12" s="41" t="s">
        <v>75</v>
      </c>
      <c r="O12" s="41" t="s">
        <v>75</v>
      </c>
      <c r="P12" s="41" t="s">
        <v>75</v>
      </c>
      <c r="Q12" s="41" t="s">
        <v>75</v>
      </c>
      <c r="R12" s="41" t="s">
        <v>75</v>
      </c>
      <c r="S12" s="41" t="s">
        <v>75</v>
      </c>
      <c r="T12" s="41" t="s">
        <v>75</v>
      </c>
      <c r="U12" s="41" t="s">
        <v>75</v>
      </c>
      <c r="V12" s="41" t="s">
        <v>75</v>
      </c>
      <c r="W12" s="41" t="s">
        <v>210</v>
      </c>
      <c r="X12" s="41" t="s">
        <v>210</v>
      </c>
      <c r="Y12" s="41" t="s">
        <v>210</v>
      </c>
      <c r="Z12" s="41" t="s">
        <v>210</v>
      </c>
      <c r="AA12" s="41" t="s">
        <v>210</v>
      </c>
      <c r="AB12" s="41" t="s">
        <v>210</v>
      </c>
      <c r="AC12" s="41" t="s">
        <v>210</v>
      </c>
      <c r="AD12" s="41" t="s">
        <v>210</v>
      </c>
      <c r="AE12" s="41" t="s">
        <v>210</v>
      </c>
      <c r="AF12" s="41" t="s">
        <v>210</v>
      </c>
      <c r="AG12" s="41" t="s">
        <v>210</v>
      </c>
      <c r="AH12" s="41" t="s">
        <v>210</v>
      </c>
      <c r="AI12" s="41" t="s">
        <v>210</v>
      </c>
      <c r="AJ12" s="41" t="s">
        <v>210</v>
      </c>
      <c r="AK12" s="41" t="s">
        <v>210</v>
      </c>
      <c r="AL12" s="41" t="s">
        <v>82</v>
      </c>
      <c r="AM12" s="41" t="s">
        <v>82</v>
      </c>
      <c r="AN12" s="41" t="s">
        <v>82</v>
      </c>
      <c r="AO12" s="41" t="s">
        <v>82</v>
      </c>
      <c r="AP12" s="41" t="s">
        <v>82</v>
      </c>
      <c r="AQ12" s="41" t="s">
        <v>82</v>
      </c>
      <c r="AR12" s="41" t="s">
        <v>82</v>
      </c>
      <c r="AS12" s="41" t="s">
        <v>82</v>
      </c>
      <c r="AT12" s="41" t="s">
        <v>82</v>
      </c>
      <c r="AU12" s="42" t="str">
        <f>IF('GNI per capita'!AU12&lt;=Thresholds!$C$44,"L",IF('GNI per capita'!AU12&lt;=Thresholds!$D$44,"LM",IF('GNI per capita'!AU12&lt;=Thresholds!$E$44,"UM","H")))</f>
        <v>UM</v>
      </c>
      <c r="AV12" s="42" t="str">
        <f>IF('GNI per capita'!AV12&lt;=Thresholds!$C$45,"L",IF('GNI per capita'!AV12&lt;=Thresholds!$D$45,"LM",IF('GNI per capita'!AV12&lt;=Thresholds!$E$45,"UM","H")))</f>
        <v>UM</v>
      </c>
      <c r="AW12" s="42" t="str">
        <f>IF('GNI per capita'!AW12&lt;=Thresholds!$C$46,"L",IF('GNI per capita'!AW12&lt;=Thresholds!$D$46,"LM",IF('GNI per capita'!AW12&lt;=Thresholds!$E$46,"UM","H")))</f>
        <v>UM</v>
      </c>
      <c r="AX12" s="42" t="str">
        <f>IF('GNI per capita'!AX12&lt;=Thresholds!$C$47,"L",IF('GNI per capita'!AX12&lt;=Thresholds!$D$47,"LM",IF('GNI per capita'!AX12&lt;=Thresholds!$E$47,"UM","H")))</f>
        <v>UM</v>
      </c>
      <c r="AY12" s="42" t="str">
        <f>IF('GNI per capita'!AY12&lt;=Thresholds!$C$48,"L",IF('GNI per capita'!AY12&lt;=Thresholds!$D$48,"LM",IF('GNI per capita'!AY12&lt;=Thresholds!$E$48,"UM","H")))</f>
        <v>UM</v>
      </c>
      <c r="AZ12" s="42" t="str">
        <f>IF('GNI per capita'!AZ12&lt;=Thresholds!$C$49,"L",IF('GNI per capita'!AZ12&lt;=Thresholds!$D$49,"LM",IF('GNI per capita'!AZ12&lt;=Thresholds!$E$49,"UM","H")))</f>
        <v>UM</v>
      </c>
      <c r="BA12" s="42" t="str">
        <f>IF('GNI per capita'!BA12&lt;=Thresholds!$C$50,"L",IF('GNI per capita'!BA12&lt;=Thresholds!$D$50,"LM",IF('GNI per capita'!BA12&lt;=Thresholds!$E$50,"UM","H")))</f>
        <v>H</v>
      </c>
      <c r="BB12" s="42" t="str">
        <f>IF('GNI per capita'!BB12&lt;=Thresholds!$C$51,"L",IF('GNI per capita'!BB12&lt;=Thresholds!$D$51,"LM",IF('GNI per capita'!BB12&lt;=Thresholds!$E$51,"UM","H")))</f>
        <v>H</v>
      </c>
      <c r="BC12" s="42" t="str">
        <f>IF('GNI per capita'!BC12&lt;=Thresholds!$C$52,"L",IF('GNI per capita'!BC12&lt;=Thresholds!$D$52,"LM",IF('GNI per capita'!BC12&lt;=Thresholds!$E$52,"UM","H")))</f>
        <v>H</v>
      </c>
      <c r="BD12" s="42" t="str">
        <f>IF('GNI per capita'!BD12&lt;=Thresholds!$C$53,"L",IF('GNI per capita'!BD12&lt;=Thresholds!$D$53,"LM",IF('GNI per capita'!BD12&lt;=Thresholds!$E$53,"UM","H")))</f>
        <v>H</v>
      </c>
      <c r="BE12" s="42" t="str">
        <f>IF('GNI per capita'!BE12&lt;=Thresholds!$C$54,"L",IF('GNI per capita'!BE12&lt;=Thresholds!$D$54,"LM",IF('GNI per capita'!BE12&lt;=Thresholds!$E$54,"UM","H")))</f>
        <v>H</v>
      </c>
      <c r="BF12" s="42" t="str">
        <f>IF('GNI per capita'!BF12&lt;=Thresholds!$C$55,"L",IF('GNI per capita'!BF12&lt;=Thresholds!$D$55,"LM",IF('GNI per capita'!BF12&lt;=Thresholds!$E$55,"UM","H")))</f>
        <v>H</v>
      </c>
      <c r="BG12" s="42" t="str">
        <f>IF('GNI per capita'!BG12&lt;=Thresholds!$C$56,"L",IF('GNI per capita'!BG12&lt;=Thresholds!$D$56,"LM",IF('GNI per capita'!BG12&lt;=Thresholds!$E$56,"UM","H")))</f>
        <v>H</v>
      </c>
      <c r="BH12" s="42" t="str">
        <f>IF('GNI per capita'!BH12&lt;=Thresholds!$C$57,"L",IF('GNI per capita'!BH12&lt;=Thresholds!$D$57,"LM",IF('GNI per capita'!BH12&lt;=Thresholds!$E$57,"UM","H")))</f>
        <v>H</v>
      </c>
      <c r="BI12" s="42" t="str">
        <f>IF('GNI per capita'!BI12&lt;=Thresholds!$C$58,"L",IF('GNI per capita'!BI12&lt;=Thresholds!$D$58,"LM",IF('GNI per capita'!BI12&lt;=Thresholds!$E$58,"UM","H")))</f>
        <v>H</v>
      </c>
      <c r="BJ12" s="42" t="str">
        <f>IF('GNI per capita'!BJ12&lt;=Thresholds!$C$59,"L",IF('GNI per capita'!BJ12&lt;=Thresholds!$D$59,"LM",IF('GNI per capita'!BJ12&lt;=Thresholds!$E$59,"UM","H")))</f>
        <v>H</v>
      </c>
      <c r="BK12" s="42" t="str">
        <f>IF('GNI per capita'!BK12&lt;=Thresholds!$C$60,"L",IF('GNI per capita'!BK12&lt;=Thresholds!$D$60,"LM",IF('GNI per capita'!BK12&lt;=Thresholds!$E$60,"UM","H")))</f>
        <v>H</v>
      </c>
      <c r="BL12" s="42" t="str">
        <f>IF('GNI per capita'!BL12&lt;=Thresholds!$C$61,"L",IF('GNI per capita'!BL12&lt;=Thresholds!$D$61,"LM",IF('GNI per capita'!BL12&lt;=Thresholds!$E$61,"UM","H")))</f>
        <v>H</v>
      </c>
      <c r="BM12" s="42" t="str">
        <f>IF('GNI per capita'!BM12&lt;=Thresholds!$C$62,"L",IF('GNI per capita'!BM12&lt;=Thresholds!$D$62,"LM",IF('GNI per capita'!BM12&lt;=Thresholds!$E$62,"UM","H")))</f>
        <v>H</v>
      </c>
      <c r="BN12" s="42" t="str">
        <f>IF('GNI per capita'!BN12&lt;=Thresholds!$C$63,"L",IF('GNI per capita'!BN12&lt;=Thresholds!$D$63,"LM",IF('GNI per capita'!BN12&lt;=Thresholds!$E$63,"UM","H")))</f>
        <v>H</v>
      </c>
      <c r="BO12" s="42" t="str">
        <f>IF('GNI per capita'!BO12&lt;=Thresholds!$C$64,"L",IF('GNI per capita'!BO12&lt;=Thresholds!$D$64,"LM",IF('GNI per capita'!BO12&lt;=Thresholds!$E$64,"UM","H")))</f>
        <v>H</v>
      </c>
      <c r="BP12" s="42" t="str">
        <f>IF('GNI per capita'!BP12&lt;=Thresholds!$C$65,"L",IF('GNI per capita'!BP12&lt;=Thresholds!$D$65,"LM",IF('GNI per capita'!BP12&lt;=Thresholds!$E$65,"UM","H")))</f>
        <v>H</v>
      </c>
      <c r="BQ12" s="42" t="str">
        <f>IF('GNI per capita'!BQ12&lt;=Thresholds!$C$66,"L",IF('GNI per capita'!BQ12&lt;=Thresholds!$D$66,"LM",IF('GNI per capita'!BQ12&lt;=Thresholds!$E$66,"UM","H")))</f>
        <v>H</v>
      </c>
      <c r="BR12" s="42" t="str">
        <f>IF('GNI per capita'!BR12&lt;=Thresholds!$C$67,"L",IF('GNI per capita'!BR12&lt;=Thresholds!$D$67,"LM",IF('GNI per capita'!BR12&lt;=Thresholds!$E$67,"UM","H")))</f>
        <v>H</v>
      </c>
      <c r="BS12" s="42" t="str">
        <f>IF('GNI per capita'!BS12&lt;=Thresholds!$C$68,"L",IF('GNI per capita'!BS12&lt;=Thresholds!$D$68,"LM",IF('GNI per capita'!BS12&lt;=Thresholds!$E$68,"UM","H")))</f>
        <v>H</v>
      </c>
    </row>
    <row r="13" spans="1:71" x14ac:dyDescent="0.2">
      <c r="A13" s="2" t="s">
        <v>219</v>
      </c>
      <c r="B13" s="2" t="s">
        <v>220</v>
      </c>
      <c r="C13" s="11" t="s">
        <v>79</v>
      </c>
      <c r="G13" s="2" t="s">
        <v>162</v>
      </c>
      <c r="H13" s="41" t="s">
        <v>79</v>
      </c>
      <c r="I13" s="41" t="s">
        <v>79</v>
      </c>
      <c r="J13" s="41" t="s">
        <v>79</v>
      </c>
      <c r="K13" s="41" t="s">
        <v>79</v>
      </c>
      <c r="L13" s="41" t="s">
        <v>82</v>
      </c>
      <c r="M13" s="41" t="s">
        <v>82</v>
      </c>
      <c r="N13" s="41" t="s">
        <v>82</v>
      </c>
      <c r="O13" s="41" t="s">
        <v>79</v>
      </c>
      <c r="P13" s="41" t="s">
        <v>79</v>
      </c>
      <c r="Q13" s="41" t="s">
        <v>79</v>
      </c>
      <c r="R13" s="41" t="s">
        <v>79</v>
      </c>
      <c r="S13" s="41" t="s">
        <v>79</v>
      </c>
      <c r="T13" s="41" t="s">
        <v>79</v>
      </c>
      <c r="U13" s="41" t="s">
        <v>79</v>
      </c>
      <c r="V13" s="41" t="s">
        <v>79</v>
      </c>
      <c r="W13" s="41" t="s">
        <v>79</v>
      </c>
      <c r="X13" s="41" t="s">
        <v>79</v>
      </c>
      <c r="Y13" s="41" t="s">
        <v>79</v>
      </c>
      <c r="Z13" s="41" t="s">
        <v>79</v>
      </c>
      <c r="AA13" s="41" t="s">
        <v>79</v>
      </c>
      <c r="AB13" s="41" t="s">
        <v>79</v>
      </c>
      <c r="AC13" s="41" t="s">
        <v>79</v>
      </c>
      <c r="AD13" s="41" t="s">
        <v>79</v>
      </c>
      <c r="AE13" s="41" t="s">
        <v>79</v>
      </c>
      <c r="AF13" s="41" t="s">
        <v>79</v>
      </c>
      <c r="AG13" s="41" t="s">
        <v>79</v>
      </c>
      <c r="AH13" s="41" t="s">
        <v>79</v>
      </c>
      <c r="AI13" s="41" t="s">
        <v>79</v>
      </c>
      <c r="AJ13" s="41" t="s">
        <v>79</v>
      </c>
      <c r="AK13" s="41" t="s">
        <v>79</v>
      </c>
      <c r="AL13" s="41" t="s">
        <v>79</v>
      </c>
      <c r="AM13" s="41" t="s">
        <v>79</v>
      </c>
      <c r="AN13" s="41" t="s">
        <v>79</v>
      </c>
      <c r="AO13" s="41" t="s">
        <v>79</v>
      </c>
      <c r="AP13" s="41" t="s">
        <v>79</v>
      </c>
      <c r="AQ13" s="41" t="s">
        <v>79</v>
      </c>
      <c r="AR13" s="41" t="s">
        <v>79</v>
      </c>
      <c r="AS13" s="41" t="s">
        <v>79</v>
      </c>
      <c r="AT13" s="41" t="s">
        <v>79</v>
      </c>
      <c r="AU13" s="42" t="str">
        <f>IF('GNI per capita'!AU13&lt;=Thresholds!$C$44,"L",IF('GNI per capita'!AU13&lt;=Thresholds!$D$44,"LM",IF('GNI per capita'!AU13&lt;=Thresholds!$E$44,"UM","H")))</f>
        <v>H</v>
      </c>
      <c r="AV13" s="42" t="str">
        <f>IF('GNI per capita'!AV13&lt;=Thresholds!$C$45,"L",IF('GNI per capita'!AV13&lt;=Thresholds!$D$45,"LM",IF('GNI per capita'!AV13&lt;=Thresholds!$E$45,"UM","H")))</f>
        <v>H</v>
      </c>
      <c r="AW13" s="42" t="str">
        <f>IF('GNI per capita'!AW13&lt;=Thresholds!$C$46,"L",IF('GNI per capita'!AW13&lt;=Thresholds!$D$46,"LM",IF('GNI per capita'!AW13&lt;=Thresholds!$E$46,"UM","H")))</f>
        <v>H</v>
      </c>
      <c r="AX13" s="42" t="str">
        <f>IF('GNI per capita'!AX13&lt;=Thresholds!$C$47,"L",IF('GNI per capita'!AX13&lt;=Thresholds!$D$47,"LM",IF('GNI per capita'!AX13&lt;=Thresholds!$E$47,"UM","H")))</f>
        <v>H</v>
      </c>
      <c r="AY13" s="42" t="str">
        <f>IF('GNI per capita'!AY13&lt;=Thresholds!$C$48,"L",IF('GNI per capita'!AY13&lt;=Thresholds!$D$48,"LM",IF('GNI per capita'!AY13&lt;=Thresholds!$E$48,"UM","H")))</f>
        <v>H</v>
      </c>
      <c r="AZ13" s="42" t="str">
        <f>IF('GNI per capita'!AZ13&lt;=Thresholds!$C$49,"L",IF('GNI per capita'!AZ13&lt;=Thresholds!$D$49,"LM",IF('GNI per capita'!AZ13&lt;=Thresholds!$E$49,"UM","H")))</f>
        <v>H</v>
      </c>
      <c r="BA13" s="42" t="str">
        <f>IF('GNI per capita'!BA13&lt;=Thresholds!$C$50,"L",IF('GNI per capita'!BA13&lt;=Thresholds!$D$50,"LM",IF('GNI per capita'!BA13&lt;=Thresholds!$E$50,"UM","H")))</f>
        <v>H</v>
      </c>
      <c r="BB13" s="42" t="str">
        <f>IF('GNI per capita'!BB13&lt;=Thresholds!$C$51,"L",IF('GNI per capita'!BB13&lt;=Thresholds!$D$51,"LM",IF('GNI per capita'!BB13&lt;=Thresholds!$E$51,"UM","H")))</f>
        <v>H</v>
      </c>
      <c r="BC13" s="42" t="str">
        <f>IF('GNI per capita'!BC13&lt;=Thresholds!$C$52,"L",IF('GNI per capita'!BC13&lt;=Thresholds!$D$52,"LM",IF('GNI per capita'!BC13&lt;=Thresholds!$E$52,"UM","H")))</f>
        <v>H</v>
      </c>
      <c r="BD13" s="42" t="str">
        <f>IF('GNI per capita'!BD13&lt;=Thresholds!$C$53,"L",IF('GNI per capita'!BD13&lt;=Thresholds!$D$53,"LM",IF('GNI per capita'!BD13&lt;=Thresholds!$E$53,"UM","H")))</f>
        <v>H</v>
      </c>
      <c r="BE13" s="42" t="str">
        <f>IF('GNI per capita'!BE13&lt;=Thresholds!$C$54,"L",IF('GNI per capita'!BE13&lt;=Thresholds!$D$54,"LM",IF('GNI per capita'!BE13&lt;=Thresholds!$E$54,"UM","H")))</f>
        <v>H</v>
      </c>
      <c r="BF13" s="42" t="str">
        <f>IF('GNI per capita'!BF13&lt;=Thresholds!$C$55,"L",IF('GNI per capita'!BF13&lt;=Thresholds!$D$55,"LM",IF('GNI per capita'!BF13&lt;=Thresholds!$E$55,"UM","H")))</f>
        <v>H</v>
      </c>
      <c r="BG13" s="42" t="str">
        <f>IF('GNI per capita'!BG13&lt;=Thresholds!$C$56,"L",IF('GNI per capita'!BG13&lt;=Thresholds!$D$56,"LM",IF('GNI per capita'!BG13&lt;=Thresholds!$E$56,"UM","H")))</f>
        <v>H</v>
      </c>
      <c r="BH13" s="42" t="str">
        <f>IF('GNI per capita'!BH13&lt;=Thresholds!$C$57,"L",IF('GNI per capita'!BH13&lt;=Thresholds!$D$57,"LM",IF('GNI per capita'!BH13&lt;=Thresholds!$E$57,"UM","H")))</f>
        <v>H</v>
      </c>
      <c r="BI13" s="42" t="str">
        <f>IF('GNI per capita'!BI13&lt;=Thresholds!$C$58,"L",IF('GNI per capita'!BI13&lt;=Thresholds!$D$58,"LM",IF('GNI per capita'!BI13&lt;=Thresholds!$E$58,"UM","H")))</f>
        <v>H</v>
      </c>
      <c r="BJ13" s="42" t="str">
        <f>IF('GNI per capita'!BJ13&lt;=Thresholds!$C$59,"L",IF('GNI per capita'!BJ13&lt;=Thresholds!$D$59,"LM",IF('GNI per capita'!BJ13&lt;=Thresholds!$E$59,"UM","H")))</f>
        <v>H</v>
      </c>
      <c r="BK13" s="42" t="str">
        <f>IF('GNI per capita'!BK13&lt;=Thresholds!$C$60,"L",IF('GNI per capita'!BK13&lt;=Thresholds!$D$60,"LM",IF('GNI per capita'!BK13&lt;=Thresholds!$E$60,"UM","H")))</f>
        <v>H</v>
      </c>
      <c r="BL13" s="42" t="str">
        <f>IF('GNI per capita'!BL13&lt;=Thresholds!$C$61,"L",IF('GNI per capita'!BL13&lt;=Thresholds!$D$61,"LM",IF('GNI per capita'!BL13&lt;=Thresholds!$E$61,"UM","H")))</f>
        <v>H</v>
      </c>
      <c r="BM13" s="42" t="str">
        <f>IF('GNI per capita'!BM13&lt;=Thresholds!$C$62,"L",IF('GNI per capita'!BM13&lt;=Thresholds!$D$62,"LM",IF('GNI per capita'!BM13&lt;=Thresholds!$E$62,"UM","H")))</f>
        <v>H</v>
      </c>
      <c r="BN13" s="42" t="str">
        <f>IF('GNI per capita'!BN13&lt;=Thresholds!$C$63,"L",IF('GNI per capita'!BN13&lt;=Thresholds!$D$63,"LM",IF('GNI per capita'!BN13&lt;=Thresholds!$E$63,"UM","H")))</f>
        <v>H</v>
      </c>
      <c r="BO13" s="42" t="str">
        <f>IF('GNI per capita'!BO13&lt;=Thresholds!$C$64,"L",IF('GNI per capita'!BO13&lt;=Thresholds!$D$64,"LM",IF('GNI per capita'!BO13&lt;=Thresholds!$E$64,"UM","H")))</f>
        <v>H</v>
      </c>
      <c r="BP13" s="42" t="str">
        <f>IF('GNI per capita'!BP13&lt;=Thresholds!$C$65,"L",IF('GNI per capita'!BP13&lt;=Thresholds!$D$65,"LM",IF('GNI per capita'!BP13&lt;=Thresholds!$E$65,"UM","H")))</f>
        <v>H</v>
      </c>
      <c r="BQ13" s="42" t="str">
        <f>IF('GNI per capita'!BQ13&lt;=Thresholds!$C$66,"L",IF('GNI per capita'!BQ13&lt;=Thresholds!$D$66,"LM",IF('GNI per capita'!BQ13&lt;=Thresholds!$E$66,"UM","H")))</f>
        <v>H</v>
      </c>
      <c r="BR13" s="42" t="str">
        <f>IF('GNI per capita'!BR13&lt;=Thresholds!$C$67,"L",IF('GNI per capita'!BR13&lt;=Thresholds!$D$67,"LM",IF('GNI per capita'!BR13&lt;=Thresholds!$E$67,"UM","H")))</f>
        <v>H</v>
      </c>
      <c r="BS13" s="42" t="str">
        <f>IF('GNI per capita'!BS13&lt;=Thresholds!$C$68,"L",IF('GNI per capita'!BS13&lt;=Thresholds!$D$68,"LM",IF('GNI per capita'!BS13&lt;=Thresholds!$E$68,"UM","H")))</f>
        <v>H</v>
      </c>
    </row>
    <row r="14" spans="1:71" x14ac:dyDescent="0.2">
      <c r="A14" s="2" t="s">
        <v>221</v>
      </c>
      <c r="B14" s="2" t="s">
        <v>222</v>
      </c>
      <c r="C14" s="11" t="s">
        <v>79</v>
      </c>
      <c r="G14" s="2" t="s">
        <v>162</v>
      </c>
      <c r="H14" s="41" t="s">
        <v>79</v>
      </c>
      <c r="I14" s="41" t="s">
        <v>79</v>
      </c>
      <c r="J14" s="41" t="s">
        <v>79</v>
      </c>
      <c r="K14" s="41" t="s">
        <v>79</v>
      </c>
      <c r="L14" s="41" t="s">
        <v>79</v>
      </c>
      <c r="M14" s="41" t="s">
        <v>79</v>
      </c>
      <c r="N14" s="41" t="s">
        <v>79</v>
      </c>
      <c r="O14" s="41" t="s">
        <v>79</v>
      </c>
      <c r="P14" s="41" t="s">
        <v>79</v>
      </c>
      <c r="Q14" s="41" t="s">
        <v>79</v>
      </c>
      <c r="R14" s="41" t="s">
        <v>79</v>
      </c>
      <c r="S14" s="41" t="s">
        <v>79</v>
      </c>
      <c r="T14" s="41" t="s">
        <v>79</v>
      </c>
      <c r="U14" s="41" t="s">
        <v>79</v>
      </c>
      <c r="V14" s="41" t="s">
        <v>79</v>
      </c>
      <c r="W14" s="41" t="s">
        <v>79</v>
      </c>
      <c r="X14" s="41" t="s">
        <v>79</v>
      </c>
      <c r="Y14" s="41" t="s">
        <v>79</v>
      </c>
      <c r="Z14" s="41" t="s">
        <v>79</v>
      </c>
      <c r="AA14" s="41" t="s">
        <v>79</v>
      </c>
      <c r="AB14" s="41" t="s">
        <v>79</v>
      </c>
      <c r="AC14" s="41" t="s">
        <v>79</v>
      </c>
      <c r="AD14" s="41" t="s">
        <v>79</v>
      </c>
      <c r="AE14" s="41" t="s">
        <v>79</v>
      </c>
      <c r="AF14" s="41" t="s">
        <v>79</v>
      </c>
      <c r="AG14" s="41" t="s">
        <v>79</v>
      </c>
      <c r="AH14" s="41" t="s">
        <v>79</v>
      </c>
      <c r="AI14" s="41" t="s">
        <v>79</v>
      </c>
      <c r="AJ14" s="41" t="s">
        <v>79</v>
      </c>
      <c r="AK14" s="41" t="s">
        <v>79</v>
      </c>
      <c r="AL14" s="41" t="s">
        <v>79</v>
      </c>
      <c r="AM14" s="41" t="s">
        <v>79</v>
      </c>
      <c r="AN14" s="41" t="s">
        <v>79</v>
      </c>
      <c r="AO14" s="41" t="s">
        <v>79</v>
      </c>
      <c r="AP14" s="41" t="s">
        <v>79</v>
      </c>
      <c r="AQ14" s="41" t="s">
        <v>79</v>
      </c>
      <c r="AR14" s="41" t="s">
        <v>79</v>
      </c>
      <c r="AS14" s="41" t="s">
        <v>79</v>
      </c>
      <c r="AT14" s="41" t="s">
        <v>79</v>
      </c>
      <c r="AU14" s="42" t="str">
        <f>IF('GNI per capita'!AU14&lt;=Thresholds!$C$44,"L",IF('GNI per capita'!AU14&lt;=Thresholds!$D$44,"LM",IF('GNI per capita'!AU14&lt;=Thresholds!$E$44,"UM","H")))</f>
        <v>H</v>
      </c>
      <c r="AV14" s="42" t="str">
        <f>IF('GNI per capita'!AV14&lt;=Thresholds!$C$45,"L",IF('GNI per capita'!AV14&lt;=Thresholds!$D$45,"LM",IF('GNI per capita'!AV14&lt;=Thresholds!$E$45,"UM","H")))</f>
        <v>H</v>
      </c>
      <c r="AW14" s="42" t="str">
        <f>IF('GNI per capita'!AW14&lt;=Thresholds!$C$46,"L",IF('GNI per capita'!AW14&lt;=Thresholds!$D$46,"LM",IF('GNI per capita'!AW14&lt;=Thresholds!$E$46,"UM","H")))</f>
        <v>H</v>
      </c>
      <c r="AX14" s="42" t="str">
        <f>IF('GNI per capita'!AX14&lt;=Thresholds!$C$47,"L",IF('GNI per capita'!AX14&lt;=Thresholds!$D$47,"LM",IF('GNI per capita'!AX14&lt;=Thresholds!$E$47,"UM","H")))</f>
        <v>H</v>
      </c>
      <c r="AY14" s="42" t="str">
        <f>IF('GNI per capita'!AY14&lt;=Thresholds!$C$48,"L",IF('GNI per capita'!AY14&lt;=Thresholds!$D$48,"LM",IF('GNI per capita'!AY14&lt;=Thresholds!$E$48,"UM","H")))</f>
        <v>H</v>
      </c>
      <c r="AZ14" s="42" t="str">
        <f>IF('GNI per capita'!AZ14&lt;=Thresholds!$C$49,"L",IF('GNI per capita'!AZ14&lt;=Thresholds!$D$49,"LM",IF('GNI per capita'!AZ14&lt;=Thresholds!$E$49,"UM","H")))</f>
        <v>H</v>
      </c>
      <c r="BA14" s="42" t="str">
        <f>IF('GNI per capita'!BA14&lt;=Thresholds!$C$50,"L",IF('GNI per capita'!BA14&lt;=Thresholds!$D$50,"LM",IF('GNI per capita'!BA14&lt;=Thresholds!$E$50,"UM","H")))</f>
        <v>H</v>
      </c>
      <c r="BB14" s="42" t="str">
        <f>IF('GNI per capita'!BB14&lt;=Thresholds!$C$51,"L",IF('GNI per capita'!BB14&lt;=Thresholds!$D$51,"LM",IF('GNI per capita'!BB14&lt;=Thresholds!$E$51,"UM","H")))</f>
        <v>H</v>
      </c>
      <c r="BC14" s="42" t="str">
        <f>IF('GNI per capita'!BC14&lt;=Thresholds!$C$52,"L",IF('GNI per capita'!BC14&lt;=Thresholds!$D$52,"LM",IF('GNI per capita'!BC14&lt;=Thresholds!$E$52,"UM","H")))</f>
        <v>H</v>
      </c>
      <c r="BD14" s="42" t="str">
        <f>IF('GNI per capita'!BD14&lt;=Thresholds!$C$53,"L",IF('GNI per capita'!BD14&lt;=Thresholds!$D$53,"LM",IF('GNI per capita'!BD14&lt;=Thresholds!$E$53,"UM","H")))</f>
        <v>H</v>
      </c>
      <c r="BE14" s="42" t="str">
        <f>IF('GNI per capita'!BE14&lt;=Thresholds!$C$54,"L",IF('GNI per capita'!BE14&lt;=Thresholds!$D$54,"LM",IF('GNI per capita'!BE14&lt;=Thresholds!$E$54,"UM","H")))</f>
        <v>H</v>
      </c>
      <c r="BF14" s="42" t="str">
        <f>IF('GNI per capita'!BF14&lt;=Thresholds!$C$55,"L",IF('GNI per capita'!BF14&lt;=Thresholds!$D$55,"LM",IF('GNI per capita'!BF14&lt;=Thresholds!$E$55,"UM","H")))</f>
        <v>H</v>
      </c>
      <c r="BG14" s="42" t="str">
        <f>IF('GNI per capita'!BG14&lt;=Thresholds!$C$56,"L",IF('GNI per capita'!BG14&lt;=Thresholds!$D$56,"LM",IF('GNI per capita'!BG14&lt;=Thresholds!$E$56,"UM","H")))</f>
        <v>H</v>
      </c>
      <c r="BH14" s="42" t="str">
        <f>IF('GNI per capita'!BH14&lt;=Thresholds!$C$57,"L",IF('GNI per capita'!BH14&lt;=Thresholds!$D$57,"LM",IF('GNI per capita'!BH14&lt;=Thresholds!$E$57,"UM","H")))</f>
        <v>H</v>
      </c>
      <c r="BI14" s="42" t="str">
        <f>IF('GNI per capita'!BI14&lt;=Thresholds!$C$58,"L",IF('GNI per capita'!BI14&lt;=Thresholds!$D$58,"LM",IF('GNI per capita'!BI14&lt;=Thresholds!$E$58,"UM","H")))</f>
        <v>H</v>
      </c>
      <c r="BJ14" s="42" t="str">
        <f>IF('GNI per capita'!BJ14&lt;=Thresholds!$C$59,"L",IF('GNI per capita'!BJ14&lt;=Thresholds!$D$59,"LM",IF('GNI per capita'!BJ14&lt;=Thresholds!$E$59,"UM","H")))</f>
        <v>H</v>
      </c>
      <c r="BK14" s="42" t="str">
        <f>IF('GNI per capita'!BK14&lt;=Thresholds!$C$60,"L",IF('GNI per capita'!BK14&lt;=Thresholds!$D$60,"LM",IF('GNI per capita'!BK14&lt;=Thresholds!$E$60,"UM","H")))</f>
        <v>H</v>
      </c>
      <c r="BL14" s="42" t="str">
        <f>IF('GNI per capita'!BL14&lt;=Thresholds!$C$61,"L",IF('GNI per capita'!BL14&lt;=Thresholds!$D$61,"LM",IF('GNI per capita'!BL14&lt;=Thresholds!$E$61,"UM","H")))</f>
        <v>H</v>
      </c>
      <c r="BM14" s="42" t="str">
        <f>IF('GNI per capita'!BM14&lt;=Thresholds!$C$62,"L",IF('GNI per capita'!BM14&lt;=Thresholds!$D$62,"LM",IF('GNI per capita'!BM14&lt;=Thresholds!$E$62,"UM","H")))</f>
        <v>H</v>
      </c>
      <c r="BN14" s="42" t="str">
        <f>IF('GNI per capita'!BN14&lt;=Thresholds!$C$63,"L",IF('GNI per capita'!BN14&lt;=Thresholds!$D$63,"LM",IF('GNI per capita'!BN14&lt;=Thresholds!$E$63,"UM","H")))</f>
        <v>H</v>
      </c>
      <c r="BO14" s="42" t="str">
        <f>IF('GNI per capita'!BO14&lt;=Thresholds!$C$64,"L",IF('GNI per capita'!BO14&lt;=Thresholds!$D$64,"LM",IF('GNI per capita'!BO14&lt;=Thresholds!$E$64,"UM","H")))</f>
        <v>H</v>
      </c>
      <c r="BP14" s="42" t="str">
        <f>IF('GNI per capita'!BP14&lt;=Thresholds!$C$65,"L",IF('GNI per capita'!BP14&lt;=Thresholds!$D$65,"LM",IF('GNI per capita'!BP14&lt;=Thresholds!$E$65,"UM","H")))</f>
        <v>H</v>
      </c>
      <c r="BQ14" s="42" t="str">
        <f>IF('GNI per capita'!BQ14&lt;=Thresholds!$C$66,"L",IF('GNI per capita'!BQ14&lt;=Thresholds!$D$66,"LM",IF('GNI per capita'!BQ14&lt;=Thresholds!$E$66,"UM","H")))</f>
        <v>H</v>
      </c>
      <c r="BR14" s="42" t="str">
        <f>IF('GNI per capita'!BR14&lt;=Thresholds!$C$67,"L",IF('GNI per capita'!BR14&lt;=Thresholds!$D$67,"LM",IF('GNI per capita'!BR14&lt;=Thresholds!$E$67,"UM","H")))</f>
        <v>H</v>
      </c>
      <c r="BS14" s="42" t="str">
        <f>IF('GNI per capita'!BS14&lt;=Thresholds!$C$68,"L",IF('GNI per capita'!BS14&lt;=Thresholds!$D$68,"LM",IF('GNI per capita'!BS14&lt;=Thresholds!$E$68,"UM","H")))</f>
        <v>H</v>
      </c>
    </row>
    <row r="15" spans="1:71" x14ac:dyDescent="0.2">
      <c r="A15" s="2" t="s">
        <v>223</v>
      </c>
      <c r="B15" s="2" t="s">
        <v>224</v>
      </c>
      <c r="C15" s="11" t="s">
        <v>79</v>
      </c>
      <c r="G15" s="2" t="s">
        <v>162</v>
      </c>
      <c r="H15" s="41" t="s">
        <v>79</v>
      </c>
      <c r="I15" s="41" t="s">
        <v>79</v>
      </c>
      <c r="J15" s="41" t="s">
        <v>79</v>
      </c>
      <c r="K15" s="41" t="s">
        <v>79</v>
      </c>
      <c r="L15" s="41" t="s">
        <v>79</v>
      </c>
      <c r="M15" s="41" t="s">
        <v>79</v>
      </c>
      <c r="N15" s="41" t="s">
        <v>79</v>
      </c>
      <c r="O15" s="41" t="s">
        <v>79</v>
      </c>
      <c r="P15" s="41" t="s">
        <v>79</v>
      </c>
      <c r="Q15" s="41" t="s">
        <v>79</v>
      </c>
      <c r="R15" s="41" t="s">
        <v>79</v>
      </c>
      <c r="S15" s="41" t="s">
        <v>79</v>
      </c>
      <c r="T15" s="41" t="s">
        <v>79</v>
      </c>
      <c r="U15" s="41" t="s">
        <v>79</v>
      </c>
      <c r="V15" s="41" t="s">
        <v>79</v>
      </c>
      <c r="W15" s="41" t="s">
        <v>79</v>
      </c>
      <c r="X15" s="41" t="s">
        <v>79</v>
      </c>
      <c r="Y15" s="41" t="s">
        <v>79</v>
      </c>
      <c r="Z15" s="41" t="s">
        <v>79</v>
      </c>
      <c r="AA15" s="41" t="s">
        <v>79</v>
      </c>
      <c r="AB15" s="41" t="s">
        <v>79</v>
      </c>
      <c r="AC15" s="41" t="s">
        <v>79</v>
      </c>
      <c r="AD15" s="41" t="s">
        <v>79</v>
      </c>
      <c r="AE15" s="41" t="s">
        <v>79</v>
      </c>
      <c r="AF15" s="41" t="s">
        <v>79</v>
      </c>
      <c r="AG15" s="41" t="s">
        <v>79</v>
      </c>
      <c r="AH15" s="41" t="s">
        <v>79</v>
      </c>
      <c r="AI15" s="41" t="s">
        <v>79</v>
      </c>
      <c r="AJ15" s="41" t="s">
        <v>79</v>
      </c>
      <c r="AK15" s="41" t="s">
        <v>79</v>
      </c>
      <c r="AL15" s="41" t="s">
        <v>79</v>
      </c>
      <c r="AM15" s="41" t="s">
        <v>79</v>
      </c>
      <c r="AN15" s="41" t="s">
        <v>79</v>
      </c>
      <c r="AO15" s="41" t="s">
        <v>79</v>
      </c>
      <c r="AP15" s="41" t="s">
        <v>79</v>
      </c>
      <c r="AQ15" s="41" t="s">
        <v>79</v>
      </c>
      <c r="AR15" s="41" t="s">
        <v>79</v>
      </c>
      <c r="AS15" s="41" t="s">
        <v>79</v>
      </c>
      <c r="AT15" s="41" t="s">
        <v>79</v>
      </c>
      <c r="AU15" s="42" t="str">
        <f>IF('GNI per capita'!AU15&lt;=Thresholds!$C$44,"L",IF('GNI per capita'!AU15&lt;=Thresholds!$D$44,"LM",IF('GNI per capita'!AU15&lt;=Thresholds!$E$44,"UM","H")))</f>
        <v>H</v>
      </c>
      <c r="AV15" s="42" t="str">
        <f>IF('GNI per capita'!AV15&lt;=Thresholds!$C$45,"L",IF('GNI per capita'!AV15&lt;=Thresholds!$D$45,"LM",IF('GNI per capita'!AV15&lt;=Thresholds!$E$45,"UM","H")))</f>
        <v>H</v>
      </c>
      <c r="AW15" s="42" t="str">
        <f>IF('GNI per capita'!AW15&lt;=Thresholds!$C$46,"L",IF('GNI per capita'!AW15&lt;=Thresholds!$D$46,"LM",IF('GNI per capita'!AW15&lt;=Thresholds!$E$46,"UM","H")))</f>
        <v>H</v>
      </c>
      <c r="AX15" s="42" t="str">
        <f>IF('GNI per capita'!AX15&lt;=Thresholds!$C$47,"L",IF('GNI per capita'!AX15&lt;=Thresholds!$D$47,"LM",IF('GNI per capita'!AX15&lt;=Thresholds!$E$47,"UM","H")))</f>
        <v>H</v>
      </c>
      <c r="AY15" s="42" t="str">
        <f>IF('GNI per capita'!AY15&lt;=Thresholds!$C$48,"L",IF('GNI per capita'!AY15&lt;=Thresholds!$D$48,"LM",IF('GNI per capita'!AY15&lt;=Thresholds!$E$48,"UM","H")))</f>
        <v>H</v>
      </c>
      <c r="AZ15" s="42" t="str">
        <f>IF('GNI per capita'!AZ15&lt;=Thresholds!$C$49,"L",IF('GNI per capita'!AZ15&lt;=Thresholds!$D$49,"LM",IF('GNI per capita'!AZ15&lt;=Thresholds!$E$49,"UM","H")))</f>
        <v>H</v>
      </c>
      <c r="BA15" s="42" t="str">
        <f>IF('GNI per capita'!BA15&lt;=Thresholds!$C$50,"L",IF('GNI per capita'!BA15&lt;=Thresholds!$D$50,"LM",IF('GNI per capita'!BA15&lt;=Thresholds!$E$50,"UM","H")))</f>
        <v>H</v>
      </c>
      <c r="BB15" s="42" t="str">
        <f>IF('GNI per capita'!BB15&lt;=Thresholds!$C$51,"L",IF('GNI per capita'!BB15&lt;=Thresholds!$D$51,"LM",IF('GNI per capita'!BB15&lt;=Thresholds!$E$51,"UM","H")))</f>
        <v>H</v>
      </c>
      <c r="BC15" s="42" t="str">
        <f>IF('GNI per capita'!BC15&lt;=Thresholds!$C$52,"L",IF('GNI per capita'!BC15&lt;=Thresholds!$D$52,"LM",IF('GNI per capita'!BC15&lt;=Thresholds!$E$52,"UM","H")))</f>
        <v>H</v>
      </c>
      <c r="BD15" s="42" t="str">
        <f>IF('GNI per capita'!BD15&lt;=Thresholds!$C$53,"L",IF('GNI per capita'!BD15&lt;=Thresholds!$D$53,"LM",IF('GNI per capita'!BD15&lt;=Thresholds!$E$53,"UM","H")))</f>
        <v>H</v>
      </c>
      <c r="BE15" s="42" t="str">
        <f>IF('GNI per capita'!BE15&lt;=Thresholds!$C$54,"L",IF('GNI per capita'!BE15&lt;=Thresholds!$D$54,"LM",IF('GNI per capita'!BE15&lt;=Thresholds!$E$54,"UM","H")))</f>
        <v>H</v>
      </c>
      <c r="BF15" s="42" t="str">
        <f>IF('GNI per capita'!BF15&lt;=Thresholds!$C$55,"L",IF('GNI per capita'!BF15&lt;=Thresholds!$D$55,"LM",IF('GNI per capita'!BF15&lt;=Thresholds!$E$55,"UM","H")))</f>
        <v>H</v>
      </c>
      <c r="BG15" s="42" t="str">
        <f>IF('GNI per capita'!BG15&lt;=Thresholds!$C$56,"L",IF('GNI per capita'!BG15&lt;=Thresholds!$D$56,"LM",IF('GNI per capita'!BG15&lt;=Thresholds!$E$56,"UM","H")))</f>
        <v>H</v>
      </c>
      <c r="BH15" s="42" t="str">
        <f>IF('GNI per capita'!BH15&lt;=Thresholds!$C$57,"L",IF('GNI per capita'!BH15&lt;=Thresholds!$D$57,"LM",IF('GNI per capita'!BH15&lt;=Thresholds!$E$57,"UM","H")))</f>
        <v>H</v>
      </c>
      <c r="BI15" s="42" t="str">
        <f>IF('GNI per capita'!BI15&lt;=Thresholds!$C$58,"L",IF('GNI per capita'!BI15&lt;=Thresholds!$D$58,"LM",IF('GNI per capita'!BI15&lt;=Thresholds!$E$58,"UM","H")))</f>
        <v>H</v>
      </c>
      <c r="BJ15" s="42" t="str">
        <f>IF('GNI per capita'!BJ15&lt;=Thresholds!$C$59,"L",IF('GNI per capita'!BJ15&lt;=Thresholds!$D$59,"LM",IF('GNI per capita'!BJ15&lt;=Thresholds!$E$59,"UM","H")))</f>
        <v>H</v>
      </c>
      <c r="BK15" s="42" t="str">
        <f>IF('GNI per capita'!BK15&lt;=Thresholds!$C$60,"L",IF('GNI per capita'!BK15&lt;=Thresholds!$D$60,"LM",IF('GNI per capita'!BK15&lt;=Thresholds!$E$60,"UM","H")))</f>
        <v>H</v>
      </c>
      <c r="BL15" s="42" t="str">
        <f>IF('GNI per capita'!BL15&lt;=Thresholds!$C$61,"L",IF('GNI per capita'!BL15&lt;=Thresholds!$D$61,"LM",IF('GNI per capita'!BL15&lt;=Thresholds!$E$61,"UM","H")))</f>
        <v>H</v>
      </c>
      <c r="BM15" s="42" t="str">
        <f>IF('GNI per capita'!BM15&lt;=Thresholds!$C$62,"L",IF('GNI per capita'!BM15&lt;=Thresholds!$D$62,"LM",IF('GNI per capita'!BM15&lt;=Thresholds!$E$62,"UM","H")))</f>
        <v>H</v>
      </c>
      <c r="BN15" s="42" t="str">
        <f>IF('GNI per capita'!BN15&lt;=Thresholds!$C$63,"L",IF('GNI per capita'!BN15&lt;=Thresholds!$D$63,"LM",IF('GNI per capita'!BN15&lt;=Thresholds!$E$63,"UM","H")))</f>
        <v>H</v>
      </c>
      <c r="BO15" s="42" t="str">
        <f>IF('GNI per capita'!BO15&lt;=Thresholds!$C$64,"L",IF('GNI per capita'!BO15&lt;=Thresholds!$D$64,"LM",IF('GNI per capita'!BO15&lt;=Thresholds!$E$64,"UM","H")))</f>
        <v>H</v>
      </c>
      <c r="BP15" s="42" t="str">
        <f>IF('GNI per capita'!BP15&lt;=Thresholds!$C$65,"L",IF('GNI per capita'!BP15&lt;=Thresholds!$D$65,"LM",IF('GNI per capita'!BP15&lt;=Thresholds!$E$65,"UM","H")))</f>
        <v>H</v>
      </c>
      <c r="BQ15" s="42" t="str">
        <f>IF('GNI per capita'!BQ15&lt;=Thresholds!$C$66,"L",IF('GNI per capita'!BQ15&lt;=Thresholds!$D$66,"LM",IF('GNI per capita'!BQ15&lt;=Thresholds!$E$66,"UM","H")))</f>
        <v>H</v>
      </c>
      <c r="BR15" s="42" t="str">
        <f>IF('GNI per capita'!BR15&lt;=Thresholds!$C$67,"L",IF('GNI per capita'!BR15&lt;=Thresholds!$D$67,"LM",IF('GNI per capita'!BR15&lt;=Thresholds!$E$67,"UM","H")))</f>
        <v>H</v>
      </c>
      <c r="BS15" s="42" t="str">
        <f>IF('GNI per capita'!BS15&lt;=Thresholds!$C$68,"L",IF('GNI per capita'!BS15&lt;=Thresholds!$D$68,"LM",IF('GNI per capita'!BS15&lt;=Thresholds!$E$68,"UM","H")))</f>
        <v>H</v>
      </c>
    </row>
    <row r="16" spans="1:71" x14ac:dyDescent="0.2">
      <c r="A16" s="2" t="s">
        <v>225</v>
      </c>
      <c r="B16" s="2" t="s">
        <v>226</v>
      </c>
      <c r="C16" s="11" t="s">
        <v>82</v>
      </c>
      <c r="G16" s="2" t="s">
        <v>162</v>
      </c>
      <c r="H16" s="41"/>
      <c r="I16" s="41"/>
      <c r="J16" s="41"/>
      <c r="K16" s="41"/>
      <c r="L16" s="41" t="s">
        <v>210</v>
      </c>
      <c r="M16" s="41" t="s">
        <v>210</v>
      </c>
      <c r="N16" s="41" t="s">
        <v>210</v>
      </c>
      <c r="O16" s="41" t="s">
        <v>75</v>
      </c>
      <c r="P16" s="41" t="s">
        <v>75</v>
      </c>
      <c r="Q16" s="41" t="s">
        <v>75</v>
      </c>
      <c r="R16" s="41" t="s">
        <v>75</v>
      </c>
      <c r="S16" s="41" t="s">
        <v>75</v>
      </c>
      <c r="T16" s="41" t="s">
        <v>75</v>
      </c>
      <c r="U16" s="41" t="s">
        <v>75</v>
      </c>
      <c r="V16" s="41" t="s">
        <v>75</v>
      </c>
      <c r="W16" s="41" t="s">
        <v>75</v>
      </c>
      <c r="X16" s="41" t="s">
        <v>210</v>
      </c>
      <c r="Y16" s="41" t="s">
        <v>210</v>
      </c>
      <c r="Z16" s="41" t="s">
        <v>210</v>
      </c>
      <c r="AA16" s="41" t="s">
        <v>210</v>
      </c>
      <c r="AB16" s="41" t="s">
        <v>210</v>
      </c>
      <c r="AC16" s="41" t="s">
        <v>210</v>
      </c>
      <c r="AD16" s="41" t="s">
        <v>82</v>
      </c>
      <c r="AE16" s="41" t="s">
        <v>82</v>
      </c>
      <c r="AF16" s="41" t="s">
        <v>82</v>
      </c>
      <c r="AG16" s="41" t="s">
        <v>82</v>
      </c>
      <c r="AH16" s="41" t="s">
        <v>82</v>
      </c>
      <c r="AI16" s="41" t="s">
        <v>82</v>
      </c>
      <c r="AJ16" s="41" t="s">
        <v>82</v>
      </c>
      <c r="AK16" s="41" t="s">
        <v>82</v>
      </c>
      <c r="AL16" s="41" t="s">
        <v>82</v>
      </c>
      <c r="AM16" s="41" t="s">
        <v>82</v>
      </c>
      <c r="AN16" s="41" t="s">
        <v>82</v>
      </c>
      <c r="AO16" s="41" t="s">
        <v>82</v>
      </c>
      <c r="AP16" s="41" t="s">
        <v>82</v>
      </c>
      <c r="AQ16" s="41" t="s">
        <v>82</v>
      </c>
      <c r="AR16" s="41" t="s">
        <v>82</v>
      </c>
      <c r="AS16" s="41" t="s">
        <v>82</v>
      </c>
      <c r="AT16" s="41" t="s">
        <v>82</v>
      </c>
      <c r="AU16" s="42" t="str">
        <f>IF('GNI per capita'!AU16&lt;=Thresholds!$C$44,"L",IF('GNI per capita'!AU16&lt;=Thresholds!$D$44,"LM",IF('GNI per capita'!AU16&lt;=Thresholds!$E$44,"UM","H")))</f>
        <v>UM</v>
      </c>
      <c r="AV16" s="42" t="str">
        <f>IF('GNI per capita'!AV16&lt;=Thresholds!$C$45,"L",IF('GNI per capita'!AV16&lt;=Thresholds!$D$45,"LM",IF('GNI per capita'!AV16&lt;=Thresholds!$E$45,"UM","H")))</f>
        <v>UM</v>
      </c>
      <c r="AW16" s="42" t="str">
        <f>IF('GNI per capita'!AW16&lt;=Thresholds!$C$46,"L",IF('GNI per capita'!AW16&lt;=Thresholds!$D$46,"LM",IF('GNI per capita'!AW16&lt;=Thresholds!$E$46,"UM","H")))</f>
        <v>UM</v>
      </c>
      <c r="AX16" s="42" t="str">
        <f>IF('GNI per capita'!AX16&lt;=Thresholds!$C$47,"L",IF('GNI per capita'!AX16&lt;=Thresholds!$D$47,"LM",IF('GNI per capita'!AX16&lt;=Thresholds!$E$47,"UM","H")))</f>
        <v>UM</v>
      </c>
      <c r="AY16" s="42" t="str">
        <f>IF('GNI per capita'!AY16&lt;=Thresholds!$C$48,"L",IF('GNI per capita'!AY16&lt;=Thresholds!$D$48,"LM",IF('GNI per capita'!AY16&lt;=Thresholds!$E$48,"UM","H")))</f>
        <v>UM</v>
      </c>
      <c r="AZ16" s="42" t="str">
        <f>IF('GNI per capita'!AZ16&lt;=Thresholds!$C$49,"L",IF('GNI per capita'!AZ16&lt;=Thresholds!$D$49,"LM",IF('GNI per capita'!AZ16&lt;=Thresholds!$E$49,"UM","H")))</f>
        <v>UM</v>
      </c>
      <c r="BA16" s="42" t="str">
        <f>IF('GNI per capita'!BA16&lt;=Thresholds!$C$50,"L",IF('GNI per capita'!BA16&lt;=Thresholds!$D$50,"LM",IF('GNI per capita'!BA16&lt;=Thresholds!$E$50,"UM","H")))</f>
        <v>UM</v>
      </c>
      <c r="BB16" s="42" t="str">
        <f>IF('GNI per capita'!BB16&lt;=Thresholds!$C$51,"L",IF('GNI per capita'!BB16&lt;=Thresholds!$D$51,"LM",IF('GNI per capita'!BB16&lt;=Thresholds!$E$51,"UM","H")))</f>
        <v>UM</v>
      </c>
      <c r="BC16" s="42" t="str">
        <f>IF('GNI per capita'!BC16&lt;=Thresholds!$C$52,"L",IF('GNI per capita'!BC16&lt;=Thresholds!$D$52,"LM",IF('GNI per capita'!BC16&lt;=Thresholds!$E$52,"UM","H")))</f>
        <v>UM</v>
      </c>
      <c r="BD16" s="42" t="str">
        <f>IF('GNI per capita'!BD16&lt;=Thresholds!$C$53,"L",IF('GNI per capita'!BD16&lt;=Thresholds!$D$53,"LM",IF('GNI per capita'!BD16&lt;=Thresholds!$E$53,"UM","H")))</f>
        <v>UM</v>
      </c>
      <c r="BE16" s="42" t="str">
        <f>IF('GNI per capita'!BE16&lt;=Thresholds!$C$54,"L",IF('GNI per capita'!BE16&lt;=Thresholds!$D$54,"LM",IF('GNI per capita'!BE16&lt;=Thresholds!$E$54,"UM","H")))</f>
        <v>UM</v>
      </c>
      <c r="BF16" s="42" t="str">
        <f>IF('GNI per capita'!BF16&lt;=Thresholds!$C$55,"L",IF('GNI per capita'!BF16&lt;=Thresholds!$D$55,"LM",IF('GNI per capita'!BF16&lt;=Thresholds!$E$55,"UM","H")))</f>
        <v>UM</v>
      </c>
      <c r="BG16" s="42" t="str">
        <f>IF('GNI per capita'!BG16&lt;=Thresholds!$C$56,"L",IF('GNI per capita'!BG16&lt;=Thresholds!$D$56,"LM",IF('GNI per capita'!BG16&lt;=Thresholds!$E$56,"UM","H")))</f>
        <v>UM</v>
      </c>
      <c r="BH16" s="42" t="str">
        <f>IF('GNI per capita'!BH16&lt;=Thresholds!$C$57,"L",IF('GNI per capita'!BH16&lt;=Thresholds!$D$57,"LM",IF('GNI per capita'!BH16&lt;=Thresholds!$E$57,"UM","H")))</f>
        <v>UM</v>
      </c>
      <c r="BI16" s="42" t="str">
        <f>IF('GNI per capita'!BI16&lt;=Thresholds!$C$58,"L",IF('GNI per capita'!BI16&lt;=Thresholds!$D$58,"LM",IF('GNI per capita'!BI16&lt;=Thresholds!$E$58,"UM","H")))</f>
        <v>UM</v>
      </c>
      <c r="BJ16" s="42" t="str">
        <f>IF('GNI per capita'!BJ16&lt;=Thresholds!$C$59,"L",IF('GNI per capita'!BJ16&lt;=Thresholds!$D$59,"LM",IF('GNI per capita'!BJ16&lt;=Thresholds!$E$59,"UM","H")))</f>
        <v>UM</v>
      </c>
      <c r="BK16" s="42" t="str">
        <f>IF('GNI per capita'!BK16&lt;=Thresholds!$C$60,"L",IF('GNI per capita'!BK16&lt;=Thresholds!$D$60,"LM",IF('GNI per capita'!BK16&lt;=Thresholds!$E$60,"UM","H")))</f>
        <v>UM</v>
      </c>
      <c r="BL16" s="42" t="str">
        <f>IF('GNI per capita'!BL16&lt;=Thresholds!$C$61,"L",IF('GNI per capita'!BL16&lt;=Thresholds!$D$61,"LM",IF('GNI per capita'!BL16&lt;=Thresholds!$E$61,"UM","H")))</f>
        <v>UM</v>
      </c>
      <c r="BM16" s="42" t="str">
        <f>IF('GNI per capita'!BM16&lt;=Thresholds!$C$62,"L",IF('GNI per capita'!BM16&lt;=Thresholds!$D$62,"LM",IF('GNI per capita'!BM16&lt;=Thresholds!$E$62,"UM","H")))</f>
        <v>H</v>
      </c>
      <c r="BN16" s="42" t="str">
        <f>IF('GNI per capita'!BN16&lt;=Thresholds!$C$63,"L",IF('GNI per capita'!BN16&lt;=Thresholds!$D$63,"LM",IF('GNI per capita'!BN16&lt;=Thresholds!$E$63,"UM","H")))</f>
        <v>H</v>
      </c>
      <c r="BO16" s="42" t="str">
        <f>IF('GNI per capita'!BO16&lt;=Thresholds!$C$64,"L",IF('GNI per capita'!BO16&lt;=Thresholds!$D$64,"LM",IF('GNI per capita'!BO16&lt;=Thresholds!$E$64,"UM","H")))</f>
        <v>H</v>
      </c>
      <c r="BP16" s="42" t="str">
        <f>IF('GNI per capita'!BP16&lt;=Thresholds!$C$65,"L",IF('GNI per capita'!BP16&lt;=Thresholds!$D$65,"LM",IF('GNI per capita'!BP16&lt;=Thresholds!$E$65,"UM","H")))</f>
        <v>H</v>
      </c>
      <c r="BQ16" s="42" t="str">
        <f>IF('GNI per capita'!BQ16&lt;=Thresholds!$C$66,"L",IF('GNI per capita'!BQ16&lt;=Thresholds!$D$66,"LM",IF('GNI per capita'!BQ16&lt;=Thresholds!$E$66,"UM","H")))</f>
        <v>H</v>
      </c>
      <c r="BR16" s="42" t="str">
        <f>IF('GNI per capita'!BR16&lt;=Thresholds!$C$67,"L",IF('GNI per capita'!BR16&lt;=Thresholds!$D$67,"LM",IF('GNI per capita'!BR16&lt;=Thresholds!$E$67,"UM","H")))</f>
        <v>H</v>
      </c>
      <c r="BS16" s="42" t="str">
        <f>IF('GNI per capita'!BS16&lt;=Thresholds!$C$68,"L",IF('GNI per capita'!BS16&lt;=Thresholds!$D$68,"LM",IF('GNI per capita'!BS16&lt;=Thresholds!$E$68,"UM","H")))</f>
        <v>H</v>
      </c>
    </row>
    <row r="17" spans="1:71" x14ac:dyDescent="0.2">
      <c r="A17" s="2" t="s">
        <v>227</v>
      </c>
      <c r="B17" s="2" t="s">
        <v>228</v>
      </c>
      <c r="C17" s="11" t="s">
        <v>79</v>
      </c>
      <c r="G17" s="2" t="s">
        <v>162</v>
      </c>
      <c r="H17" s="41" t="s">
        <v>79</v>
      </c>
      <c r="I17" s="41" t="s">
        <v>79</v>
      </c>
      <c r="J17" s="41" t="s">
        <v>79</v>
      </c>
      <c r="K17" s="41" t="s">
        <v>79</v>
      </c>
      <c r="L17" s="41" t="s">
        <v>79</v>
      </c>
      <c r="M17" s="41" t="s">
        <v>79</v>
      </c>
      <c r="N17" s="41" t="s">
        <v>79</v>
      </c>
      <c r="O17" s="41" t="s">
        <v>79</v>
      </c>
      <c r="P17" s="41" t="s">
        <v>79</v>
      </c>
      <c r="Q17" s="41" t="s">
        <v>79</v>
      </c>
      <c r="R17" s="41" t="s">
        <v>79</v>
      </c>
      <c r="S17" s="41" t="s">
        <v>79</v>
      </c>
      <c r="T17" s="41" t="s">
        <v>79</v>
      </c>
      <c r="U17" s="41" t="s">
        <v>79</v>
      </c>
      <c r="V17" s="41" t="s">
        <v>79</v>
      </c>
      <c r="W17" s="41" t="s">
        <v>79</v>
      </c>
      <c r="X17" s="41" t="s">
        <v>79</v>
      </c>
      <c r="Y17" s="41" t="s">
        <v>79</v>
      </c>
      <c r="Z17" s="41" t="s">
        <v>79</v>
      </c>
      <c r="AA17" s="41" t="s">
        <v>79</v>
      </c>
      <c r="AB17" s="41" t="s">
        <v>79</v>
      </c>
      <c r="AC17" s="41" t="s">
        <v>79</v>
      </c>
      <c r="AD17" s="41" t="s">
        <v>79</v>
      </c>
      <c r="AE17" s="41" t="s">
        <v>79</v>
      </c>
      <c r="AF17" s="41" t="s">
        <v>79</v>
      </c>
      <c r="AG17" s="41" t="s">
        <v>79</v>
      </c>
      <c r="AH17" s="41" t="s">
        <v>79</v>
      </c>
      <c r="AI17" s="41" t="s">
        <v>79</v>
      </c>
      <c r="AJ17" s="41" t="s">
        <v>79</v>
      </c>
      <c r="AK17" s="41" t="s">
        <v>79</v>
      </c>
      <c r="AL17" s="41" t="s">
        <v>79</v>
      </c>
      <c r="AM17" s="41" t="s">
        <v>79</v>
      </c>
      <c r="AN17" s="41" t="s">
        <v>79</v>
      </c>
      <c r="AO17" s="41" t="s">
        <v>79</v>
      </c>
      <c r="AP17" s="41" t="s">
        <v>79</v>
      </c>
      <c r="AQ17" s="41" t="s">
        <v>79</v>
      </c>
      <c r="AR17" s="41" t="s">
        <v>79</v>
      </c>
      <c r="AS17" s="41" t="s">
        <v>79</v>
      </c>
      <c r="AT17" s="41" t="s">
        <v>79</v>
      </c>
      <c r="AU17" s="42" t="str">
        <f>IF('GNI per capita'!AU17&lt;=Thresholds!$C$44,"L",IF('GNI per capita'!AU17&lt;=Thresholds!$D$44,"LM",IF('GNI per capita'!AU17&lt;=Thresholds!$E$44,"UM","H")))</f>
        <v>H</v>
      </c>
      <c r="AV17" s="42" t="str">
        <f>IF('GNI per capita'!AV17&lt;=Thresholds!$C$45,"L",IF('GNI per capita'!AV17&lt;=Thresholds!$D$45,"LM",IF('GNI per capita'!AV17&lt;=Thresholds!$E$45,"UM","H")))</f>
        <v>H</v>
      </c>
      <c r="AW17" s="42" t="str">
        <f>IF('GNI per capita'!AW17&lt;=Thresholds!$C$46,"L",IF('GNI per capita'!AW17&lt;=Thresholds!$D$46,"LM",IF('GNI per capita'!AW17&lt;=Thresholds!$E$46,"UM","H")))</f>
        <v>H</v>
      </c>
      <c r="AX17" s="42" t="str">
        <f>IF('GNI per capita'!AX17&lt;=Thresholds!$C$47,"L",IF('GNI per capita'!AX17&lt;=Thresholds!$D$47,"LM",IF('GNI per capita'!AX17&lt;=Thresholds!$E$47,"UM","H")))</f>
        <v>H</v>
      </c>
      <c r="AY17" s="42" t="str">
        <f>IF('GNI per capita'!AY17&lt;=Thresholds!$C$48,"L",IF('GNI per capita'!AY17&lt;=Thresholds!$D$48,"LM",IF('GNI per capita'!AY17&lt;=Thresholds!$E$48,"UM","H")))</f>
        <v>H</v>
      </c>
      <c r="AZ17" s="42" t="str">
        <f>IF('GNI per capita'!AZ17&lt;=Thresholds!$C$49,"L",IF('GNI per capita'!AZ17&lt;=Thresholds!$D$49,"LM",IF('GNI per capita'!AZ17&lt;=Thresholds!$E$49,"UM","H")))</f>
        <v>H</v>
      </c>
      <c r="BA17" s="42" t="str">
        <f>IF('GNI per capita'!BA17&lt;=Thresholds!$C$50,"L",IF('GNI per capita'!BA17&lt;=Thresholds!$D$50,"LM",IF('GNI per capita'!BA17&lt;=Thresholds!$E$50,"UM","H")))</f>
        <v>H</v>
      </c>
      <c r="BB17" s="42" t="str">
        <f>IF('GNI per capita'!BB17&lt;=Thresholds!$C$51,"L",IF('GNI per capita'!BB17&lt;=Thresholds!$D$51,"LM",IF('GNI per capita'!BB17&lt;=Thresholds!$E$51,"UM","H")))</f>
        <v>H</v>
      </c>
      <c r="BC17" s="42" t="str">
        <f>IF('GNI per capita'!BC17&lt;=Thresholds!$C$52,"L",IF('GNI per capita'!BC17&lt;=Thresholds!$D$52,"LM",IF('GNI per capita'!BC17&lt;=Thresholds!$E$52,"UM","H")))</f>
        <v>H</v>
      </c>
      <c r="BD17" s="42" t="str">
        <f>IF('GNI per capita'!BD17&lt;=Thresholds!$C$53,"L",IF('GNI per capita'!BD17&lt;=Thresholds!$D$53,"LM",IF('GNI per capita'!BD17&lt;=Thresholds!$E$53,"UM","H")))</f>
        <v>H</v>
      </c>
      <c r="BE17" s="42" t="str">
        <f>IF('GNI per capita'!BE17&lt;=Thresholds!$C$54,"L",IF('GNI per capita'!BE17&lt;=Thresholds!$D$54,"LM",IF('GNI per capita'!BE17&lt;=Thresholds!$E$54,"UM","H")))</f>
        <v>H</v>
      </c>
      <c r="BF17" s="42" t="str">
        <f>IF('GNI per capita'!BF17&lt;=Thresholds!$C$55,"L",IF('GNI per capita'!BF17&lt;=Thresholds!$D$55,"LM",IF('GNI per capita'!BF17&lt;=Thresholds!$E$55,"UM","H")))</f>
        <v>H</v>
      </c>
      <c r="BG17" s="42" t="str">
        <f>IF('GNI per capita'!BG17&lt;=Thresholds!$C$56,"L",IF('GNI per capita'!BG17&lt;=Thresholds!$D$56,"LM",IF('GNI per capita'!BG17&lt;=Thresholds!$E$56,"UM","H")))</f>
        <v>H</v>
      </c>
      <c r="BH17" s="42" t="str">
        <f>IF('GNI per capita'!BH17&lt;=Thresholds!$C$57,"L",IF('GNI per capita'!BH17&lt;=Thresholds!$D$57,"LM",IF('GNI per capita'!BH17&lt;=Thresholds!$E$57,"UM","H")))</f>
        <v>H</v>
      </c>
      <c r="BI17" s="42" t="str">
        <f>IF('GNI per capita'!BI17&lt;=Thresholds!$C$58,"L",IF('GNI per capita'!BI17&lt;=Thresholds!$D$58,"LM",IF('GNI per capita'!BI17&lt;=Thresholds!$E$58,"UM","H")))</f>
        <v>H</v>
      </c>
      <c r="BJ17" s="42" t="str">
        <f>IF('GNI per capita'!BJ17&lt;=Thresholds!$C$59,"L",IF('GNI per capita'!BJ17&lt;=Thresholds!$D$59,"LM",IF('GNI per capita'!BJ17&lt;=Thresholds!$E$59,"UM","H")))</f>
        <v>H</v>
      </c>
      <c r="BK17" s="42" t="str">
        <f>IF('GNI per capita'!BK17&lt;=Thresholds!$C$60,"L",IF('GNI per capita'!BK17&lt;=Thresholds!$D$60,"LM",IF('GNI per capita'!BK17&lt;=Thresholds!$E$60,"UM","H")))</f>
        <v>H</v>
      </c>
      <c r="BL17" s="42" t="str">
        <f>IF('GNI per capita'!BL17&lt;=Thresholds!$C$61,"L",IF('GNI per capita'!BL17&lt;=Thresholds!$D$61,"LM",IF('GNI per capita'!BL17&lt;=Thresholds!$E$61,"UM","H")))</f>
        <v>H</v>
      </c>
      <c r="BM17" s="42" t="str">
        <f>IF('GNI per capita'!BM17&lt;=Thresholds!$C$62,"L",IF('GNI per capita'!BM17&lt;=Thresholds!$D$62,"LM",IF('GNI per capita'!BM17&lt;=Thresholds!$E$62,"UM","H")))</f>
        <v>H</v>
      </c>
      <c r="BN17" s="42" t="str">
        <f>IF('GNI per capita'!BN17&lt;=Thresholds!$C$63,"L",IF('GNI per capita'!BN17&lt;=Thresholds!$D$63,"LM",IF('GNI per capita'!BN17&lt;=Thresholds!$E$63,"UM","H")))</f>
        <v>H</v>
      </c>
      <c r="BO17" s="42" t="str">
        <f>IF('GNI per capita'!BO17&lt;=Thresholds!$C$64,"L",IF('GNI per capita'!BO17&lt;=Thresholds!$D$64,"LM",IF('GNI per capita'!BO17&lt;=Thresholds!$E$64,"UM","H")))</f>
        <v>H</v>
      </c>
      <c r="BP17" s="42" t="str">
        <f>IF('GNI per capita'!BP17&lt;=Thresholds!$C$65,"L",IF('GNI per capita'!BP17&lt;=Thresholds!$D$65,"LM",IF('GNI per capita'!BP17&lt;=Thresholds!$E$65,"UM","H")))</f>
        <v>H</v>
      </c>
      <c r="BQ17" s="42" t="str">
        <f>IF('GNI per capita'!BQ17&lt;=Thresholds!$C$66,"L",IF('GNI per capita'!BQ17&lt;=Thresholds!$D$66,"LM",IF('GNI per capita'!BQ17&lt;=Thresholds!$E$66,"UM","H")))</f>
        <v>H</v>
      </c>
      <c r="BR17" s="42" t="str">
        <f>IF('GNI per capita'!BR17&lt;=Thresholds!$C$67,"L",IF('GNI per capita'!BR17&lt;=Thresholds!$D$67,"LM",IF('GNI per capita'!BR17&lt;=Thresholds!$E$67,"UM","H")))</f>
        <v>H</v>
      </c>
      <c r="BS17" s="42" t="str">
        <f>IF('GNI per capita'!BS17&lt;=Thresholds!$C$68,"L",IF('GNI per capita'!BS17&lt;=Thresholds!$D$68,"LM",IF('GNI per capita'!BS17&lt;=Thresholds!$E$68,"UM","H")))</f>
        <v>H</v>
      </c>
    </row>
    <row r="18" spans="1:71" x14ac:dyDescent="0.2">
      <c r="A18" s="2" t="s">
        <v>229</v>
      </c>
      <c r="B18" s="2" t="s">
        <v>230</v>
      </c>
      <c r="C18" s="11" t="s">
        <v>79</v>
      </c>
      <c r="G18" s="2" t="s">
        <v>162</v>
      </c>
      <c r="H18" s="41" t="s">
        <v>79</v>
      </c>
      <c r="I18" s="41" t="s">
        <v>79</v>
      </c>
      <c r="J18" s="41" t="s">
        <v>79</v>
      </c>
      <c r="K18" s="41" t="s">
        <v>82</v>
      </c>
      <c r="L18" s="41" t="s">
        <v>82</v>
      </c>
      <c r="M18" s="41" t="s">
        <v>82</v>
      </c>
      <c r="N18" s="41" t="s">
        <v>82</v>
      </c>
      <c r="O18" s="41" t="s">
        <v>82</v>
      </c>
      <c r="P18" s="41" t="s">
        <v>82</v>
      </c>
      <c r="Q18" s="41" t="s">
        <v>82</v>
      </c>
      <c r="R18" s="41" t="s">
        <v>82</v>
      </c>
      <c r="S18" s="41" t="s">
        <v>82</v>
      </c>
      <c r="T18" s="41" t="s">
        <v>82</v>
      </c>
      <c r="U18" s="41" t="s">
        <v>82</v>
      </c>
      <c r="V18" s="41" t="s">
        <v>79</v>
      </c>
      <c r="W18" s="41" t="s">
        <v>79</v>
      </c>
      <c r="X18" s="41" t="s">
        <v>79</v>
      </c>
      <c r="Y18" s="41" t="s">
        <v>79</v>
      </c>
      <c r="Z18" s="41" t="s">
        <v>79</v>
      </c>
      <c r="AA18" s="41" t="s">
        <v>79</v>
      </c>
      <c r="AB18" s="41" t="s">
        <v>79</v>
      </c>
      <c r="AC18" s="41" t="s">
        <v>79</v>
      </c>
      <c r="AD18" s="41" t="s">
        <v>79</v>
      </c>
      <c r="AE18" s="41" t="s">
        <v>79</v>
      </c>
      <c r="AF18" s="41" t="s">
        <v>79</v>
      </c>
      <c r="AG18" s="41" t="s">
        <v>79</v>
      </c>
      <c r="AH18" s="41" t="s">
        <v>79</v>
      </c>
      <c r="AI18" s="41" t="s">
        <v>79</v>
      </c>
      <c r="AJ18" s="41" t="s">
        <v>79</v>
      </c>
      <c r="AK18" s="41" t="s">
        <v>79</v>
      </c>
      <c r="AL18" s="41" t="s">
        <v>79</v>
      </c>
      <c r="AM18" s="41" t="s">
        <v>79</v>
      </c>
      <c r="AN18" s="41" t="s">
        <v>79</v>
      </c>
      <c r="AO18" s="41" t="s">
        <v>79</v>
      </c>
      <c r="AP18" s="41" t="s">
        <v>79</v>
      </c>
      <c r="AQ18" s="41" t="s">
        <v>79</v>
      </c>
      <c r="AR18" s="41" t="s">
        <v>79</v>
      </c>
      <c r="AS18" s="41" t="s">
        <v>79</v>
      </c>
      <c r="AT18" s="41" t="s">
        <v>79</v>
      </c>
      <c r="AU18" s="42" t="str">
        <f>IF('GNI per capita'!AU18&lt;=Thresholds!$C$44,"L",IF('GNI per capita'!AU18&lt;=Thresholds!$D$44,"LM",IF('GNI per capita'!AU18&lt;=Thresholds!$E$44,"UM","H")))</f>
        <v>H</v>
      </c>
      <c r="AV18" s="42" t="str">
        <f>IF('GNI per capita'!AV18&lt;=Thresholds!$C$45,"L",IF('GNI per capita'!AV18&lt;=Thresholds!$D$45,"LM",IF('GNI per capita'!AV18&lt;=Thresholds!$E$45,"UM","H")))</f>
        <v>H</v>
      </c>
      <c r="AW18" s="42" t="str">
        <f>IF('GNI per capita'!AW18&lt;=Thresholds!$C$46,"L",IF('GNI per capita'!AW18&lt;=Thresholds!$D$46,"LM",IF('GNI per capita'!AW18&lt;=Thresholds!$E$46,"UM","H")))</f>
        <v>H</v>
      </c>
      <c r="AX18" s="42" t="str">
        <f>IF('GNI per capita'!AX18&lt;=Thresholds!$C$47,"L",IF('GNI per capita'!AX18&lt;=Thresholds!$D$47,"LM",IF('GNI per capita'!AX18&lt;=Thresholds!$E$47,"UM","H")))</f>
        <v>H</v>
      </c>
      <c r="AY18" s="42" t="str">
        <f>IF('GNI per capita'!AY18&lt;=Thresholds!$C$48,"L",IF('GNI per capita'!AY18&lt;=Thresholds!$D$48,"LM",IF('GNI per capita'!AY18&lt;=Thresholds!$E$48,"UM","H")))</f>
        <v>H</v>
      </c>
      <c r="AZ18" s="42" t="str">
        <f>IF('GNI per capita'!AZ18&lt;=Thresholds!$C$49,"L",IF('GNI per capita'!AZ18&lt;=Thresholds!$D$49,"LM",IF('GNI per capita'!AZ18&lt;=Thresholds!$E$49,"UM","H")))</f>
        <v>H</v>
      </c>
      <c r="BA18" s="42" t="str">
        <f>IF('GNI per capita'!BA18&lt;=Thresholds!$C$50,"L",IF('GNI per capita'!BA18&lt;=Thresholds!$D$50,"LM",IF('GNI per capita'!BA18&lt;=Thresholds!$E$50,"UM","H")))</f>
        <v>H</v>
      </c>
      <c r="BB18" s="42" t="str">
        <f>IF('GNI per capita'!BB18&lt;=Thresholds!$C$51,"L",IF('GNI per capita'!BB18&lt;=Thresholds!$D$51,"LM",IF('GNI per capita'!BB18&lt;=Thresholds!$E$51,"UM","H")))</f>
        <v>H</v>
      </c>
      <c r="BC18" s="42" t="str">
        <f>IF('GNI per capita'!BC18&lt;=Thresholds!$C$52,"L",IF('GNI per capita'!BC18&lt;=Thresholds!$D$52,"LM",IF('GNI per capita'!BC18&lt;=Thresholds!$E$52,"UM","H")))</f>
        <v>H</v>
      </c>
      <c r="BD18" s="42" t="str">
        <f>IF('GNI per capita'!BD18&lt;=Thresholds!$C$53,"L",IF('GNI per capita'!BD18&lt;=Thresholds!$D$53,"LM",IF('GNI per capita'!BD18&lt;=Thresholds!$E$53,"UM","H")))</f>
        <v>H</v>
      </c>
      <c r="BE18" s="42" t="str">
        <f>IF('GNI per capita'!BE18&lt;=Thresholds!$C$54,"L",IF('GNI per capita'!BE18&lt;=Thresholds!$D$54,"LM",IF('GNI per capita'!BE18&lt;=Thresholds!$E$54,"UM","H")))</f>
        <v>H</v>
      </c>
      <c r="BF18" s="42" t="str">
        <f>IF('GNI per capita'!BF18&lt;=Thresholds!$C$55,"L",IF('GNI per capita'!BF18&lt;=Thresholds!$D$55,"LM",IF('GNI per capita'!BF18&lt;=Thresholds!$E$55,"UM","H")))</f>
        <v>H</v>
      </c>
      <c r="BG18" s="42" t="str">
        <f>IF('GNI per capita'!BG18&lt;=Thresholds!$C$56,"L",IF('GNI per capita'!BG18&lt;=Thresholds!$D$56,"LM",IF('GNI per capita'!BG18&lt;=Thresholds!$E$56,"UM","H")))</f>
        <v>H</v>
      </c>
      <c r="BH18" s="42" t="str">
        <f>IF('GNI per capita'!BH18&lt;=Thresholds!$C$57,"L",IF('GNI per capita'!BH18&lt;=Thresholds!$D$57,"LM",IF('GNI per capita'!BH18&lt;=Thresholds!$E$57,"UM","H")))</f>
        <v>H</v>
      </c>
      <c r="BI18" s="42" t="str">
        <f>IF('GNI per capita'!BI18&lt;=Thresholds!$C$58,"L",IF('GNI per capita'!BI18&lt;=Thresholds!$D$58,"LM",IF('GNI per capita'!BI18&lt;=Thresholds!$E$58,"UM","H")))</f>
        <v>H</v>
      </c>
      <c r="BJ18" s="42" t="str">
        <f>IF('GNI per capita'!BJ18&lt;=Thresholds!$C$59,"L",IF('GNI per capita'!BJ18&lt;=Thresholds!$D$59,"LM",IF('GNI per capita'!BJ18&lt;=Thresholds!$E$59,"UM","H")))</f>
        <v>H</v>
      </c>
      <c r="BK18" s="42" t="str">
        <f>IF('GNI per capita'!BK18&lt;=Thresholds!$C$60,"L",IF('GNI per capita'!BK18&lt;=Thresholds!$D$60,"LM",IF('GNI per capita'!BK18&lt;=Thresholds!$E$60,"UM","H")))</f>
        <v>H</v>
      </c>
      <c r="BL18" s="42" t="str">
        <f>IF('GNI per capita'!BL18&lt;=Thresholds!$C$61,"L",IF('GNI per capita'!BL18&lt;=Thresholds!$D$61,"LM",IF('GNI per capita'!BL18&lt;=Thresholds!$E$61,"UM","H")))</f>
        <v>H</v>
      </c>
      <c r="BM18" s="42" t="str">
        <f>IF('GNI per capita'!BM18&lt;=Thresholds!$C$62,"L",IF('GNI per capita'!BM18&lt;=Thresholds!$D$62,"LM",IF('GNI per capita'!BM18&lt;=Thresholds!$E$62,"UM","H")))</f>
        <v>H</v>
      </c>
      <c r="BN18" s="42" t="str">
        <f>IF('GNI per capita'!BN18&lt;=Thresholds!$C$63,"L",IF('GNI per capita'!BN18&lt;=Thresholds!$D$63,"LM",IF('GNI per capita'!BN18&lt;=Thresholds!$E$63,"UM","H")))</f>
        <v>H</v>
      </c>
      <c r="BO18" s="42" t="str">
        <f>IF('GNI per capita'!BO18&lt;=Thresholds!$C$64,"L",IF('GNI per capita'!BO18&lt;=Thresholds!$D$64,"LM",IF('GNI per capita'!BO18&lt;=Thresholds!$E$64,"UM","H")))</f>
        <v>H</v>
      </c>
      <c r="BP18" s="42" t="str">
        <f>IF('GNI per capita'!BP18&lt;=Thresholds!$C$65,"L",IF('GNI per capita'!BP18&lt;=Thresholds!$D$65,"LM",IF('GNI per capita'!BP18&lt;=Thresholds!$E$65,"UM","H")))</f>
        <v>H</v>
      </c>
      <c r="BQ18" s="42" t="str">
        <f>IF('GNI per capita'!BQ18&lt;=Thresholds!$C$66,"L",IF('GNI per capita'!BQ18&lt;=Thresholds!$D$66,"LM",IF('GNI per capita'!BQ18&lt;=Thresholds!$E$66,"UM","H")))</f>
        <v>H</v>
      </c>
      <c r="BR18" s="42" t="str">
        <f>IF('GNI per capita'!BR18&lt;=Thresholds!$C$67,"L",IF('GNI per capita'!BR18&lt;=Thresholds!$D$67,"LM",IF('GNI per capita'!BR18&lt;=Thresholds!$E$67,"UM","H")))</f>
        <v>H</v>
      </c>
      <c r="BS18" s="42" t="str">
        <f>IF('GNI per capita'!BS18&lt;=Thresholds!$C$68,"L",IF('GNI per capita'!BS18&lt;=Thresholds!$D$68,"LM",IF('GNI per capita'!BS18&lt;=Thresholds!$E$68,"UM","H")))</f>
        <v>H</v>
      </c>
    </row>
    <row r="19" spans="1:71" x14ac:dyDescent="0.2">
      <c r="A19" s="2" t="s">
        <v>231</v>
      </c>
      <c r="B19" s="2" t="s">
        <v>232</v>
      </c>
      <c r="C19" s="11" t="s">
        <v>210</v>
      </c>
      <c r="G19" s="2" t="s">
        <v>233</v>
      </c>
      <c r="H19" s="41" t="s">
        <v>75</v>
      </c>
      <c r="I19" s="41" t="s">
        <v>75</v>
      </c>
      <c r="J19" s="41" t="s">
        <v>75</v>
      </c>
      <c r="K19" s="41" t="s">
        <v>75</v>
      </c>
      <c r="L19" s="41" t="s">
        <v>75</v>
      </c>
      <c r="M19" s="41" t="s">
        <v>75</v>
      </c>
      <c r="N19" s="41" t="s">
        <v>75</v>
      </c>
      <c r="O19" s="41" t="s">
        <v>75</v>
      </c>
      <c r="P19" s="41" t="s">
        <v>75</v>
      </c>
      <c r="Q19" s="41" t="s">
        <v>75</v>
      </c>
      <c r="R19" s="41" t="s">
        <v>75</v>
      </c>
      <c r="S19" s="41" t="s">
        <v>75</v>
      </c>
      <c r="T19" s="41" t="s">
        <v>75</v>
      </c>
      <c r="U19" s="41" t="s">
        <v>75</v>
      </c>
      <c r="V19" s="41" t="s">
        <v>75</v>
      </c>
      <c r="W19" s="41" t="s">
        <v>75</v>
      </c>
      <c r="X19" s="41" t="s">
        <v>75</v>
      </c>
      <c r="Y19" s="41" t="s">
        <v>75</v>
      </c>
      <c r="Z19" s="41" t="s">
        <v>75</v>
      </c>
      <c r="AA19" s="41" t="s">
        <v>75</v>
      </c>
      <c r="AB19" s="41" t="s">
        <v>75</v>
      </c>
      <c r="AC19" s="41" t="s">
        <v>75</v>
      </c>
      <c r="AD19" s="41" t="s">
        <v>75</v>
      </c>
      <c r="AE19" s="41" t="s">
        <v>75</v>
      </c>
      <c r="AF19" s="41" t="s">
        <v>75</v>
      </c>
      <c r="AG19" s="41" t="s">
        <v>75</v>
      </c>
      <c r="AH19" s="41" t="s">
        <v>75</v>
      </c>
      <c r="AI19" s="41" t="s">
        <v>210</v>
      </c>
      <c r="AJ19" s="41" t="s">
        <v>210</v>
      </c>
      <c r="AK19" s="41" t="s">
        <v>210</v>
      </c>
      <c r="AL19" s="41" t="s">
        <v>210</v>
      </c>
      <c r="AM19" s="41" t="s">
        <v>210</v>
      </c>
      <c r="AN19" s="41" t="s">
        <v>210</v>
      </c>
      <c r="AO19" s="41" t="s">
        <v>210</v>
      </c>
      <c r="AP19" s="41" t="s">
        <v>210</v>
      </c>
      <c r="AQ19" s="41" t="s">
        <v>210</v>
      </c>
      <c r="AR19" s="41" t="s">
        <v>210</v>
      </c>
      <c r="AS19" s="41" t="s">
        <v>210</v>
      </c>
      <c r="AT19" s="41" t="s">
        <v>210</v>
      </c>
      <c r="AU19" s="42" t="str">
        <f>IF('GNI per capita'!AU19&lt;=Thresholds!$C$44,"L",IF('GNI per capita'!AU19&lt;=Thresholds!$D$44,"LM",IF('GNI per capita'!AU19&lt;=Thresholds!$E$44,"UM","H")))</f>
        <v>LM</v>
      </c>
      <c r="AV19" s="42" t="str">
        <f>IF('GNI per capita'!AV19&lt;=Thresholds!$C$45,"L",IF('GNI per capita'!AV19&lt;=Thresholds!$D$45,"LM",IF('GNI per capita'!AV19&lt;=Thresholds!$E$45,"UM","H")))</f>
        <v>LM</v>
      </c>
      <c r="AW19" s="42" t="str">
        <f>IF('GNI per capita'!AW19&lt;=Thresholds!$C$46,"L",IF('GNI per capita'!AW19&lt;=Thresholds!$D$46,"LM",IF('GNI per capita'!AW19&lt;=Thresholds!$E$46,"UM","H")))</f>
        <v>LM</v>
      </c>
      <c r="AX19" s="42" t="str">
        <f>IF('GNI per capita'!AX19&lt;=Thresholds!$C$47,"L",IF('GNI per capita'!AX19&lt;=Thresholds!$D$47,"LM",IF('GNI per capita'!AX19&lt;=Thresholds!$E$47,"UM","H")))</f>
        <v>LM</v>
      </c>
      <c r="AY19" s="42" t="str">
        <f>IF('GNI per capita'!AY19&lt;=Thresholds!$C$48,"L",IF('GNI per capita'!AY19&lt;=Thresholds!$D$48,"LM",IF('GNI per capita'!AY19&lt;=Thresholds!$E$48,"UM","H")))</f>
        <v>LM</v>
      </c>
      <c r="AZ19" s="42" t="str">
        <f>IF('GNI per capita'!AZ19&lt;=Thresholds!$C$49,"L",IF('GNI per capita'!AZ19&lt;=Thresholds!$D$49,"LM",IF('GNI per capita'!AZ19&lt;=Thresholds!$E$49,"UM","H")))</f>
        <v>LM</v>
      </c>
      <c r="BA19" s="42" t="str">
        <f>IF('GNI per capita'!BA19&lt;=Thresholds!$C$50,"L",IF('GNI per capita'!BA19&lt;=Thresholds!$D$50,"LM",IF('GNI per capita'!BA19&lt;=Thresholds!$E$50,"UM","H")))</f>
        <v>LM</v>
      </c>
      <c r="BB19" s="42" t="str">
        <f>IF('GNI per capita'!BB19&lt;=Thresholds!$C$51,"L",IF('GNI per capita'!BB19&lt;=Thresholds!$D$51,"LM",IF('GNI per capita'!BB19&lt;=Thresholds!$E$51,"UM","H")))</f>
        <v>LM</v>
      </c>
      <c r="BC19" s="42" t="str">
        <f>IF('GNI per capita'!BC19&lt;=Thresholds!$C$52,"L",IF('GNI per capita'!BC19&lt;=Thresholds!$D$52,"LM",IF('GNI per capita'!BC19&lt;=Thresholds!$E$52,"UM","H")))</f>
        <v>UM</v>
      </c>
      <c r="BD19" s="42" t="str">
        <f>IF('GNI per capita'!BD19&lt;=Thresholds!$C$53,"L",IF('GNI per capita'!BD19&lt;=Thresholds!$D$53,"LM",IF('GNI per capita'!BD19&lt;=Thresholds!$E$53,"UM","H")))</f>
        <v>UM</v>
      </c>
      <c r="BE19" s="42" t="str">
        <f>IF('GNI per capita'!BE19&lt;=Thresholds!$C$54,"L",IF('GNI per capita'!BE19&lt;=Thresholds!$D$54,"LM",IF('GNI per capita'!BE19&lt;=Thresholds!$E$54,"UM","H")))</f>
        <v>UM</v>
      </c>
      <c r="BF19" s="42" t="str">
        <f>IF('GNI per capita'!BF19&lt;=Thresholds!$C$55,"L",IF('GNI per capita'!BF19&lt;=Thresholds!$D$55,"LM",IF('GNI per capita'!BF19&lt;=Thresholds!$E$55,"UM","H")))</f>
        <v>UM</v>
      </c>
      <c r="BG19" s="42" t="str">
        <f>IF('GNI per capita'!BG19&lt;=Thresholds!$C$56,"L",IF('GNI per capita'!BG19&lt;=Thresholds!$D$56,"LM",IF('GNI per capita'!BG19&lt;=Thresholds!$E$56,"UM","H")))</f>
        <v>UM</v>
      </c>
      <c r="BH19" s="42" t="str">
        <f>IF('GNI per capita'!BH19&lt;=Thresholds!$C$57,"L",IF('GNI per capita'!BH19&lt;=Thresholds!$D$57,"LM",IF('GNI per capita'!BH19&lt;=Thresholds!$E$57,"UM","H")))</f>
        <v>UM</v>
      </c>
      <c r="BI19" s="42" t="str">
        <f>IF('GNI per capita'!BI19&lt;=Thresholds!$C$58,"L",IF('GNI per capita'!BI19&lt;=Thresholds!$D$58,"LM",IF('GNI per capita'!BI19&lt;=Thresholds!$E$58,"UM","H")))</f>
        <v>UM</v>
      </c>
      <c r="BJ19" s="42" t="str">
        <f>IF('GNI per capita'!BJ19&lt;=Thresholds!$C$59,"L",IF('GNI per capita'!BJ19&lt;=Thresholds!$D$59,"LM",IF('GNI per capita'!BJ19&lt;=Thresholds!$E$59,"UM","H")))</f>
        <v>UM</v>
      </c>
      <c r="BK19" s="42" t="str">
        <f>IF('GNI per capita'!BK19&lt;=Thresholds!$C$60,"L",IF('GNI per capita'!BK19&lt;=Thresholds!$D$60,"LM",IF('GNI per capita'!BK19&lt;=Thresholds!$E$60,"UM","H")))</f>
        <v>UM</v>
      </c>
      <c r="BL19" s="42" t="str">
        <f>IF('GNI per capita'!BL19&lt;=Thresholds!$C$61,"L",IF('GNI per capita'!BL19&lt;=Thresholds!$D$61,"LM",IF('GNI per capita'!BL19&lt;=Thresholds!$E$61,"UM","H")))</f>
        <v>UM</v>
      </c>
      <c r="BM19" s="42" t="str">
        <f>IF('GNI per capita'!BM19&lt;=Thresholds!$C$62,"L",IF('GNI per capita'!BM19&lt;=Thresholds!$D$62,"LM",IF('GNI per capita'!BM19&lt;=Thresholds!$E$62,"UM","H")))</f>
        <v>UM</v>
      </c>
      <c r="BN19" s="42" t="str">
        <f>IF('GNI per capita'!BN19&lt;=Thresholds!$C$63,"L",IF('GNI per capita'!BN19&lt;=Thresholds!$D$63,"LM",IF('GNI per capita'!BN19&lt;=Thresholds!$E$63,"UM","H")))</f>
        <v>UM</v>
      </c>
      <c r="BO19" s="42" t="str">
        <f>IF('GNI per capita'!BO19&lt;=Thresholds!$C$64,"L",IF('GNI per capita'!BO19&lt;=Thresholds!$D$64,"LM",IF('GNI per capita'!BO19&lt;=Thresholds!$E$64,"UM","H")))</f>
        <v>UM</v>
      </c>
      <c r="BP19" s="42" t="str">
        <f>IF('GNI per capita'!BP19&lt;=Thresholds!$C$65,"L",IF('GNI per capita'!BP19&lt;=Thresholds!$D$65,"LM",IF('GNI per capita'!BP19&lt;=Thresholds!$E$65,"UM","H")))</f>
        <v>UM</v>
      </c>
      <c r="BQ19" s="42" t="str">
        <f>IF('GNI per capita'!BQ19&lt;=Thresholds!$C$66,"L",IF('GNI per capita'!BQ19&lt;=Thresholds!$D$66,"LM",IF('GNI per capita'!BQ19&lt;=Thresholds!$E$66,"UM","H")))</f>
        <v>UM</v>
      </c>
      <c r="BR19" s="42" t="str">
        <f>IF('GNI per capita'!BR19&lt;=Thresholds!$C$67,"L",IF('GNI per capita'!BR19&lt;=Thresholds!$D$67,"LM",IF('GNI per capita'!BR19&lt;=Thresholds!$E$67,"UM","H")))</f>
        <v>UM</v>
      </c>
      <c r="BS19" s="42" t="str">
        <f>IF('GNI per capita'!BS19&lt;=Thresholds!$C$68,"L",IF('GNI per capita'!BS19&lt;=Thresholds!$D$68,"LM",IF('GNI per capita'!BS19&lt;=Thresholds!$E$68,"UM","H")))</f>
        <v>UM</v>
      </c>
    </row>
    <row r="20" spans="1:71" x14ac:dyDescent="0.2">
      <c r="A20" s="2" t="s">
        <v>234</v>
      </c>
      <c r="B20" s="2" t="s">
        <v>235</v>
      </c>
      <c r="C20" s="11" t="s">
        <v>79</v>
      </c>
      <c r="G20" s="2" t="s">
        <v>162</v>
      </c>
      <c r="H20" s="41" t="s">
        <v>82</v>
      </c>
      <c r="I20" s="41" t="s">
        <v>82</v>
      </c>
      <c r="J20" s="41" t="s">
        <v>79</v>
      </c>
      <c r="K20" s="41" t="s">
        <v>82</v>
      </c>
      <c r="L20" s="41" t="s">
        <v>82</v>
      </c>
      <c r="M20" s="41" t="s">
        <v>82</v>
      </c>
      <c r="N20" s="41" t="s">
        <v>82</v>
      </c>
      <c r="O20" s="41" t="s">
        <v>82</v>
      </c>
      <c r="P20" s="41" t="s">
        <v>82</v>
      </c>
      <c r="Q20" s="41" t="s">
        <v>82</v>
      </c>
      <c r="R20" s="41" t="s">
        <v>82</v>
      </c>
      <c r="S20" s="41" t="s">
        <v>82</v>
      </c>
      <c r="T20" s="41" t="s">
        <v>82</v>
      </c>
      <c r="U20" s="41" t="s">
        <v>79</v>
      </c>
      <c r="V20" s="41" t="s">
        <v>82</v>
      </c>
      <c r="W20" s="41" t="s">
        <v>79</v>
      </c>
      <c r="X20" s="41" t="s">
        <v>82</v>
      </c>
      <c r="Y20" s="41" t="s">
        <v>82</v>
      </c>
      <c r="Z20" s="41" t="s">
        <v>82</v>
      </c>
      <c r="AA20" s="41" t="s">
        <v>79</v>
      </c>
      <c r="AB20" s="41" t="s">
        <v>79</v>
      </c>
      <c r="AC20" s="41" t="s">
        <v>79</v>
      </c>
      <c r="AD20" s="41" t="s">
        <v>79</v>
      </c>
      <c r="AE20" s="41" t="s">
        <v>79</v>
      </c>
      <c r="AF20" s="41" t="s">
        <v>79</v>
      </c>
      <c r="AG20" s="41" t="s">
        <v>79</v>
      </c>
      <c r="AH20" s="41" t="s">
        <v>79</v>
      </c>
      <c r="AI20" s="41" t="s">
        <v>79</v>
      </c>
      <c r="AJ20" s="41" t="s">
        <v>79</v>
      </c>
      <c r="AK20" s="41" t="s">
        <v>79</v>
      </c>
      <c r="AL20" s="41" t="s">
        <v>79</v>
      </c>
      <c r="AM20" s="41" t="s">
        <v>79</v>
      </c>
      <c r="AN20" s="41" t="s">
        <v>79</v>
      </c>
      <c r="AO20" s="41" t="s">
        <v>79</v>
      </c>
      <c r="AP20" s="41" t="s">
        <v>79</v>
      </c>
      <c r="AQ20" s="41" t="s">
        <v>79</v>
      </c>
      <c r="AR20" s="41" t="s">
        <v>79</v>
      </c>
      <c r="AS20" s="41" t="s">
        <v>79</v>
      </c>
      <c r="AT20" s="41" t="s">
        <v>79</v>
      </c>
      <c r="AU20" s="42" t="str">
        <f>IF('GNI per capita'!AU20&lt;=Thresholds!$C$44,"L",IF('GNI per capita'!AU20&lt;=Thresholds!$D$44,"LM",IF('GNI per capita'!AU20&lt;=Thresholds!$E$44,"UM","H")))</f>
        <v>H</v>
      </c>
      <c r="AV20" s="42" t="str">
        <f>IF('GNI per capita'!AV20&lt;=Thresholds!$C$45,"L",IF('GNI per capita'!AV20&lt;=Thresholds!$D$45,"LM",IF('GNI per capita'!AV20&lt;=Thresholds!$E$45,"UM","H")))</f>
        <v>H</v>
      </c>
      <c r="AW20" s="42" t="str">
        <f>IF('GNI per capita'!AW20&lt;=Thresholds!$C$46,"L",IF('GNI per capita'!AW20&lt;=Thresholds!$D$46,"LM",IF('GNI per capita'!AW20&lt;=Thresholds!$E$46,"UM","H")))</f>
        <v>H</v>
      </c>
      <c r="AX20" s="42" t="str">
        <f>IF('GNI per capita'!AX20&lt;=Thresholds!$C$47,"L",IF('GNI per capita'!AX20&lt;=Thresholds!$D$47,"LM",IF('GNI per capita'!AX20&lt;=Thresholds!$E$47,"UM","H")))</f>
        <v>H</v>
      </c>
      <c r="AY20" s="42" t="str">
        <f>IF('GNI per capita'!AY20&lt;=Thresholds!$C$48,"L",IF('GNI per capita'!AY20&lt;=Thresholds!$D$48,"LM",IF('GNI per capita'!AY20&lt;=Thresholds!$E$48,"UM","H")))</f>
        <v>H</v>
      </c>
      <c r="AZ20" s="42" t="str">
        <f>IF('GNI per capita'!AZ20&lt;=Thresholds!$C$49,"L",IF('GNI per capita'!AZ20&lt;=Thresholds!$D$49,"LM",IF('GNI per capita'!AZ20&lt;=Thresholds!$E$49,"UM","H")))</f>
        <v>H</v>
      </c>
      <c r="BA20" s="42" t="str">
        <f>IF('GNI per capita'!BA20&lt;=Thresholds!$C$50,"L",IF('GNI per capita'!BA20&lt;=Thresholds!$D$50,"LM",IF('GNI per capita'!BA20&lt;=Thresholds!$E$50,"UM","H")))</f>
        <v>H</v>
      </c>
      <c r="BB20" s="42" t="str">
        <f>IF('GNI per capita'!BB20&lt;=Thresholds!$C$51,"L",IF('GNI per capita'!BB20&lt;=Thresholds!$D$51,"LM",IF('GNI per capita'!BB20&lt;=Thresholds!$E$51,"UM","H")))</f>
        <v>H</v>
      </c>
      <c r="BC20" s="42" t="str">
        <f>IF('GNI per capita'!BC20&lt;=Thresholds!$C$52,"L",IF('GNI per capita'!BC20&lt;=Thresholds!$D$52,"LM",IF('GNI per capita'!BC20&lt;=Thresholds!$E$52,"UM","H")))</f>
        <v>H</v>
      </c>
      <c r="BD20" s="42" t="str">
        <f>IF('GNI per capita'!BD20&lt;=Thresholds!$C$53,"L",IF('GNI per capita'!BD20&lt;=Thresholds!$D$53,"LM",IF('GNI per capita'!BD20&lt;=Thresholds!$E$53,"UM","H")))</f>
        <v>H</v>
      </c>
      <c r="BE20" s="42" t="str">
        <f>IF('GNI per capita'!BE20&lt;=Thresholds!$C$54,"L",IF('GNI per capita'!BE20&lt;=Thresholds!$D$54,"LM",IF('GNI per capita'!BE20&lt;=Thresholds!$E$54,"UM","H")))</f>
        <v>H</v>
      </c>
      <c r="BF20" s="42" t="str">
        <f>IF('GNI per capita'!BF20&lt;=Thresholds!$C$55,"L",IF('GNI per capita'!BF20&lt;=Thresholds!$D$55,"LM",IF('GNI per capita'!BF20&lt;=Thresholds!$E$55,"UM","H")))</f>
        <v>H</v>
      </c>
      <c r="BG20" s="42" t="str">
        <f>IF('GNI per capita'!BG20&lt;=Thresholds!$C$56,"L",IF('GNI per capita'!BG20&lt;=Thresholds!$D$56,"LM",IF('GNI per capita'!BG20&lt;=Thresholds!$E$56,"UM","H")))</f>
        <v>H</v>
      </c>
      <c r="BH20" s="42" t="str">
        <f>IF('GNI per capita'!BH20&lt;=Thresholds!$C$57,"L",IF('GNI per capita'!BH20&lt;=Thresholds!$D$57,"LM",IF('GNI per capita'!BH20&lt;=Thresholds!$E$57,"UM","H")))</f>
        <v>H</v>
      </c>
      <c r="BI20" s="42" t="str">
        <f>IF('GNI per capita'!BI20&lt;=Thresholds!$C$58,"L",IF('GNI per capita'!BI20&lt;=Thresholds!$D$58,"LM",IF('GNI per capita'!BI20&lt;=Thresholds!$E$58,"UM","H")))</f>
        <v>H</v>
      </c>
      <c r="BJ20" s="42" t="str">
        <f>IF('GNI per capita'!BJ20&lt;=Thresholds!$C$59,"L",IF('GNI per capita'!BJ20&lt;=Thresholds!$D$59,"LM",IF('GNI per capita'!BJ20&lt;=Thresholds!$E$59,"UM","H")))</f>
        <v>H</v>
      </c>
      <c r="BK20" s="42" t="str">
        <f>IF('GNI per capita'!BK20&lt;=Thresholds!$C$60,"L",IF('GNI per capita'!BK20&lt;=Thresholds!$D$60,"LM",IF('GNI per capita'!BK20&lt;=Thresholds!$E$60,"UM","H")))</f>
        <v>H</v>
      </c>
      <c r="BL20" s="42" t="str">
        <f>IF('GNI per capita'!BL20&lt;=Thresholds!$C$61,"L",IF('GNI per capita'!BL20&lt;=Thresholds!$D$61,"LM",IF('GNI per capita'!BL20&lt;=Thresholds!$E$61,"UM","H")))</f>
        <v>H</v>
      </c>
      <c r="BM20" s="42" t="str">
        <f>IF('GNI per capita'!BM20&lt;=Thresholds!$C$62,"L",IF('GNI per capita'!BM20&lt;=Thresholds!$D$62,"LM",IF('GNI per capita'!BM20&lt;=Thresholds!$E$62,"UM","H")))</f>
        <v>H</v>
      </c>
      <c r="BN20" s="42" t="str">
        <f>IF('GNI per capita'!BN20&lt;=Thresholds!$C$63,"L",IF('GNI per capita'!BN20&lt;=Thresholds!$D$63,"LM",IF('GNI per capita'!BN20&lt;=Thresholds!$E$63,"UM","H")))</f>
        <v>H</v>
      </c>
      <c r="BO20" s="42" t="str">
        <f>IF('GNI per capita'!BO20&lt;=Thresholds!$C$64,"L",IF('GNI per capita'!BO20&lt;=Thresholds!$D$64,"LM",IF('GNI per capita'!BO20&lt;=Thresholds!$E$64,"UM","H")))</f>
        <v>H</v>
      </c>
      <c r="BP20" s="42" t="str">
        <f>IF('GNI per capita'!BP20&lt;=Thresholds!$C$65,"L",IF('GNI per capita'!BP20&lt;=Thresholds!$D$65,"LM",IF('GNI per capita'!BP20&lt;=Thresholds!$E$65,"UM","H")))</f>
        <v>H</v>
      </c>
      <c r="BQ20" s="42" t="str">
        <f>IF('GNI per capita'!BQ20&lt;=Thresholds!$C$66,"L",IF('GNI per capita'!BQ20&lt;=Thresholds!$D$66,"LM",IF('GNI per capita'!BQ20&lt;=Thresholds!$E$66,"UM","H")))</f>
        <v>H</v>
      </c>
      <c r="BR20" s="42" t="str">
        <f>IF('GNI per capita'!BR20&lt;=Thresholds!$C$67,"L",IF('GNI per capita'!BR20&lt;=Thresholds!$D$67,"LM",IF('GNI per capita'!BR20&lt;=Thresholds!$E$67,"UM","H")))</f>
        <v>H</v>
      </c>
      <c r="BS20" s="42" t="str">
        <f>IF('GNI per capita'!BS20&lt;=Thresholds!$C$68,"L",IF('GNI per capita'!BS20&lt;=Thresholds!$D$68,"LM",IF('GNI per capita'!BS20&lt;=Thresholds!$E$68,"UM","H")))</f>
        <v>H</v>
      </c>
    </row>
    <row r="21" spans="1:71" x14ac:dyDescent="0.2">
      <c r="A21" s="2" t="s">
        <v>236</v>
      </c>
      <c r="B21" s="2" t="s">
        <v>237</v>
      </c>
      <c r="C21" s="11" t="s">
        <v>82</v>
      </c>
      <c r="G21" s="2" t="s">
        <v>162</v>
      </c>
      <c r="H21" s="41"/>
      <c r="I21" s="41"/>
      <c r="J21" s="41"/>
      <c r="K21" s="41"/>
      <c r="L21" s="41" t="s">
        <v>82</v>
      </c>
      <c r="M21" s="41" t="s">
        <v>82</v>
      </c>
      <c r="N21" s="41" t="s">
        <v>82</v>
      </c>
      <c r="O21" s="41" t="s">
        <v>210</v>
      </c>
      <c r="P21" s="41" t="s">
        <v>210</v>
      </c>
      <c r="Q21" s="41" t="s">
        <v>210</v>
      </c>
      <c r="R21" s="41" t="s">
        <v>210</v>
      </c>
      <c r="S21" s="41" t="s">
        <v>210</v>
      </c>
      <c r="T21" s="41" t="s">
        <v>210</v>
      </c>
      <c r="U21" s="41" t="s">
        <v>210</v>
      </c>
      <c r="V21" s="41" t="s">
        <v>210</v>
      </c>
      <c r="W21" s="41" t="s">
        <v>210</v>
      </c>
      <c r="X21" s="41" t="s">
        <v>210</v>
      </c>
      <c r="Y21" s="41" t="s">
        <v>210</v>
      </c>
      <c r="Z21" s="41" t="s">
        <v>210</v>
      </c>
      <c r="AA21" s="41" t="s">
        <v>210</v>
      </c>
      <c r="AB21" s="41" t="s">
        <v>82</v>
      </c>
      <c r="AC21" s="41" t="s">
        <v>82</v>
      </c>
      <c r="AD21" s="41" t="s">
        <v>82</v>
      </c>
      <c r="AE21" s="41" t="s">
        <v>82</v>
      </c>
      <c r="AF21" s="41" t="s">
        <v>82</v>
      </c>
      <c r="AG21" s="41" t="s">
        <v>82</v>
      </c>
      <c r="AH21" s="41" t="s">
        <v>82</v>
      </c>
      <c r="AI21" s="41" t="s">
        <v>82</v>
      </c>
      <c r="AJ21" s="41" t="s">
        <v>82</v>
      </c>
      <c r="AK21" s="41" t="s">
        <v>82</v>
      </c>
      <c r="AL21" s="41" t="s">
        <v>82</v>
      </c>
      <c r="AM21" s="41" t="s">
        <v>82</v>
      </c>
      <c r="AN21" s="41" t="s">
        <v>82</v>
      </c>
      <c r="AO21" s="41" t="s">
        <v>82</v>
      </c>
      <c r="AP21" s="41" t="s">
        <v>82</v>
      </c>
      <c r="AQ21" s="41" t="s">
        <v>82</v>
      </c>
      <c r="AR21" s="41" t="s">
        <v>82</v>
      </c>
      <c r="AS21" s="41" t="s">
        <v>82</v>
      </c>
      <c r="AT21" s="41" t="s">
        <v>82</v>
      </c>
      <c r="AU21" s="42" t="str">
        <f>IF('GNI per capita'!AU21&lt;=Thresholds!$C$44,"L",IF('GNI per capita'!AU21&lt;=Thresholds!$D$44,"LM",IF('GNI per capita'!AU21&lt;=Thresholds!$E$44,"UM","H")))</f>
        <v>UM</v>
      </c>
      <c r="AV21" s="42" t="str">
        <f>IF('GNI per capita'!AV21&lt;=Thresholds!$C$45,"L",IF('GNI per capita'!AV21&lt;=Thresholds!$D$45,"LM",IF('GNI per capita'!AV21&lt;=Thresholds!$E$45,"UM","H")))</f>
        <v>UM</v>
      </c>
      <c r="AW21" s="42" t="str">
        <f>IF('GNI per capita'!AW21&lt;=Thresholds!$C$46,"L",IF('GNI per capita'!AW21&lt;=Thresholds!$D$46,"LM",IF('GNI per capita'!AW21&lt;=Thresholds!$E$46,"UM","H")))</f>
        <v>UM</v>
      </c>
      <c r="AX21" s="42" t="str">
        <f>IF('GNI per capita'!AX21&lt;=Thresholds!$C$47,"L",IF('GNI per capita'!AX21&lt;=Thresholds!$D$47,"LM",IF('GNI per capita'!AX21&lt;=Thresholds!$E$47,"UM","H")))</f>
        <v>UM</v>
      </c>
      <c r="AY21" s="42" t="str">
        <f>IF('GNI per capita'!AY21&lt;=Thresholds!$C$48,"L",IF('GNI per capita'!AY21&lt;=Thresholds!$D$48,"LM",IF('GNI per capita'!AY21&lt;=Thresholds!$E$48,"UM","H")))</f>
        <v>UM</v>
      </c>
      <c r="AZ21" s="42" t="str">
        <f>IF('GNI per capita'!AZ21&lt;=Thresholds!$C$49,"L",IF('GNI per capita'!AZ21&lt;=Thresholds!$D$49,"LM",IF('GNI per capita'!AZ21&lt;=Thresholds!$E$49,"UM","H")))</f>
        <v>UM</v>
      </c>
      <c r="BA21" s="42" t="str">
        <f>IF('GNI per capita'!BA21&lt;=Thresholds!$C$50,"L",IF('GNI per capita'!BA21&lt;=Thresholds!$D$50,"LM",IF('GNI per capita'!BA21&lt;=Thresholds!$E$50,"UM","H")))</f>
        <v>UM</v>
      </c>
      <c r="BB21" s="42" t="str">
        <f>IF('GNI per capita'!BB21&lt;=Thresholds!$C$51,"L",IF('GNI per capita'!BB21&lt;=Thresholds!$D$51,"LM",IF('GNI per capita'!BB21&lt;=Thresholds!$E$51,"UM","H")))</f>
        <v>H</v>
      </c>
      <c r="BC21" s="42" t="str">
        <f>IF('GNI per capita'!BC21&lt;=Thresholds!$C$52,"L",IF('GNI per capita'!BC21&lt;=Thresholds!$D$52,"LM",IF('GNI per capita'!BC21&lt;=Thresholds!$E$52,"UM","H")))</f>
        <v>H</v>
      </c>
      <c r="BD21" s="42" t="str">
        <f>IF('GNI per capita'!BD21&lt;=Thresholds!$C$53,"L",IF('GNI per capita'!BD21&lt;=Thresholds!$D$53,"LM",IF('GNI per capita'!BD21&lt;=Thresholds!$E$53,"UM","H")))</f>
        <v>H</v>
      </c>
      <c r="BE21" s="42" t="str">
        <f>IF('GNI per capita'!BE21&lt;=Thresholds!$C$54,"L",IF('GNI per capita'!BE21&lt;=Thresholds!$D$54,"LM",IF('GNI per capita'!BE21&lt;=Thresholds!$E$54,"UM","H")))</f>
        <v>H</v>
      </c>
      <c r="BF21" s="42" t="str">
        <f>IF('GNI per capita'!BF21&lt;=Thresholds!$C$55,"L",IF('GNI per capita'!BF21&lt;=Thresholds!$D$55,"LM",IF('GNI per capita'!BF21&lt;=Thresholds!$E$55,"UM","H")))</f>
        <v>H</v>
      </c>
      <c r="BG21" s="42" t="str">
        <f>IF('GNI per capita'!BG21&lt;=Thresholds!$C$56,"L",IF('GNI per capita'!BG21&lt;=Thresholds!$D$56,"LM",IF('GNI per capita'!BG21&lt;=Thresholds!$E$56,"UM","H")))</f>
        <v>H</v>
      </c>
      <c r="BH21" s="42" t="str">
        <f>IF('GNI per capita'!BH21&lt;=Thresholds!$C$57,"L",IF('GNI per capita'!BH21&lt;=Thresholds!$D$57,"LM",IF('GNI per capita'!BH21&lt;=Thresholds!$E$57,"UM","H")))</f>
        <v>H</v>
      </c>
      <c r="BI21" s="42" t="str">
        <f>IF('GNI per capita'!BI21&lt;=Thresholds!$C$58,"L",IF('GNI per capita'!BI21&lt;=Thresholds!$D$58,"LM",IF('GNI per capita'!BI21&lt;=Thresholds!$E$58,"UM","H")))</f>
        <v>H</v>
      </c>
      <c r="BJ21" s="42" t="str">
        <f>IF('GNI per capita'!BJ21&lt;=Thresholds!$C$59,"L",IF('GNI per capita'!BJ21&lt;=Thresholds!$D$59,"LM",IF('GNI per capita'!BJ21&lt;=Thresholds!$E$59,"UM","H")))</f>
        <v>H</v>
      </c>
      <c r="BK21" s="42" t="str">
        <f>IF('GNI per capita'!BK21&lt;=Thresholds!$C$60,"L",IF('GNI per capita'!BK21&lt;=Thresholds!$D$60,"LM",IF('GNI per capita'!BK21&lt;=Thresholds!$E$60,"UM","H")))</f>
        <v>H</v>
      </c>
      <c r="BL21" s="42" t="str">
        <f>IF('GNI per capita'!BL21&lt;=Thresholds!$C$61,"L",IF('GNI per capita'!BL21&lt;=Thresholds!$D$61,"LM",IF('GNI per capita'!BL21&lt;=Thresholds!$E$61,"UM","H")))</f>
        <v>H</v>
      </c>
      <c r="BM21" s="42" t="str">
        <f>IF('GNI per capita'!BM21&lt;=Thresholds!$C$62,"L",IF('GNI per capita'!BM21&lt;=Thresholds!$D$62,"LM",IF('GNI per capita'!BM21&lt;=Thresholds!$E$62,"UM","H")))</f>
        <v>H</v>
      </c>
      <c r="BN21" s="42" t="str">
        <f>IF('GNI per capita'!BN21&lt;=Thresholds!$C$63,"L",IF('GNI per capita'!BN21&lt;=Thresholds!$D$63,"LM",IF('GNI per capita'!BN21&lt;=Thresholds!$E$63,"UM","H")))</f>
        <v>H</v>
      </c>
      <c r="BO21" s="42" t="str">
        <f>IF('GNI per capita'!BO21&lt;=Thresholds!$C$64,"L",IF('GNI per capita'!BO21&lt;=Thresholds!$D$64,"LM",IF('GNI per capita'!BO21&lt;=Thresholds!$E$64,"UM","H")))</f>
        <v>H</v>
      </c>
      <c r="BP21" s="42" t="str">
        <f>IF('GNI per capita'!BP21&lt;=Thresholds!$C$65,"L",IF('GNI per capita'!BP21&lt;=Thresholds!$D$65,"LM",IF('GNI per capita'!BP21&lt;=Thresholds!$E$65,"UM","H")))</f>
        <v>H</v>
      </c>
      <c r="BQ21" s="42" t="str">
        <f>IF('GNI per capita'!BQ21&lt;=Thresholds!$C$66,"L",IF('GNI per capita'!BQ21&lt;=Thresholds!$D$66,"LM",IF('GNI per capita'!BQ21&lt;=Thresholds!$E$66,"UM","H")))</f>
        <v>H</v>
      </c>
      <c r="BR21" s="42" t="str">
        <f>IF('GNI per capita'!BR21&lt;=Thresholds!$C$67,"L",IF('GNI per capita'!BR21&lt;=Thresholds!$D$67,"LM",IF('GNI per capita'!BR21&lt;=Thresholds!$E$67,"UM","H")))</f>
        <v>H</v>
      </c>
      <c r="BS21" s="42" t="str">
        <f>IF('GNI per capita'!BS21&lt;=Thresholds!$C$68,"L",IF('GNI per capita'!BS21&lt;=Thresholds!$D$68,"LM",IF('GNI per capita'!BS21&lt;=Thresholds!$E$68,"UM","H")))</f>
        <v>H</v>
      </c>
    </row>
    <row r="22" spans="1:71" x14ac:dyDescent="0.2">
      <c r="A22" s="2" t="s">
        <v>238</v>
      </c>
      <c r="B22" s="2" t="s">
        <v>239</v>
      </c>
      <c r="C22" s="11" t="s">
        <v>79</v>
      </c>
      <c r="G22" s="2" t="s">
        <v>162</v>
      </c>
      <c r="H22" s="41" t="s">
        <v>79</v>
      </c>
      <c r="I22" s="41" t="s">
        <v>79</v>
      </c>
      <c r="J22" s="41" t="s">
        <v>79</v>
      </c>
      <c r="K22" s="41" t="s">
        <v>79</v>
      </c>
      <c r="L22" s="41" t="s">
        <v>79</v>
      </c>
      <c r="M22" s="41" t="s">
        <v>79</v>
      </c>
      <c r="N22" s="41" t="s">
        <v>79</v>
      </c>
      <c r="O22" s="41" t="s">
        <v>79</v>
      </c>
      <c r="P22" s="41" t="s">
        <v>79</v>
      </c>
      <c r="Q22" s="41" t="s">
        <v>79</v>
      </c>
      <c r="R22" s="41" t="s">
        <v>79</v>
      </c>
      <c r="S22" s="41" t="s">
        <v>79</v>
      </c>
      <c r="T22" s="41" t="s">
        <v>79</v>
      </c>
      <c r="U22" s="41" t="s">
        <v>79</v>
      </c>
      <c r="V22" s="41" t="s">
        <v>79</v>
      </c>
      <c r="W22" s="41" t="s">
        <v>79</v>
      </c>
      <c r="X22" s="41" t="s">
        <v>79</v>
      </c>
      <c r="Y22" s="41" t="s">
        <v>79</v>
      </c>
      <c r="Z22" s="41" t="s">
        <v>79</v>
      </c>
      <c r="AA22" s="41" t="s">
        <v>79</v>
      </c>
      <c r="AB22" s="41" t="s">
        <v>79</v>
      </c>
      <c r="AC22" s="41" t="s">
        <v>79</v>
      </c>
      <c r="AD22" s="41" t="s">
        <v>79</v>
      </c>
      <c r="AE22" s="41" t="s">
        <v>79</v>
      </c>
      <c r="AF22" s="41" t="s">
        <v>79</v>
      </c>
      <c r="AG22" s="41" t="s">
        <v>79</v>
      </c>
      <c r="AH22" s="41" t="s">
        <v>79</v>
      </c>
      <c r="AI22" s="41" t="s">
        <v>79</v>
      </c>
      <c r="AJ22" s="41" t="s">
        <v>79</v>
      </c>
      <c r="AK22" s="41" t="s">
        <v>79</v>
      </c>
      <c r="AL22" s="41" t="s">
        <v>79</v>
      </c>
      <c r="AM22" s="41" t="s">
        <v>79</v>
      </c>
      <c r="AN22" s="41" t="s">
        <v>79</v>
      </c>
      <c r="AO22" s="41" t="s">
        <v>79</v>
      </c>
      <c r="AP22" s="41" t="s">
        <v>79</v>
      </c>
      <c r="AQ22" s="41" t="s">
        <v>79</v>
      </c>
      <c r="AR22" s="41" t="s">
        <v>79</v>
      </c>
      <c r="AS22" s="41" t="s">
        <v>79</v>
      </c>
      <c r="AT22" s="41" t="s">
        <v>79</v>
      </c>
      <c r="AU22" s="42" t="str">
        <f>IF('GNI per capita'!AU22&lt;=Thresholds!$C$44,"L",IF('GNI per capita'!AU22&lt;=Thresholds!$D$44,"LM",IF('GNI per capita'!AU22&lt;=Thresholds!$E$44,"UM","H")))</f>
        <v>H</v>
      </c>
      <c r="AV22" s="42" t="str">
        <f>IF('GNI per capita'!AV22&lt;=Thresholds!$C$45,"L",IF('GNI per capita'!AV22&lt;=Thresholds!$D$45,"LM",IF('GNI per capita'!AV22&lt;=Thresholds!$E$45,"UM","H")))</f>
        <v>H</v>
      </c>
      <c r="AW22" s="42" t="str">
        <f>IF('GNI per capita'!AW22&lt;=Thresholds!$C$46,"L",IF('GNI per capita'!AW22&lt;=Thresholds!$D$46,"LM",IF('GNI per capita'!AW22&lt;=Thresholds!$E$46,"UM","H")))</f>
        <v>H</v>
      </c>
      <c r="AX22" s="42" t="str">
        <f>IF('GNI per capita'!AX22&lt;=Thresholds!$C$47,"L",IF('GNI per capita'!AX22&lt;=Thresholds!$D$47,"LM",IF('GNI per capita'!AX22&lt;=Thresholds!$E$47,"UM","H")))</f>
        <v>H</v>
      </c>
      <c r="AY22" s="42" t="str">
        <f>IF('GNI per capita'!AY22&lt;=Thresholds!$C$48,"L",IF('GNI per capita'!AY22&lt;=Thresholds!$D$48,"LM",IF('GNI per capita'!AY22&lt;=Thresholds!$E$48,"UM","H")))</f>
        <v>H</v>
      </c>
      <c r="AZ22" s="42" t="str">
        <f>IF('GNI per capita'!AZ22&lt;=Thresholds!$C$49,"L",IF('GNI per capita'!AZ22&lt;=Thresholds!$D$49,"LM",IF('GNI per capita'!AZ22&lt;=Thresholds!$E$49,"UM","H")))</f>
        <v>H</v>
      </c>
      <c r="BA22" s="42" t="str">
        <f>IF('GNI per capita'!BA22&lt;=Thresholds!$C$50,"L",IF('GNI per capita'!BA22&lt;=Thresholds!$D$50,"LM",IF('GNI per capita'!BA22&lt;=Thresholds!$E$50,"UM","H")))</f>
        <v>H</v>
      </c>
      <c r="BB22" s="42" t="str">
        <f>IF('GNI per capita'!BB22&lt;=Thresholds!$C$51,"L",IF('GNI per capita'!BB22&lt;=Thresholds!$D$51,"LM",IF('GNI per capita'!BB22&lt;=Thresholds!$E$51,"UM","H")))</f>
        <v>H</v>
      </c>
      <c r="BC22" s="42" t="str">
        <f>IF('GNI per capita'!BC22&lt;=Thresholds!$C$52,"L",IF('GNI per capita'!BC22&lt;=Thresholds!$D$52,"LM",IF('GNI per capita'!BC22&lt;=Thresholds!$E$52,"UM","H")))</f>
        <v>H</v>
      </c>
      <c r="BD22" s="42" t="str">
        <f>IF('GNI per capita'!BD22&lt;=Thresholds!$C$53,"L",IF('GNI per capita'!BD22&lt;=Thresholds!$D$53,"LM",IF('GNI per capita'!BD22&lt;=Thresholds!$E$53,"UM","H")))</f>
        <v>H</v>
      </c>
      <c r="BE22" s="42" t="str">
        <f>IF('GNI per capita'!BE22&lt;=Thresholds!$C$54,"L",IF('GNI per capita'!BE22&lt;=Thresholds!$D$54,"LM",IF('GNI per capita'!BE22&lt;=Thresholds!$E$54,"UM","H")))</f>
        <v>H</v>
      </c>
      <c r="BF22" s="42" t="str">
        <f>IF('GNI per capita'!BF22&lt;=Thresholds!$C$55,"L",IF('GNI per capita'!BF22&lt;=Thresholds!$D$55,"LM",IF('GNI per capita'!BF22&lt;=Thresholds!$E$55,"UM","H")))</f>
        <v>H</v>
      </c>
      <c r="BG22" s="42" t="str">
        <f>IF('GNI per capita'!BG22&lt;=Thresholds!$C$56,"L",IF('GNI per capita'!BG22&lt;=Thresholds!$D$56,"LM",IF('GNI per capita'!BG22&lt;=Thresholds!$E$56,"UM","H")))</f>
        <v>H</v>
      </c>
      <c r="BH22" s="42" t="str">
        <f>IF('GNI per capita'!BH22&lt;=Thresholds!$C$57,"L",IF('GNI per capita'!BH22&lt;=Thresholds!$D$57,"LM",IF('GNI per capita'!BH22&lt;=Thresholds!$E$57,"UM","H")))</f>
        <v>H</v>
      </c>
      <c r="BI22" s="42" t="str">
        <f>IF('GNI per capita'!BI22&lt;=Thresholds!$C$58,"L",IF('GNI per capita'!BI22&lt;=Thresholds!$D$58,"LM",IF('GNI per capita'!BI22&lt;=Thresholds!$E$58,"UM","H")))</f>
        <v>H</v>
      </c>
      <c r="BJ22" s="42" t="str">
        <f>IF('GNI per capita'!BJ22&lt;=Thresholds!$C$59,"L",IF('GNI per capita'!BJ22&lt;=Thresholds!$D$59,"LM",IF('GNI per capita'!BJ22&lt;=Thresholds!$E$59,"UM","H")))</f>
        <v>H</v>
      </c>
      <c r="BK22" s="42" t="str">
        <f>IF('GNI per capita'!BK22&lt;=Thresholds!$C$60,"L",IF('GNI per capita'!BK22&lt;=Thresholds!$D$60,"LM",IF('GNI per capita'!BK22&lt;=Thresholds!$E$60,"UM","H")))</f>
        <v>H</v>
      </c>
      <c r="BL22" s="42" t="str">
        <f>IF('GNI per capita'!BL22&lt;=Thresholds!$C$61,"L",IF('GNI per capita'!BL22&lt;=Thresholds!$D$61,"LM",IF('GNI per capita'!BL22&lt;=Thresholds!$E$61,"UM","H")))</f>
        <v>H</v>
      </c>
      <c r="BM22" s="42" t="str">
        <f>IF('GNI per capita'!BM22&lt;=Thresholds!$C$62,"L",IF('GNI per capita'!BM22&lt;=Thresholds!$D$62,"LM",IF('GNI per capita'!BM22&lt;=Thresholds!$E$62,"UM","H")))</f>
        <v>H</v>
      </c>
      <c r="BN22" s="42" t="str">
        <f>IF('GNI per capita'!BN22&lt;=Thresholds!$C$63,"L",IF('GNI per capita'!BN22&lt;=Thresholds!$D$63,"LM",IF('GNI per capita'!BN22&lt;=Thresholds!$E$63,"UM","H")))</f>
        <v>H</v>
      </c>
      <c r="BO22" s="42" t="str">
        <f>IF('GNI per capita'!BO22&lt;=Thresholds!$C$64,"L",IF('GNI per capita'!BO22&lt;=Thresholds!$D$64,"LM",IF('GNI per capita'!BO22&lt;=Thresholds!$E$64,"UM","H")))</f>
        <v>H</v>
      </c>
      <c r="BP22" s="42" t="str">
        <f>IF('GNI per capita'!BP22&lt;=Thresholds!$C$65,"L",IF('GNI per capita'!BP22&lt;=Thresholds!$D$65,"LM",IF('GNI per capita'!BP22&lt;=Thresholds!$E$65,"UM","H")))</f>
        <v>H</v>
      </c>
      <c r="BQ22" s="42" t="str">
        <f>IF('GNI per capita'!BQ22&lt;=Thresholds!$C$66,"L",IF('GNI per capita'!BQ22&lt;=Thresholds!$D$66,"LM",IF('GNI per capita'!BQ22&lt;=Thresholds!$E$66,"UM","H")))</f>
        <v>H</v>
      </c>
      <c r="BR22" s="42" t="str">
        <f>IF('GNI per capita'!BR22&lt;=Thresholds!$C$67,"L",IF('GNI per capita'!BR22&lt;=Thresholds!$D$67,"LM",IF('GNI per capita'!BR22&lt;=Thresholds!$E$67,"UM","H")))</f>
        <v>H</v>
      </c>
      <c r="BS22" s="42" t="str">
        <f>IF('GNI per capita'!BS22&lt;=Thresholds!$C$68,"L",IF('GNI per capita'!BS22&lt;=Thresholds!$D$68,"LM",IF('GNI per capita'!BS22&lt;=Thresholds!$E$68,"UM","H")))</f>
        <v>H</v>
      </c>
    </row>
    <row r="23" spans="1:71" x14ac:dyDescent="0.2">
      <c r="A23" s="2" t="s">
        <v>240</v>
      </c>
      <c r="B23" s="2" t="s">
        <v>241</v>
      </c>
      <c r="C23" s="11" t="s">
        <v>82</v>
      </c>
      <c r="G23" s="2" t="s">
        <v>162</v>
      </c>
      <c r="H23" s="41" t="s">
        <v>210</v>
      </c>
      <c r="I23" s="41" t="s">
        <v>210</v>
      </c>
      <c r="J23" s="41" t="s">
        <v>210</v>
      </c>
      <c r="K23" s="41" t="s">
        <v>210</v>
      </c>
      <c r="L23" s="41" t="s">
        <v>210</v>
      </c>
      <c r="M23" s="41" t="s">
        <v>210</v>
      </c>
      <c r="N23" s="41" t="s">
        <v>210</v>
      </c>
      <c r="O23" s="41" t="s">
        <v>210</v>
      </c>
      <c r="P23" s="41" t="s">
        <v>210</v>
      </c>
      <c r="Q23" s="41" t="s">
        <v>210</v>
      </c>
      <c r="R23" s="41" t="s">
        <v>210</v>
      </c>
      <c r="S23" s="41" t="s">
        <v>210</v>
      </c>
      <c r="T23" s="41" t="s">
        <v>210</v>
      </c>
      <c r="U23" s="41" t="s">
        <v>210</v>
      </c>
      <c r="V23" s="41" t="s">
        <v>210</v>
      </c>
      <c r="W23" s="41" t="s">
        <v>82</v>
      </c>
      <c r="X23" s="41" t="s">
        <v>82</v>
      </c>
      <c r="Y23" s="41" t="s">
        <v>82</v>
      </c>
      <c r="Z23" s="41" t="s">
        <v>82</v>
      </c>
      <c r="AA23" s="41" t="s">
        <v>82</v>
      </c>
      <c r="AB23" s="41" t="s">
        <v>82</v>
      </c>
      <c r="AC23" s="41" t="s">
        <v>210</v>
      </c>
      <c r="AD23" s="41" t="s">
        <v>210</v>
      </c>
      <c r="AE23" s="41" t="s">
        <v>210</v>
      </c>
      <c r="AF23" s="41" t="s">
        <v>210</v>
      </c>
      <c r="AG23" s="41" t="s">
        <v>82</v>
      </c>
      <c r="AH23" s="41" t="s">
        <v>82</v>
      </c>
      <c r="AI23" s="41" t="s">
        <v>82</v>
      </c>
      <c r="AJ23" s="41" t="s">
        <v>82</v>
      </c>
      <c r="AK23" s="41" t="s">
        <v>82</v>
      </c>
      <c r="AL23" s="41" t="s">
        <v>82</v>
      </c>
      <c r="AM23" s="41" t="s">
        <v>82</v>
      </c>
      <c r="AN23" s="41" t="s">
        <v>82</v>
      </c>
      <c r="AO23" s="41" t="s">
        <v>210</v>
      </c>
      <c r="AP23" s="41" t="s">
        <v>82</v>
      </c>
      <c r="AQ23" s="41" t="s">
        <v>82</v>
      </c>
      <c r="AR23" s="41" t="s">
        <v>82</v>
      </c>
      <c r="AS23" s="41" t="s">
        <v>82</v>
      </c>
      <c r="AT23" s="41" t="s">
        <v>82</v>
      </c>
      <c r="AU23" s="42" t="str">
        <f>IF('GNI per capita'!AU23&lt;=Thresholds!$C$44,"L",IF('GNI per capita'!AU23&lt;=Thresholds!$D$44,"LM",IF('GNI per capita'!AU23&lt;=Thresholds!$E$44,"UM","H")))</f>
        <v>UM</v>
      </c>
      <c r="AV23" s="42" t="str">
        <f>IF('GNI per capita'!AV23&lt;=Thresholds!$C$45,"L",IF('GNI per capita'!AV23&lt;=Thresholds!$D$45,"LM",IF('GNI per capita'!AV23&lt;=Thresholds!$E$45,"UM","H")))</f>
        <v>UM</v>
      </c>
      <c r="AW23" s="42" t="str">
        <f>IF('GNI per capita'!AW23&lt;=Thresholds!$C$46,"L",IF('GNI per capita'!AW23&lt;=Thresholds!$D$46,"LM",IF('GNI per capita'!AW23&lt;=Thresholds!$E$46,"UM","H")))</f>
        <v>UM</v>
      </c>
      <c r="AX23" s="42" t="str">
        <f>IF('GNI per capita'!AX23&lt;=Thresholds!$C$47,"L",IF('GNI per capita'!AX23&lt;=Thresholds!$D$47,"LM",IF('GNI per capita'!AX23&lt;=Thresholds!$E$47,"UM","H")))</f>
        <v>UM</v>
      </c>
      <c r="AY23" s="42" t="str">
        <f>IF('GNI per capita'!AY23&lt;=Thresholds!$C$48,"L",IF('GNI per capita'!AY23&lt;=Thresholds!$D$48,"LM",IF('GNI per capita'!AY23&lt;=Thresholds!$E$48,"UM","H")))</f>
        <v>UM</v>
      </c>
      <c r="AZ23" s="42" t="str">
        <f>IF('GNI per capita'!AZ23&lt;=Thresholds!$C$49,"L",IF('GNI per capita'!AZ23&lt;=Thresholds!$D$49,"LM",IF('GNI per capita'!AZ23&lt;=Thresholds!$E$49,"UM","H")))</f>
        <v>UM</v>
      </c>
      <c r="BA23" s="42" t="str">
        <f>IF('GNI per capita'!BA23&lt;=Thresholds!$C$50,"L",IF('GNI per capita'!BA23&lt;=Thresholds!$D$50,"LM",IF('GNI per capita'!BA23&lt;=Thresholds!$E$50,"UM","H")))</f>
        <v>UM</v>
      </c>
      <c r="BB23" s="42" t="str">
        <f>IF('GNI per capita'!BB23&lt;=Thresholds!$C$51,"L",IF('GNI per capita'!BB23&lt;=Thresholds!$D$51,"LM",IF('GNI per capita'!BB23&lt;=Thresholds!$E$51,"UM","H")))</f>
        <v>UM</v>
      </c>
      <c r="BC23" s="42" t="str">
        <f>IF('GNI per capita'!BC23&lt;=Thresholds!$C$52,"L",IF('GNI per capita'!BC23&lt;=Thresholds!$D$52,"LM",IF('GNI per capita'!BC23&lt;=Thresholds!$E$52,"UM","H")))</f>
        <v>UM</v>
      </c>
      <c r="BD23" s="42" t="str">
        <f>IF('GNI per capita'!BD23&lt;=Thresholds!$C$53,"L",IF('GNI per capita'!BD23&lt;=Thresholds!$D$53,"LM",IF('GNI per capita'!BD23&lt;=Thresholds!$E$53,"UM","H")))</f>
        <v>UM</v>
      </c>
      <c r="BE23" s="42" t="str">
        <f>IF('GNI per capita'!BE23&lt;=Thresholds!$C$54,"L",IF('GNI per capita'!BE23&lt;=Thresholds!$D$54,"LM",IF('GNI per capita'!BE23&lt;=Thresholds!$E$54,"UM","H")))</f>
        <v>UM</v>
      </c>
      <c r="BF23" s="42" t="str">
        <f>IF('GNI per capita'!BF23&lt;=Thresholds!$C$55,"L",IF('GNI per capita'!BF23&lt;=Thresholds!$D$55,"LM",IF('GNI per capita'!BF23&lt;=Thresholds!$E$55,"UM","H")))</f>
        <v>UM</v>
      </c>
      <c r="BG23" s="42" t="str">
        <f>IF('GNI per capita'!BG23&lt;=Thresholds!$C$56,"L",IF('GNI per capita'!BG23&lt;=Thresholds!$D$56,"LM",IF('GNI per capita'!BG23&lt;=Thresholds!$E$56,"UM","H")))</f>
        <v>UM</v>
      </c>
      <c r="BH23" s="42" t="str">
        <f>IF('GNI per capita'!BH23&lt;=Thresholds!$C$57,"L",IF('GNI per capita'!BH23&lt;=Thresholds!$D$57,"LM",IF('GNI per capita'!BH23&lt;=Thresholds!$E$57,"UM","H")))</f>
        <v>UM</v>
      </c>
      <c r="BI23" s="42" t="str">
        <f>IF('GNI per capita'!BI23&lt;=Thresholds!$C$58,"L",IF('GNI per capita'!BI23&lt;=Thresholds!$D$58,"LM",IF('GNI per capita'!BI23&lt;=Thresholds!$E$58,"UM","H")))</f>
        <v>UM</v>
      </c>
      <c r="BJ23" s="42" t="str">
        <f>IF('GNI per capita'!BJ23&lt;=Thresholds!$C$59,"L",IF('GNI per capita'!BJ23&lt;=Thresholds!$D$59,"LM",IF('GNI per capita'!BJ23&lt;=Thresholds!$E$59,"UM","H")))</f>
        <v>UM</v>
      </c>
      <c r="BK23" s="42" t="str">
        <f>IF('GNI per capita'!BK23&lt;=Thresholds!$C$60,"L",IF('GNI per capita'!BK23&lt;=Thresholds!$D$60,"LM",IF('GNI per capita'!BK23&lt;=Thresholds!$E$60,"UM","H")))</f>
        <v>UM</v>
      </c>
      <c r="BL23" s="42" t="str">
        <f>IF('GNI per capita'!BL23&lt;=Thresholds!$C$61,"L",IF('GNI per capita'!BL23&lt;=Thresholds!$D$61,"LM",IF('GNI per capita'!BL23&lt;=Thresholds!$E$61,"UM","H")))</f>
        <v>UM</v>
      </c>
      <c r="BM23" s="42" t="str">
        <f>IF('GNI per capita'!BM23&lt;=Thresholds!$C$62,"L",IF('GNI per capita'!BM23&lt;=Thresholds!$D$62,"LM",IF('GNI per capita'!BM23&lt;=Thresholds!$E$62,"UM","H")))</f>
        <v>UM</v>
      </c>
      <c r="BN23" s="42" t="str">
        <f>IF('GNI per capita'!BN23&lt;=Thresholds!$C$63,"L",IF('GNI per capita'!BN23&lt;=Thresholds!$D$63,"LM",IF('GNI per capita'!BN23&lt;=Thresholds!$E$63,"UM","H")))</f>
        <v>UM</v>
      </c>
      <c r="BO23" s="42" t="str">
        <f>IF('GNI per capita'!BO23&lt;=Thresholds!$C$64,"L",IF('GNI per capita'!BO23&lt;=Thresholds!$D$64,"LM",IF('GNI per capita'!BO23&lt;=Thresholds!$E$64,"UM","H")))</f>
        <v>UM</v>
      </c>
      <c r="BP23" s="42" t="str">
        <f>IF('GNI per capita'!BP23&lt;=Thresholds!$C$65,"L",IF('GNI per capita'!BP23&lt;=Thresholds!$D$65,"LM",IF('GNI per capita'!BP23&lt;=Thresholds!$E$65,"UM","H")))</f>
        <v>UM</v>
      </c>
      <c r="BQ23" s="42" t="str">
        <f>IF('GNI per capita'!BQ23&lt;=Thresholds!$C$66,"L",IF('GNI per capita'!BQ23&lt;=Thresholds!$D$66,"LM",IF('GNI per capita'!BQ23&lt;=Thresholds!$E$66,"UM","H")))</f>
        <v>UM</v>
      </c>
      <c r="BR23" s="42" t="str">
        <f>IF('GNI per capita'!BR23&lt;=Thresholds!$C$67,"L",IF('GNI per capita'!BR23&lt;=Thresholds!$D$67,"LM",IF('GNI per capita'!BR23&lt;=Thresholds!$E$67,"UM","H")))</f>
        <v>UM</v>
      </c>
      <c r="BS23" s="42" t="str">
        <f>IF('GNI per capita'!BS23&lt;=Thresholds!$C$68,"L",IF('GNI per capita'!BS23&lt;=Thresholds!$D$68,"LM",IF('GNI per capita'!BS23&lt;=Thresholds!$E$68,"UM","H")))</f>
        <v>UM</v>
      </c>
    </row>
    <row r="24" spans="1:71" x14ac:dyDescent="0.2">
      <c r="A24" s="2" t="s">
        <v>242</v>
      </c>
      <c r="B24" s="2" t="s">
        <v>243</v>
      </c>
      <c r="C24" s="11" t="s">
        <v>210</v>
      </c>
      <c r="G24" s="2" t="s">
        <v>162</v>
      </c>
      <c r="H24" s="41" t="s">
        <v>75</v>
      </c>
      <c r="I24" s="41" t="s">
        <v>75</v>
      </c>
      <c r="J24" s="41" t="s">
        <v>75</v>
      </c>
      <c r="K24" s="41" t="s">
        <v>75</v>
      </c>
      <c r="L24" s="41" t="s">
        <v>75</v>
      </c>
      <c r="M24" s="41" t="s">
        <v>75</v>
      </c>
      <c r="N24" s="41" t="s">
        <v>75</v>
      </c>
      <c r="O24" s="41" t="s">
        <v>75</v>
      </c>
      <c r="P24" s="41" t="s">
        <v>75</v>
      </c>
      <c r="Q24" s="41" t="s">
        <v>75</v>
      </c>
      <c r="R24" s="41" t="s">
        <v>75</v>
      </c>
      <c r="S24" s="41" t="s">
        <v>75</v>
      </c>
      <c r="T24" s="41" t="s">
        <v>75</v>
      </c>
      <c r="U24" s="41" t="s">
        <v>75</v>
      </c>
      <c r="V24" s="41" t="s">
        <v>75</v>
      </c>
      <c r="W24" s="41" t="s">
        <v>75</v>
      </c>
      <c r="X24" s="41" t="s">
        <v>75</v>
      </c>
      <c r="Y24" s="41" t="s">
        <v>75</v>
      </c>
      <c r="Z24" s="41" t="s">
        <v>75</v>
      </c>
      <c r="AA24" s="41" t="s">
        <v>75</v>
      </c>
      <c r="AB24" s="41" t="s">
        <v>75</v>
      </c>
      <c r="AC24" s="41" t="s">
        <v>75</v>
      </c>
      <c r="AD24" s="41" t="s">
        <v>75</v>
      </c>
      <c r="AE24" s="41" t="s">
        <v>75</v>
      </c>
      <c r="AF24" s="41" t="s">
        <v>75</v>
      </c>
      <c r="AG24" s="41" t="s">
        <v>75</v>
      </c>
      <c r="AH24" s="41" t="s">
        <v>75</v>
      </c>
      <c r="AI24" s="41" t="s">
        <v>75</v>
      </c>
      <c r="AJ24" s="41" t="s">
        <v>75</v>
      </c>
      <c r="AK24" s="41" t="s">
        <v>75</v>
      </c>
      <c r="AL24" s="41" t="s">
        <v>75</v>
      </c>
      <c r="AM24" s="41" t="s">
        <v>75</v>
      </c>
      <c r="AN24" s="41" t="s">
        <v>210</v>
      </c>
      <c r="AO24" s="41" t="s">
        <v>210</v>
      </c>
      <c r="AP24" s="41" t="s">
        <v>210</v>
      </c>
      <c r="AQ24" s="41" t="s">
        <v>210</v>
      </c>
      <c r="AR24" s="41" t="s">
        <v>210</v>
      </c>
      <c r="AS24" s="41" t="s">
        <v>210</v>
      </c>
      <c r="AT24" s="41" t="s">
        <v>210</v>
      </c>
      <c r="AU24" s="42" t="str">
        <f>IF('GNI per capita'!AU24&lt;=Thresholds!$C$44,"L",IF('GNI per capita'!AU24&lt;=Thresholds!$D$44,"LM",IF('GNI per capita'!AU24&lt;=Thresholds!$E$44,"UM","H")))</f>
        <v>LM</v>
      </c>
      <c r="AV24" s="42" t="str">
        <f>IF('GNI per capita'!AV24&lt;=Thresholds!$C$45,"L",IF('GNI per capita'!AV24&lt;=Thresholds!$D$45,"LM",IF('GNI per capita'!AV24&lt;=Thresholds!$E$45,"UM","H")))</f>
        <v>LM</v>
      </c>
      <c r="AW24" s="42" t="str">
        <f>IF('GNI per capita'!AW24&lt;=Thresholds!$C$46,"L",IF('GNI per capita'!AW24&lt;=Thresholds!$D$46,"LM",IF('GNI per capita'!AW24&lt;=Thresholds!$E$46,"UM","H")))</f>
        <v>LM</v>
      </c>
      <c r="AX24" s="42" t="str">
        <f>IF('GNI per capita'!AX24&lt;=Thresholds!$C$47,"L",IF('GNI per capita'!AX24&lt;=Thresholds!$D$47,"LM",IF('GNI per capita'!AX24&lt;=Thresholds!$E$47,"UM","H")))</f>
        <v>LM</v>
      </c>
      <c r="AY24" s="42" t="str">
        <f>IF('GNI per capita'!AY24&lt;=Thresholds!$C$48,"L",IF('GNI per capita'!AY24&lt;=Thresholds!$D$48,"LM",IF('GNI per capita'!AY24&lt;=Thresholds!$E$48,"UM","H")))</f>
        <v>LM</v>
      </c>
      <c r="AZ24" s="42" t="str">
        <f>IF('GNI per capita'!AZ24&lt;=Thresholds!$C$49,"L",IF('GNI per capita'!AZ24&lt;=Thresholds!$D$49,"LM",IF('GNI per capita'!AZ24&lt;=Thresholds!$E$49,"UM","H")))</f>
        <v>LM</v>
      </c>
      <c r="BA24" s="42" t="str">
        <f>IF('GNI per capita'!BA24&lt;=Thresholds!$C$50,"L",IF('GNI per capita'!BA24&lt;=Thresholds!$D$50,"LM",IF('GNI per capita'!BA24&lt;=Thresholds!$E$50,"UM","H")))</f>
        <v>LM</v>
      </c>
      <c r="BB24" s="42" t="str">
        <f>IF('GNI per capita'!BB24&lt;=Thresholds!$C$51,"L",IF('GNI per capita'!BB24&lt;=Thresholds!$D$51,"LM",IF('GNI per capita'!BB24&lt;=Thresholds!$E$51,"UM","H")))</f>
        <v>LM</v>
      </c>
      <c r="BC24" s="42" t="str">
        <f>IF('GNI per capita'!BC24&lt;=Thresholds!$C$52,"L",IF('GNI per capita'!BC24&lt;=Thresholds!$D$52,"LM",IF('GNI per capita'!BC24&lt;=Thresholds!$E$52,"UM","H")))</f>
        <v>LM</v>
      </c>
      <c r="BD24" s="42" t="str">
        <f>IF('GNI per capita'!BD24&lt;=Thresholds!$C$53,"L",IF('GNI per capita'!BD24&lt;=Thresholds!$D$53,"LM",IF('GNI per capita'!BD24&lt;=Thresholds!$E$53,"UM","H")))</f>
        <v>LM</v>
      </c>
      <c r="BE24" s="42" t="str">
        <f>IF('GNI per capita'!BE24&lt;=Thresholds!$C$54,"L",IF('GNI per capita'!BE24&lt;=Thresholds!$D$54,"LM",IF('GNI per capita'!BE24&lt;=Thresholds!$E$54,"UM","H")))</f>
        <v>LM</v>
      </c>
      <c r="BF24" s="42" t="str">
        <f>IF('GNI per capita'!BF24&lt;=Thresholds!$C$55,"L",IF('GNI per capita'!BF24&lt;=Thresholds!$D$55,"LM",IF('GNI per capita'!BF24&lt;=Thresholds!$E$55,"UM","H")))</f>
        <v>LM</v>
      </c>
      <c r="BG24" s="42" t="str">
        <f>IF('GNI per capita'!BG24&lt;=Thresholds!$C$56,"L",IF('GNI per capita'!BG24&lt;=Thresholds!$D$56,"LM",IF('GNI per capita'!BG24&lt;=Thresholds!$E$56,"UM","H")))</f>
        <v>LM</v>
      </c>
      <c r="BH24" s="42" t="str">
        <f>IF('GNI per capita'!BH24&lt;=Thresholds!$C$57,"L",IF('GNI per capita'!BH24&lt;=Thresholds!$D$57,"LM",IF('GNI per capita'!BH24&lt;=Thresholds!$E$57,"UM","H")))</f>
        <v>LM</v>
      </c>
      <c r="BI24" s="42" t="str">
        <f>IF('GNI per capita'!BI24&lt;=Thresholds!$C$58,"L",IF('GNI per capita'!BI24&lt;=Thresholds!$D$58,"LM",IF('GNI per capita'!BI24&lt;=Thresholds!$E$58,"UM","H")))</f>
        <v>LM</v>
      </c>
      <c r="BJ24" s="42" t="str">
        <f>IF('GNI per capita'!BJ24&lt;=Thresholds!$C$59,"L",IF('GNI per capita'!BJ24&lt;=Thresholds!$D$59,"LM",IF('GNI per capita'!BJ24&lt;=Thresholds!$E$59,"UM","H")))</f>
        <v>LM</v>
      </c>
      <c r="BK24" s="42" t="str">
        <f>IF('GNI per capita'!BK24&lt;=Thresholds!$C$60,"L",IF('GNI per capita'!BK24&lt;=Thresholds!$D$60,"LM",IF('GNI per capita'!BK24&lt;=Thresholds!$E$60,"UM","H")))</f>
        <v>LM</v>
      </c>
      <c r="BL24" s="42" t="str">
        <f>IF('GNI per capita'!BL24&lt;=Thresholds!$C$61,"L",IF('GNI per capita'!BL24&lt;=Thresholds!$D$61,"LM",IF('GNI per capita'!BL24&lt;=Thresholds!$E$61,"UM","H")))</f>
        <v>LM</v>
      </c>
      <c r="BM24" s="42" t="str">
        <f>IF('GNI per capita'!BM24&lt;=Thresholds!$C$62,"L",IF('GNI per capita'!BM24&lt;=Thresholds!$D$62,"LM",IF('GNI per capita'!BM24&lt;=Thresholds!$E$62,"UM","H")))</f>
        <v>LM</v>
      </c>
      <c r="BN24" s="42" t="str">
        <f>IF('GNI per capita'!BN24&lt;=Thresholds!$C$63,"L",IF('GNI per capita'!BN24&lt;=Thresholds!$D$63,"LM",IF('GNI per capita'!BN24&lt;=Thresholds!$E$63,"UM","H")))</f>
        <v>LM</v>
      </c>
      <c r="BO24" s="42" t="str">
        <f>IF('GNI per capita'!BO24&lt;=Thresholds!$C$64,"L",IF('GNI per capita'!BO24&lt;=Thresholds!$D$64,"LM",IF('GNI per capita'!BO24&lt;=Thresholds!$E$64,"UM","H")))</f>
        <v>LM</v>
      </c>
      <c r="BP24" s="42" t="str">
        <f>IF('GNI per capita'!BP24&lt;=Thresholds!$C$65,"L",IF('GNI per capita'!BP24&lt;=Thresholds!$D$65,"LM",IF('GNI per capita'!BP24&lt;=Thresholds!$E$65,"UM","H")))</f>
        <v>LM</v>
      </c>
      <c r="BQ24" s="42" t="str">
        <f>IF('GNI per capita'!BQ24&lt;=Thresholds!$C$66,"L",IF('GNI per capita'!BQ24&lt;=Thresholds!$D$66,"LM",IF('GNI per capita'!BQ24&lt;=Thresholds!$E$66,"UM","H")))</f>
        <v>LM</v>
      </c>
      <c r="BR24" s="42" t="str">
        <f>IF('GNI per capita'!BR24&lt;=Thresholds!$C$67,"L",IF('GNI per capita'!BR24&lt;=Thresholds!$D$67,"LM",IF('GNI per capita'!BR24&lt;=Thresholds!$E$67,"UM","H")))</f>
        <v>LM</v>
      </c>
      <c r="BS24" s="42" t="str">
        <f>IF('GNI per capita'!BS24&lt;=Thresholds!$C$68,"L",IF('GNI per capita'!BS24&lt;=Thresholds!$D$68,"LM",IF('GNI per capita'!BS24&lt;=Thresholds!$E$68,"UM","H")))</f>
        <v>LM</v>
      </c>
    </row>
    <row r="25" spans="1:71" x14ac:dyDescent="0.2">
      <c r="A25" s="2" t="s">
        <v>244</v>
      </c>
      <c r="B25" s="2" t="s">
        <v>245</v>
      </c>
      <c r="C25" s="11" t="s">
        <v>79</v>
      </c>
      <c r="G25" s="2" t="s">
        <v>162</v>
      </c>
      <c r="H25" s="41" t="s">
        <v>79</v>
      </c>
      <c r="I25" s="41" t="s">
        <v>79</v>
      </c>
      <c r="J25" s="41" t="s">
        <v>79</v>
      </c>
      <c r="K25" s="41" t="s">
        <v>79</v>
      </c>
      <c r="L25" s="41" t="s">
        <v>79</v>
      </c>
      <c r="M25" s="41" t="s">
        <v>79</v>
      </c>
      <c r="N25" s="41" t="s">
        <v>79</v>
      </c>
      <c r="O25" s="41" t="s">
        <v>79</v>
      </c>
      <c r="P25" s="41" t="s">
        <v>79</v>
      </c>
      <c r="Q25" s="41" t="s">
        <v>79</v>
      </c>
      <c r="R25" s="41" t="s">
        <v>79</v>
      </c>
      <c r="S25" s="41" t="s">
        <v>79</v>
      </c>
      <c r="T25" s="41" t="s">
        <v>79</v>
      </c>
      <c r="U25" s="41" t="s">
        <v>79</v>
      </c>
      <c r="V25" s="41" t="s">
        <v>79</v>
      </c>
      <c r="W25" s="41" t="s">
        <v>79</v>
      </c>
      <c r="X25" s="41" t="s">
        <v>79</v>
      </c>
      <c r="Y25" s="41" t="s">
        <v>79</v>
      </c>
      <c r="Z25" s="41" t="s">
        <v>79</v>
      </c>
      <c r="AA25" s="41" t="s">
        <v>79</v>
      </c>
      <c r="AB25" s="41" t="s">
        <v>79</v>
      </c>
      <c r="AC25" s="41" t="s">
        <v>79</v>
      </c>
      <c r="AD25" s="41" t="s">
        <v>79</v>
      </c>
      <c r="AE25" s="41" t="s">
        <v>79</v>
      </c>
      <c r="AF25" s="41" t="s">
        <v>79</v>
      </c>
      <c r="AG25" s="41" t="s">
        <v>79</v>
      </c>
      <c r="AH25" s="41" t="s">
        <v>79</v>
      </c>
      <c r="AI25" s="41" t="s">
        <v>79</v>
      </c>
      <c r="AJ25" s="41" t="s">
        <v>79</v>
      </c>
      <c r="AK25" s="41" t="s">
        <v>79</v>
      </c>
      <c r="AL25" s="41" t="s">
        <v>79</v>
      </c>
      <c r="AM25" s="41" t="s">
        <v>79</v>
      </c>
      <c r="AN25" s="41" t="s">
        <v>79</v>
      </c>
      <c r="AO25" s="41" t="s">
        <v>79</v>
      </c>
      <c r="AP25" s="41" t="s">
        <v>79</v>
      </c>
      <c r="AQ25" s="41" t="s">
        <v>79</v>
      </c>
      <c r="AR25" s="41" t="s">
        <v>79</v>
      </c>
      <c r="AS25" s="41" t="s">
        <v>79</v>
      </c>
      <c r="AT25" s="41" t="s">
        <v>79</v>
      </c>
      <c r="AU25" s="42" t="str">
        <f>IF('GNI per capita'!AU25&lt;=Thresholds!$C$44,"L",IF('GNI per capita'!AU25&lt;=Thresholds!$D$44,"LM",IF('GNI per capita'!AU25&lt;=Thresholds!$E$44,"UM","H")))</f>
        <v>H</v>
      </c>
      <c r="AV25" s="42" t="str">
        <f>IF('GNI per capita'!AV25&lt;=Thresholds!$C$45,"L",IF('GNI per capita'!AV25&lt;=Thresholds!$D$45,"LM",IF('GNI per capita'!AV25&lt;=Thresholds!$E$45,"UM","H")))</f>
        <v>H</v>
      </c>
      <c r="AW25" s="42" t="str">
        <f>IF('GNI per capita'!AW25&lt;=Thresholds!$C$46,"L",IF('GNI per capita'!AW25&lt;=Thresholds!$D$46,"LM",IF('GNI per capita'!AW25&lt;=Thresholds!$E$46,"UM","H")))</f>
        <v>H</v>
      </c>
      <c r="AX25" s="42" t="str">
        <f>IF('GNI per capita'!AX25&lt;=Thresholds!$C$47,"L",IF('GNI per capita'!AX25&lt;=Thresholds!$D$47,"LM",IF('GNI per capita'!AX25&lt;=Thresholds!$E$47,"UM","H")))</f>
        <v>H</v>
      </c>
      <c r="AY25" s="42" t="str">
        <f>IF('GNI per capita'!AY25&lt;=Thresholds!$C$48,"L",IF('GNI per capita'!AY25&lt;=Thresholds!$D$48,"LM",IF('GNI per capita'!AY25&lt;=Thresholds!$E$48,"UM","H")))</f>
        <v>H</v>
      </c>
      <c r="AZ25" s="42" t="str">
        <f>IF('GNI per capita'!AZ25&lt;=Thresholds!$C$49,"L",IF('GNI per capita'!AZ25&lt;=Thresholds!$D$49,"LM",IF('GNI per capita'!AZ25&lt;=Thresholds!$E$49,"UM","H")))</f>
        <v>H</v>
      </c>
      <c r="BA25" s="42" t="str">
        <f>IF('GNI per capita'!BA25&lt;=Thresholds!$C$50,"L",IF('GNI per capita'!BA25&lt;=Thresholds!$D$50,"LM",IF('GNI per capita'!BA25&lt;=Thresholds!$E$50,"UM","H")))</f>
        <v>H</v>
      </c>
      <c r="BB25" s="42" t="str">
        <f>IF('GNI per capita'!BB25&lt;=Thresholds!$C$51,"L",IF('GNI per capita'!BB25&lt;=Thresholds!$D$51,"LM",IF('GNI per capita'!BB25&lt;=Thresholds!$E$51,"UM","H")))</f>
        <v>H</v>
      </c>
      <c r="BC25" s="42" t="str">
        <f>IF('GNI per capita'!BC25&lt;=Thresholds!$C$52,"L",IF('GNI per capita'!BC25&lt;=Thresholds!$D$52,"LM",IF('GNI per capita'!BC25&lt;=Thresholds!$E$52,"UM","H")))</f>
        <v>H</v>
      </c>
      <c r="BD25" s="42" t="str">
        <f>IF('GNI per capita'!BD25&lt;=Thresholds!$C$53,"L",IF('GNI per capita'!BD25&lt;=Thresholds!$D$53,"LM",IF('GNI per capita'!BD25&lt;=Thresholds!$E$53,"UM","H")))</f>
        <v>H</v>
      </c>
      <c r="BE25" s="42" t="str">
        <f>IF('GNI per capita'!BE25&lt;=Thresholds!$C$54,"L",IF('GNI per capita'!BE25&lt;=Thresholds!$D$54,"LM",IF('GNI per capita'!BE25&lt;=Thresholds!$E$54,"UM","H")))</f>
        <v>H</v>
      </c>
      <c r="BF25" s="42" t="str">
        <f>IF('GNI per capita'!BF25&lt;=Thresholds!$C$55,"L",IF('GNI per capita'!BF25&lt;=Thresholds!$D$55,"LM",IF('GNI per capita'!BF25&lt;=Thresholds!$E$55,"UM","H")))</f>
        <v>H</v>
      </c>
      <c r="BG25" s="42" t="str">
        <f>IF('GNI per capita'!BG25&lt;=Thresholds!$C$56,"L",IF('GNI per capita'!BG25&lt;=Thresholds!$D$56,"LM",IF('GNI per capita'!BG25&lt;=Thresholds!$E$56,"UM","H")))</f>
        <v>H</v>
      </c>
      <c r="BH25" s="42" t="str">
        <f>IF('GNI per capita'!BH25&lt;=Thresholds!$C$57,"L",IF('GNI per capita'!BH25&lt;=Thresholds!$D$57,"LM",IF('GNI per capita'!BH25&lt;=Thresholds!$E$57,"UM","H")))</f>
        <v>H</v>
      </c>
      <c r="BI25" s="42" t="str">
        <f>IF('GNI per capita'!BI25&lt;=Thresholds!$C$58,"L",IF('GNI per capita'!BI25&lt;=Thresholds!$D$58,"LM",IF('GNI per capita'!BI25&lt;=Thresholds!$E$58,"UM","H")))</f>
        <v>H</v>
      </c>
      <c r="BJ25" s="42" t="str">
        <f>IF('GNI per capita'!BJ25&lt;=Thresholds!$C$59,"L",IF('GNI per capita'!BJ25&lt;=Thresholds!$D$59,"LM",IF('GNI per capita'!BJ25&lt;=Thresholds!$E$59,"UM","H")))</f>
        <v>H</v>
      </c>
      <c r="BK25" s="42" t="str">
        <f>IF('GNI per capita'!BK25&lt;=Thresholds!$C$60,"L",IF('GNI per capita'!BK25&lt;=Thresholds!$D$60,"LM",IF('GNI per capita'!BK25&lt;=Thresholds!$E$60,"UM","H")))</f>
        <v>H</v>
      </c>
      <c r="BL25" s="42" t="str">
        <f>IF('GNI per capita'!BL25&lt;=Thresholds!$C$61,"L",IF('GNI per capita'!BL25&lt;=Thresholds!$D$61,"LM",IF('GNI per capita'!BL25&lt;=Thresholds!$E$61,"UM","H")))</f>
        <v>H</v>
      </c>
      <c r="BM25" s="42" t="str">
        <f>IF('GNI per capita'!BM25&lt;=Thresholds!$C$62,"L",IF('GNI per capita'!BM25&lt;=Thresholds!$D$62,"LM",IF('GNI per capita'!BM25&lt;=Thresholds!$E$62,"UM","H")))</f>
        <v>H</v>
      </c>
      <c r="BN25" s="42" t="str">
        <f>IF('GNI per capita'!BN25&lt;=Thresholds!$C$63,"L",IF('GNI per capita'!BN25&lt;=Thresholds!$D$63,"LM",IF('GNI per capita'!BN25&lt;=Thresholds!$E$63,"UM","H")))</f>
        <v>H</v>
      </c>
      <c r="BO25" s="42" t="str">
        <f>IF('GNI per capita'!BO25&lt;=Thresholds!$C$64,"L",IF('GNI per capita'!BO25&lt;=Thresholds!$D$64,"LM",IF('GNI per capita'!BO25&lt;=Thresholds!$E$64,"UM","H")))</f>
        <v>H</v>
      </c>
      <c r="BP25" s="42" t="str">
        <f>IF('GNI per capita'!BP25&lt;=Thresholds!$C$65,"L",IF('GNI per capita'!BP25&lt;=Thresholds!$D$65,"LM",IF('GNI per capita'!BP25&lt;=Thresholds!$E$65,"UM","H")))</f>
        <v>H</v>
      </c>
      <c r="BQ25" s="42" t="str">
        <f>IF('GNI per capita'!BQ25&lt;=Thresholds!$C$66,"L",IF('GNI per capita'!BQ25&lt;=Thresholds!$D$66,"LM",IF('GNI per capita'!BQ25&lt;=Thresholds!$E$66,"UM","H")))</f>
        <v>H</v>
      </c>
      <c r="BR25" s="42" t="str">
        <f>IF('GNI per capita'!BR25&lt;=Thresholds!$C$67,"L",IF('GNI per capita'!BR25&lt;=Thresholds!$D$67,"LM",IF('GNI per capita'!BR25&lt;=Thresholds!$E$67,"UM","H")))</f>
        <v>H</v>
      </c>
      <c r="BS25" s="42" t="str">
        <f>IF('GNI per capita'!BS25&lt;=Thresholds!$C$68,"L",IF('GNI per capita'!BS25&lt;=Thresholds!$D$68,"LM",IF('GNI per capita'!BS25&lt;=Thresholds!$E$68,"UM","H")))</f>
        <v>H</v>
      </c>
    </row>
    <row r="26" spans="1:71" x14ac:dyDescent="0.2">
      <c r="A26" s="2" t="s">
        <v>246</v>
      </c>
      <c r="B26" s="2" t="s">
        <v>247</v>
      </c>
      <c r="C26" s="11" t="s">
        <v>210</v>
      </c>
      <c r="G26" s="2" t="s">
        <v>162</v>
      </c>
      <c r="H26" s="41" t="s">
        <v>75</v>
      </c>
      <c r="I26" s="41" t="s">
        <v>75</v>
      </c>
      <c r="J26" s="41" t="s">
        <v>75</v>
      </c>
      <c r="K26" s="41" t="s">
        <v>75</v>
      </c>
      <c r="L26" s="41" t="s">
        <v>75</v>
      </c>
      <c r="M26" s="41" t="s">
        <v>75</v>
      </c>
      <c r="N26" s="41" t="s">
        <v>75</v>
      </c>
      <c r="O26" s="41" t="s">
        <v>75</v>
      </c>
      <c r="P26" s="41" t="s">
        <v>75</v>
      </c>
      <c r="Q26" s="41" t="s">
        <v>75</v>
      </c>
      <c r="R26" s="41" t="s">
        <v>75</v>
      </c>
      <c r="S26" s="41" t="s">
        <v>75</v>
      </c>
      <c r="T26" s="41" t="s">
        <v>75</v>
      </c>
      <c r="U26" s="41" t="s">
        <v>75</v>
      </c>
      <c r="V26" s="41" t="s">
        <v>75</v>
      </c>
      <c r="W26" s="41" t="s">
        <v>75</v>
      </c>
      <c r="X26" s="41" t="s">
        <v>75</v>
      </c>
      <c r="Y26" s="41" t="s">
        <v>75</v>
      </c>
      <c r="Z26" s="41" t="s">
        <v>75</v>
      </c>
      <c r="AA26" s="41" t="s">
        <v>210</v>
      </c>
      <c r="AB26" s="41" t="s">
        <v>210</v>
      </c>
      <c r="AC26" s="41" t="s">
        <v>210</v>
      </c>
      <c r="AD26" s="41" t="s">
        <v>210</v>
      </c>
      <c r="AE26" s="41" t="s">
        <v>210</v>
      </c>
      <c r="AF26" s="41" t="s">
        <v>210</v>
      </c>
      <c r="AG26" s="41" t="s">
        <v>210</v>
      </c>
      <c r="AH26" s="41" t="s">
        <v>210</v>
      </c>
      <c r="AI26" s="41" t="s">
        <v>210</v>
      </c>
      <c r="AJ26" s="41" t="s">
        <v>210</v>
      </c>
      <c r="AK26" s="41" t="s">
        <v>210</v>
      </c>
      <c r="AL26" s="41" t="s">
        <v>210</v>
      </c>
      <c r="AM26" s="41" t="s">
        <v>210</v>
      </c>
      <c r="AN26" s="41" t="s">
        <v>210</v>
      </c>
      <c r="AO26" s="41" t="s">
        <v>210</v>
      </c>
      <c r="AP26" s="41" t="s">
        <v>210</v>
      </c>
      <c r="AQ26" s="41" t="s">
        <v>210</v>
      </c>
      <c r="AR26" s="41" t="s">
        <v>210</v>
      </c>
      <c r="AS26" s="41" t="s">
        <v>210</v>
      </c>
      <c r="AT26" s="41" t="s">
        <v>210</v>
      </c>
      <c r="AU26" s="42" t="str">
        <f>IF('GNI per capita'!AU26&lt;=Thresholds!$C$44,"L",IF('GNI per capita'!AU26&lt;=Thresholds!$D$44,"LM",IF('GNI per capita'!AU26&lt;=Thresholds!$E$44,"UM","H")))</f>
        <v>LM</v>
      </c>
      <c r="AV26" s="42" t="str">
        <f>IF('GNI per capita'!AV26&lt;=Thresholds!$C$45,"L",IF('GNI per capita'!AV26&lt;=Thresholds!$D$45,"LM",IF('GNI per capita'!AV26&lt;=Thresholds!$E$45,"UM","H")))</f>
        <v>UM</v>
      </c>
      <c r="AW26" s="42" t="str">
        <f>IF('GNI per capita'!AW26&lt;=Thresholds!$C$46,"L",IF('GNI per capita'!AW26&lt;=Thresholds!$D$46,"LM",IF('GNI per capita'!AW26&lt;=Thresholds!$E$46,"UM","H")))</f>
        <v>UM</v>
      </c>
      <c r="AX26" s="42" t="str">
        <f>IF('GNI per capita'!AX26&lt;=Thresholds!$C$47,"L",IF('GNI per capita'!AX26&lt;=Thresholds!$D$47,"LM",IF('GNI per capita'!AX26&lt;=Thresholds!$E$47,"UM","H")))</f>
        <v>UM</v>
      </c>
      <c r="AY26" s="42" t="str">
        <f>IF('GNI per capita'!AY26&lt;=Thresholds!$C$48,"L",IF('GNI per capita'!AY26&lt;=Thresholds!$D$48,"LM",IF('GNI per capita'!AY26&lt;=Thresholds!$E$48,"UM","H")))</f>
        <v>UM</v>
      </c>
      <c r="AZ26" s="42" t="str">
        <f>IF('GNI per capita'!AZ26&lt;=Thresholds!$C$49,"L",IF('GNI per capita'!AZ26&lt;=Thresholds!$D$49,"LM",IF('GNI per capita'!AZ26&lt;=Thresholds!$E$49,"UM","H")))</f>
        <v>UM</v>
      </c>
      <c r="BA26" s="42" t="str">
        <f>IF('GNI per capita'!BA26&lt;=Thresholds!$C$50,"L",IF('GNI per capita'!BA26&lt;=Thresholds!$D$50,"LM",IF('GNI per capita'!BA26&lt;=Thresholds!$E$50,"UM","H")))</f>
        <v>UM</v>
      </c>
      <c r="BB26" s="42" t="str">
        <f>IF('GNI per capita'!BB26&lt;=Thresholds!$C$51,"L",IF('GNI per capita'!BB26&lt;=Thresholds!$D$51,"LM",IF('GNI per capita'!BB26&lt;=Thresholds!$E$51,"UM","H")))</f>
        <v>UM</v>
      </c>
      <c r="BC26" s="42" t="str">
        <f>IF('GNI per capita'!BC26&lt;=Thresholds!$C$52,"L",IF('GNI per capita'!BC26&lt;=Thresholds!$D$52,"LM",IF('GNI per capita'!BC26&lt;=Thresholds!$E$52,"UM","H")))</f>
        <v>UM</v>
      </c>
      <c r="BD26" s="42" t="str">
        <f>IF('GNI per capita'!BD26&lt;=Thresholds!$C$53,"L",IF('GNI per capita'!BD26&lt;=Thresholds!$D$53,"LM",IF('GNI per capita'!BD26&lt;=Thresholds!$E$53,"UM","H")))</f>
        <v>UM</v>
      </c>
      <c r="BE26" s="42" t="str">
        <f>IF('GNI per capita'!BE26&lt;=Thresholds!$C$54,"L",IF('GNI per capita'!BE26&lt;=Thresholds!$D$54,"LM",IF('GNI per capita'!BE26&lt;=Thresholds!$E$54,"UM","H")))</f>
        <v>UM</v>
      </c>
      <c r="BF26" s="42" t="str">
        <f>IF('GNI per capita'!BF26&lt;=Thresholds!$C$55,"L",IF('GNI per capita'!BF26&lt;=Thresholds!$D$55,"LM",IF('GNI per capita'!BF26&lt;=Thresholds!$E$55,"UM","H")))</f>
        <v>UM</v>
      </c>
      <c r="BG26" s="42" t="str">
        <f>IF('GNI per capita'!BG26&lt;=Thresholds!$C$56,"L",IF('GNI per capita'!BG26&lt;=Thresholds!$D$56,"LM",IF('GNI per capita'!BG26&lt;=Thresholds!$E$56,"UM","H")))</f>
        <v>UM</v>
      </c>
      <c r="BH26" s="42" t="str">
        <f>IF('GNI per capita'!BH26&lt;=Thresholds!$C$57,"L",IF('GNI per capita'!BH26&lt;=Thresholds!$D$57,"LM",IF('GNI per capita'!BH26&lt;=Thresholds!$E$57,"UM","H")))</f>
        <v>UM</v>
      </c>
      <c r="BI26" s="42" t="str">
        <f>IF('GNI per capita'!BI26&lt;=Thresholds!$C$58,"L",IF('GNI per capita'!BI26&lt;=Thresholds!$D$58,"LM",IF('GNI per capita'!BI26&lt;=Thresholds!$E$58,"UM","H")))</f>
        <v>UM</v>
      </c>
      <c r="BJ26" s="42" t="str">
        <f>IF('GNI per capita'!BJ26&lt;=Thresholds!$C$59,"L",IF('GNI per capita'!BJ26&lt;=Thresholds!$D$59,"LM",IF('GNI per capita'!BJ26&lt;=Thresholds!$E$59,"UM","H")))</f>
        <v>UM</v>
      </c>
      <c r="BK26" s="42" t="str">
        <f>IF('GNI per capita'!BK26&lt;=Thresholds!$C$60,"L",IF('GNI per capita'!BK26&lt;=Thresholds!$D$60,"LM",IF('GNI per capita'!BK26&lt;=Thresholds!$E$60,"UM","H")))</f>
        <v>UM</v>
      </c>
      <c r="BL26" s="42" t="str">
        <f>IF('GNI per capita'!BL26&lt;=Thresholds!$C$61,"L",IF('GNI per capita'!BL26&lt;=Thresholds!$D$61,"LM",IF('GNI per capita'!BL26&lt;=Thresholds!$E$61,"UM","H")))</f>
        <v>UM</v>
      </c>
      <c r="BM26" s="42" t="str">
        <f>IF('GNI per capita'!BM26&lt;=Thresholds!$C$62,"L",IF('GNI per capita'!BM26&lt;=Thresholds!$D$62,"LM",IF('GNI per capita'!BM26&lt;=Thresholds!$E$62,"UM","H")))</f>
        <v>UM</v>
      </c>
      <c r="BN26" s="42" t="str">
        <f>IF('GNI per capita'!BN26&lt;=Thresholds!$C$63,"L",IF('GNI per capita'!BN26&lt;=Thresholds!$D$63,"LM",IF('GNI per capita'!BN26&lt;=Thresholds!$E$63,"UM","H")))</f>
        <v>UM</v>
      </c>
      <c r="BO26" s="42" t="str">
        <f>IF('GNI per capita'!BO26&lt;=Thresholds!$C$64,"L",IF('GNI per capita'!BO26&lt;=Thresholds!$D$64,"LM",IF('GNI per capita'!BO26&lt;=Thresholds!$E$64,"UM","H")))</f>
        <v>UM</v>
      </c>
      <c r="BP26" s="42" t="str">
        <f>IF('GNI per capita'!BP26&lt;=Thresholds!$C$65,"L",IF('GNI per capita'!BP26&lt;=Thresholds!$D$65,"LM",IF('GNI per capita'!BP26&lt;=Thresholds!$E$65,"UM","H")))</f>
        <v>UM</v>
      </c>
      <c r="BQ26" s="42" t="str">
        <f>IF('GNI per capita'!BQ26&lt;=Thresholds!$C$66,"L",IF('GNI per capita'!BQ26&lt;=Thresholds!$D$66,"LM",IF('GNI per capita'!BQ26&lt;=Thresholds!$E$66,"UM","H")))</f>
        <v>UM</v>
      </c>
      <c r="BR26" s="42" t="str">
        <f>IF('GNI per capita'!BR26&lt;=Thresholds!$C$67,"L",IF('GNI per capita'!BR26&lt;=Thresholds!$D$67,"LM",IF('GNI per capita'!BR26&lt;=Thresholds!$E$67,"UM","H")))</f>
        <v>UM</v>
      </c>
      <c r="BS26" s="42" t="str">
        <f>IF('GNI per capita'!BS26&lt;=Thresholds!$C$68,"L",IF('GNI per capita'!BS26&lt;=Thresholds!$D$68,"LM",IF('GNI per capita'!BS26&lt;=Thresholds!$E$68,"UM","H")))</f>
        <v>UM</v>
      </c>
    </row>
    <row r="27" spans="1:71" x14ac:dyDescent="0.2">
      <c r="A27" s="2" t="s">
        <v>248</v>
      </c>
      <c r="B27" s="2" t="s">
        <v>249</v>
      </c>
      <c r="C27" s="11" t="s">
        <v>210</v>
      </c>
      <c r="G27" s="2" t="s">
        <v>162</v>
      </c>
      <c r="H27" s="41" t="s">
        <v>210</v>
      </c>
      <c r="I27" s="41" t="s">
        <v>210</v>
      </c>
      <c r="J27" s="41" t="s">
        <v>210</v>
      </c>
      <c r="K27" s="41" t="s">
        <v>210</v>
      </c>
      <c r="L27" s="41" t="s">
        <v>210</v>
      </c>
      <c r="M27" s="41" t="s">
        <v>210</v>
      </c>
      <c r="N27" s="41" t="s">
        <v>210</v>
      </c>
      <c r="O27" s="41" t="s">
        <v>210</v>
      </c>
      <c r="P27" s="41" t="s">
        <v>210</v>
      </c>
      <c r="Q27" s="41" t="s">
        <v>210</v>
      </c>
      <c r="R27" s="41" t="s">
        <v>210</v>
      </c>
      <c r="S27" s="41" t="s">
        <v>210</v>
      </c>
      <c r="T27" s="41" t="s">
        <v>210</v>
      </c>
      <c r="U27" s="41" t="s">
        <v>210</v>
      </c>
      <c r="V27" s="41" t="s">
        <v>210</v>
      </c>
      <c r="W27" s="41" t="s">
        <v>210</v>
      </c>
      <c r="X27" s="41" t="s">
        <v>210</v>
      </c>
      <c r="Y27" s="41" t="s">
        <v>210</v>
      </c>
      <c r="Z27" s="41" t="s">
        <v>210</v>
      </c>
      <c r="AA27" s="41" t="s">
        <v>210</v>
      </c>
      <c r="AB27" s="41" t="s">
        <v>210</v>
      </c>
      <c r="AC27" s="41" t="s">
        <v>210</v>
      </c>
      <c r="AD27" s="41" t="s">
        <v>210</v>
      </c>
      <c r="AE27" s="41" t="s">
        <v>210</v>
      </c>
      <c r="AF27" s="41" t="s">
        <v>210</v>
      </c>
      <c r="AG27" s="41" t="s">
        <v>210</v>
      </c>
      <c r="AH27" s="41" t="s">
        <v>210</v>
      </c>
      <c r="AI27" s="41" t="s">
        <v>210</v>
      </c>
      <c r="AJ27" s="41" t="s">
        <v>210</v>
      </c>
      <c r="AK27" s="41" t="s">
        <v>210</v>
      </c>
      <c r="AL27" s="41" t="s">
        <v>210</v>
      </c>
      <c r="AM27" s="41" t="s">
        <v>210</v>
      </c>
      <c r="AN27" s="41" t="s">
        <v>210</v>
      </c>
      <c r="AO27" s="41" t="s">
        <v>210</v>
      </c>
      <c r="AP27" s="41" t="s">
        <v>210</v>
      </c>
      <c r="AQ27" s="41" t="s">
        <v>210</v>
      </c>
      <c r="AR27" s="41" t="s">
        <v>210</v>
      </c>
      <c r="AS27" s="41" t="s">
        <v>210</v>
      </c>
      <c r="AT27" s="41" t="s">
        <v>210</v>
      </c>
      <c r="AU27" s="42" t="str">
        <f>IF('GNI per capita'!AU27&lt;=Thresholds!$C$44,"L",IF('GNI per capita'!AU27&lt;=Thresholds!$D$44,"LM",IF('GNI per capita'!AU27&lt;=Thresholds!$E$44,"UM","H")))</f>
        <v>LM</v>
      </c>
      <c r="AV27" s="42" t="str">
        <f>IF('GNI per capita'!AV27&lt;=Thresholds!$C$45,"L",IF('GNI per capita'!AV27&lt;=Thresholds!$D$45,"LM",IF('GNI per capita'!AV27&lt;=Thresholds!$E$45,"UM","H")))</f>
        <v>UM</v>
      </c>
      <c r="AW27" s="42" t="str">
        <f>IF('GNI per capita'!AW27&lt;=Thresholds!$C$46,"L",IF('GNI per capita'!AW27&lt;=Thresholds!$D$46,"LM",IF('GNI per capita'!AW27&lt;=Thresholds!$E$46,"UM","H")))</f>
        <v>UM</v>
      </c>
      <c r="AX27" s="42" t="str">
        <f>IF('GNI per capita'!AX27&lt;=Thresholds!$C$47,"L",IF('GNI per capita'!AX27&lt;=Thresholds!$D$47,"LM",IF('GNI per capita'!AX27&lt;=Thresholds!$E$47,"UM","H")))</f>
        <v>UM</v>
      </c>
      <c r="AY27" s="42" t="str">
        <f>IF('GNI per capita'!AY27&lt;=Thresholds!$C$48,"L",IF('GNI per capita'!AY27&lt;=Thresholds!$D$48,"LM",IF('GNI per capita'!AY27&lt;=Thresholds!$E$48,"UM","H")))</f>
        <v>UM</v>
      </c>
      <c r="AZ27" s="42" t="str">
        <f>IF('GNI per capita'!AZ27&lt;=Thresholds!$C$49,"L",IF('GNI per capita'!AZ27&lt;=Thresholds!$D$49,"LM",IF('GNI per capita'!AZ27&lt;=Thresholds!$E$49,"UM","H")))</f>
        <v>UM</v>
      </c>
      <c r="BA27" s="42" t="str">
        <f>IF('GNI per capita'!BA27&lt;=Thresholds!$C$50,"L",IF('GNI per capita'!BA27&lt;=Thresholds!$D$50,"LM",IF('GNI per capita'!BA27&lt;=Thresholds!$E$50,"UM","H")))</f>
        <v>UM</v>
      </c>
      <c r="BB27" s="42" t="str">
        <f>IF('GNI per capita'!BB27&lt;=Thresholds!$C$51,"L",IF('GNI per capita'!BB27&lt;=Thresholds!$D$51,"LM",IF('GNI per capita'!BB27&lt;=Thresholds!$E$51,"UM","H")))</f>
        <v>UM</v>
      </c>
      <c r="BC27" s="42" t="str">
        <f>IF('GNI per capita'!BC27&lt;=Thresholds!$C$52,"L",IF('GNI per capita'!BC27&lt;=Thresholds!$D$52,"LM",IF('GNI per capita'!BC27&lt;=Thresholds!$E$52,"UM","H")))</f>
        <v>UM</v>
      </c>
      <c r="BD27" s="42" t="str">
        <f>IF('GNI per capita'!BD27&lt;=Thresholds!$C$53,"L",IF('GNI per capita'!BD27&lt;=Thresholds!$D$53,"LM",IF('GNI per capita'!BD27&lt;=Thresholds!$E$53,"UM","H")))</f>
        <v>UM</v>
      </c>
      <c r="BE27" s="42" t="str">
        <f>IF('GNI per capita'!BE27&lt;=Thresholds!$C$54,"L",IF('GNI per capita'!BE27&lt;=Thresholds!$D$54,"LM",IF('GNI per capita'!BE27&lt;=Thresholds!$E$54,"UM","H")))</f>
        <v>UM</v>
      </c>
      <c r="BF27" s="42" t="str">
        <f>IF('GNI per capita'!BF27&lt;=Thresholds!$C$55,"L",IF('GNI per capita'!BF27&lt;=Thresholds!$D$55,"LM",IF('GNI per capita'!BF27&lt;=Thresholds!$E$55,"UM","H")))</f>
        <v>UM</v>
      </c>
      <c r="BG27" s="42" t="str">
        <f>IF('GNI per capita'!BG27&lt;=Thresholds!$C$56,"L",IF('GNI per capita'!BG27&lt;=Thresholds!$D$56,"LM",IF('GNI per capita'!BG27&lt;=Thresholds!$E$56,"UM","H")))</f>
        <v>UM</v>
      </c>
      <c r="BH27" s="42" t="str">
        <f>IF('GNI per capita'!BH27&lt;=Thresholds!$C$57,"L",IF('GNI per capita'!BH27&lt;=Thresholds!$D$57,"LM",IF('GNI per capita'!BH27&lt;=Thresholds!$E$57,"UM","H")))</f>
        <v>UM</v>
      </c>
      <c r="BI27" s="42" t="str">
        <f>IF('GNI per capita'!BI27&lt;=Thresholds!$C$58,"L",IF('GNI per capita'!BI27&lt;=Thresholds!$D$58,"LM",IF('GNI per capita'!BI27&lt;=Thresholds!$E$58,"UM","H")))</f>
        <v>UM</v>
      </c>
      <c r="BJ27" s="42" t="str">
        <f>IF('GNI per capita'!BJ27&lt;=Thresholds!$C$59,"L",IF('GNI per capita'!BJ27&lt;=Thresholds!$D$59,"LM",IF('GNI per capita'!BJ27&lt;=Thresholds!$E$59,"UM","H")))</f>
        <v>UM</v>
      </c>
      <c r="BK27" s="42" t="str">
        <f>IF('GNI per capita'!BK27&lt;=Thresholds!$C$60,"L",IF('GNI per capita'!BK27&lt;=Thresholds!$D$60,"LM",IF('GNI per capita'!BK27&lt;=Thresholds!$E$60,"UM","H")))</f>
        <v>UM</v>
      </c>
      <c r="BL27" s="42" t="str">
        <f>IF('GNI per capita'!BL27&lt;=Thresholds!$C$61,"L",IF('GNI per capita'!BL27&lt;=Thresholds!$D$61,"LM",IF('GNI per capita'!BL27&lt;=Thresholds!$E$61,"UM","H")))</f>
        <v>UM</v>
      </c>
      <c r="BM27" s="42" t="str">
        <f>IF('GNI per capita'!BM27&lt;=Thresholds!$C$62,"L",IF('GNI per capita'!BM27&lt;=Thresholds!$D$62,"LM",IF('GNI per capita'!BM27&lt;=Thresholds!$E$62,"UM","H")))</f>
        <v>UM</v>
      </c>
      <c r="BN27" s="42" t="str">
        <f>IF('GNI per capita'!BN27&lt;=Thresholds!$C$63,"L",IF('GNI per capita'!BN27&lt;=Thresholds!$D$63,"LM",IF('GNI per capita'!BN27&lt;=Thresholds!$E$63,"UM","H")))</f>
        <v>UM</v>
      </c>
      <c r="BO27" s="42" t="str">
        <f>IF('GNI per capita'!BO27&lt;=Thresholds!$C$64,"L",IF('GNI per capita'!BO27&lt;=Thresholds!$D$64,"LM",IF('GNI per capita'!BO27&lt;=Thresholds!$E$64,"UM","H")))</f>
        <v>UM</v>
      </c>
      <c r="BP27" s="42" t="str">
        <f>IF('GNI per capita'!BP27&lt;=Thresholds!$C$65,"L",IF('GNI per capita'!BP27&lt;=Thresholds!$D$65,"LM",IF('GNI per capita'!BP27&lt;=Thresholds!$E$65,"UM","H")))</f>
        <v>UM</v>
      </c>
      <c r="BQ27" s="42" t="str">
        <f>IF('GNI per capita'!BQ27&lt;=Thresholds!$C$66,"L",IF('GNI per capita'!BQ27&lt;=Thresholds!$D$66,"LM",IF('GNI per capita'!BQ27&lt;=Thresholds!$E$66,"UM","H")))</f>
        <v>UM</v>
      </c>
      <c r="BR27" s="42" t="str">
        <f>IF('GNI per capita'!BR27&lt;=Thresholds!$C$67,"L",IF('GNI per capita'!BR27&lt;=Thresholds!$D$67,"LM",IF('GNI per capita'!BR27&lt;=Thresholds!$E$67,"UM","H")))</f>
        <v>UM</v>
      </c>
      <c r="BS27" s="42" t="str">
        <f>IF('GNI per capita'!BS27&lt;=Thresholds!$C$68,"L",IF('GNI per capita'!BS27&lt;=Thresholds!$D$68,"LM",IF('GNI per capita'!BS27&lt;=Thresholds!$E$68,"UM","H")))</f>
        <v>UM</v>
      </c>
    </row>
    <row r="28" spans="1:71" x14ac:dyDescent="0.2">
      <c r="A28" s="2" t="s">
        <v>250</v>
      </c>
      <c r="B28" s="2" t="s">
        <v>251</v>
      </c>
      <c r="C28" s="11" t="s">
        <v>82</v>
      </c>
      <c r="G28" s="2" t="s">
        <v>162</v>
      </c>
      <c r="H28" s="41"/>
      <c r="I28" s="41"/>
      <c r="J28" s="41"/>
      <c r="K28" s="41"/>
      <c r="L28" s="41"/>
      <c r="M28" s="41" t="s">
        <v>210</v>
      </c>
      <c r="N28" s="41" t="s">
        <v>75</v>
      </c>
      <c r="O28" s="41" t="s">
        <v>75</v>
      </c>
      <c r="P28" s="41" t="s">
        <v>75</v>
      </c>
      <c r="Q28" s="41" t="s">
        <v>75</v>
      </c>
      <c r="R28" s="41" t="s">
        <v>75</v>
      </c>
      <c r="S28" s="41" t="s">
        <v>210</v>
      </c>
      <c r="T28" s="41" t="s">
        <v>210</v>
      </c>
      <c r="U28" s="41" t="s">
        <v>210</v>
      </c>
      <c r="V28" s="41" t="s">
        <v>210</v>
      </c>
      <c r="W28" s="41" t="s">
        <v>210</v>
      </c>
      <c r="X28" s="41" t="s">
        <v>210</v>
      </c>
      <c r="Y28" s="41" t="s">
        <v>210</v>
      </c>
      <c r="Z28" s="41" t="s">
        <v>210</v>
      </c>
      <c r="AA28" s="41" t="s">
        <v>210</v>
      </c>
      <c r="AB28" s="41" t="s">
        <v>210</v>
      </c>
      <c r="AC28" s="41" t="s">
        <v>82</v>
      </c>
      <c r="AD28" s="41" t="s">
        <v>82</v>
      </c>
      <c r="AE28" s="41" t="s">
        <v>82</v>
      </c>
      <c r="AF28" s="41" t="s">
        <v>82</v>
      </c>
      <c r="AG28" s="41" t="s">
        <v>82</v>
      </c>
      <c r="AH28" s="41" t="s">
        <v>82</v>
      </c>
      <c r="AI28" s="41" t="s">
        <v>82</v>
      </c>
      <c r="AJ28" s="41" t="s">
        <v>82</v>
      </c>
      <c r="AK28" s="41" t="s">
        <v>82</v>
      </c>
      <c r="AL28" s="41" t="s">
        <v>82</v>
      </c>
      <c r="AM28" s="41" t="s">
        <v>82</v>
      </c>
      <c r="AN28" s="41" t="s">
        <v>82</v>
      </c>
      <c r="AO28" s="41" t="s">
        <v>82</v>
      </c>
      <c r="AP28" s="41" t="s">
        <v>82</v>
      </c>
      <c r="AQ28" s="41" t="s">
        <v>82</v>
      </c>
      <c r="AR28" s="41" t="s">
        <v>82</v>
      </c>
      <c r="AS28" s="41" t="s">
        <v>82</v>
      </c>
      <c r="AT28" s="41" t="s">
        <v>82</v>
      </c>
      <c r="AU28" s="42" t="str">
        <f>IF('GNI per capita'!AU28&lt;=Thresholds!$C$44,"L",IF('GNI per capita'!AU28&lt;=Thresholds!$D$44,"LM",IF('GNI per capita'!AU28&lt;=Thresholds!$E$44,"UM","H")))</f>
        <v>UM</v>
      </c>
      <c r="AV28" s="42" t="str">
        <f>IF('GNI per capita'!AV28&lt;=Thresholds!$C$45,"L",IF('GNI per capita'!AV28&lt;=Thresholds!$D$45,"LM",IF('GNI per capita'!AV28&lt;=Thresholds!$E$45,"UM","H")))</f>
        <v>UM</v>
      </c>
      <c r="AW28" s="42" t="str">
        <f>IF('GNI per capita'!AW28&lt;=Thresholds!$C$46,"L",IF('GNI per capita'!AW28&lt;=Thresholds!$D$46,"LM",IF('GNI per capita'!AW28&lt;=Thresholds!$E$46,"UM","H")))</f>
        <v>UM</v>
      </c>
      <c r="AX28" s="42" t="str">
        <f>IF('GNI per capita'!AX28&lt;=Thresholds!$C$47,"L",IF('GNI per capita'!AX28&lt;=Thresholds!$D$47,"LM",IF('GNI per capita'!AX28&lt;=Thresholds!$E$47,"UM","H")))</f>
        <v>UM</v>
      </c>
      <c r="AY28" s="42" t="str">
        <f>IF('GNI per capita'!AY28&lt;=Thresholds!$C$48,"L",IF('GNI per capita'!AY28&lt;=Thresholds!$D$48,"LM",IF('GNI per capita'!AY28&lt;=Thresholds!$E$48,"UM","H")))</f>
        <v>UM</v>
      </c>
      <c r="AZ28" s="42" t="str">
        <f>IF('GNI per capita'!AZ28&lt;=Thresholds!$C$49,"L",IF('GNI per capita'!AZ28&lt;=Thresholds!$D$49,"LM",IF('GNI per capita'!AZ28&lt;=Thresholds!$E$49,"UM","H")))</f>
        <v>H</v>
      </c>
      <c r="BA28" s="42" t="str">
        <f>IF('GNI per capita'!BA28&lt;=Thresholds!$C$50,"L",IF('GNI per capita'!BA28&lt;=Thresholds!$D$50,"LM",IF('GNI per capita'!BA28&lt;=Thresholds!$E$50,"UM","H")))</f>
        <v>H</v>
      </c>
      <c r="BB28" s="42" t="str">
        <f>IF('GNI per capita'!BB28&lt;=Thresholds!$C$51,"L",IF('GNI per capita'!BB28&lt;=Thresholds!$D$51,"LM",IF('GNI per capita'!BB28&lt;=Thresholds!$E$51,"UM","H")))</f>
        <v>H</v>
      </c>
      <c r="BC28" s="42" t="str">
        <f>IF('GNI per capita'!BC28&lt;=Thresholds!$C$52,"L",IF('GNI per capita'!BC28&lt;=Thresholds!$D$52,"LM",IF('GNI per capita'!BC28&lt;=Thresholds!$E$52,"UM","H")))</f>
        <v>H</v>
      </c>
      <c r="BD28" s="42" t="str">
        <f>IF('GNI per capita'!BD28&lt;=Thresholds!$C$53,"L",IF('GNI per capita'!BD28&lt;=Thresholds!$D$53,"LM",IF('GNI per capita'!BD28&lt;=Thresholds!$E$53,"UM","H")))</f>
        <v>H</v>
      </c>
      <c r="BE28" s="42" t="str">
        <f>IF('GNI per capita'!BE28&lt;=Thresholds!$C$54,"L",IF('GNI per capita'!BE28&lt;=Thresholds!$D$54,"LM",IF('GNI per capita'!BE28&lt;=Thresholds!$E$54,"UM","H")))</f>
        <v>H</v>
      </c>
      <c r="BF28" s="42" t="str">
        <f>IF('GNI per capita'!BF28&lt;=Thresholds!$C$55,"L",IF('GNI per capita'!BF28&lt;=Thresholds!$D$55,"LM",IF('GNI per capita'!BF28&lt;=Thresholds!$E$55,"UM","H")))</f>
        <v>H</v>
      </c>
      <c r="BG28" s="42" t="str">
        <f>IF('GNI per capita'!BG28&lt;=Thresholds!$C$56,"L",IF('GNI per capita'!BG28&lt;=Thresholds!$D$56,"LM",IF('GNI per capita'!BG28&lt;=Thresholds!$E$56,"UM","H")))</f>
        <v>H</v>
      </c>
      <c r="BH28" s="42" t="str">
        <f>IF('GNI per capita'!BH28&lt;=Thresholds!$C$57,"L",IF('GNI per capita'!BH28&lt;=Thresholds!$D$57,"LM",IF('GNI per capita'!BH28&lt;=Thresholds!$E$57,"UM","H")))</f>
        <v>H</v>
      </c>
      <c r="BI28" s="42" t="str">
        <f>IF('GNI per capita'!BI28&lt;=Thresholds!$C$58,"L",IF('GNI per capita'!BI28&lt;=Thresholds!$D$58,"LM",IF('GNI per capita'!BI28&lt;=Thresholds!$E$58,"UM","H")))</f>
        <v>H</v>
      </c>
      <c r="BJ28" s="42" t="str">
        <f>IF('GNI per capita'!BJ28&lt;=Thresholds!$C$59,"L",IF('GNI per capita'!BJ28&lt;=Thresholds!$D$59,"LM",IF('GNI per capita'!BJ28&lt;=Thresholds!$E$59,"UM","H")))</f>
        <v>H</v>
      </c>
      <c r="BK28" s="42" t="str">
        <f>IF('GNI per capita'!BK28&lt;=Thresholds!$C$60,"L",IF('GNI per capita'!BK28&lt;=Thresholds!$D$60,"LM",IF('GNI per capita'!BK28&lt;=Thresholds!$E$60,"UM","H")))</f>
        <v>H</v>
      </c>
      <c r="BL28" s="42" t="str">
        <f>IF('GNI per capita'!BL28&lt;=Thresholds!$C$61,"L",IF('GNI per capita'!BL28&lt;=Thresholds!$D$61,"LM",IF('GNI per capita'!BL28&lt;=Thresholds!$E$61,"UM","H")))</f>
        <v>H</v>
      </c>
      <c r="BM28" s="42" t="str">
        <f>IF('GNI per capita'!BM28&lt;=Thresholds!$C$62,"L",IF('GNI per capita'!BM28&lt;=Thresholds!$D$62,"LM",IF('GNI per capita'!BM28&lt;=Thresholds!$E$62,"UM","H")))</f>
        <v>H</v>
      </c>
      <c r="BN28" s="42" t="str">
        <f>IF('GNI per capita'!BN28&lt;=Thresholds!$C$63,"L",IF('GNI per capita'!BN28&lt;=Thresholds!$D$63,"LM",IF('GNI per capita'!BN28&lt;=Thresholds!$E$63,"UM","H")))</f>
        <v>H</v>
      </c>
      <c r="BO28" s="42" t="str">
        <f>IF('GNI per capita'!BO28&lt;=Thresholds!$C$64,"L",IF('GNI per capita'!BO28&lt;=Thresholds!$D$64,"LM",IF('GNI per capita'!BO28&lt;=Thresholds!$E$64,"UM","H")))</f>
        <v>H</v>
      </c>
      <c r="BP28" s="42" t="str">
        <f>IF('GNI per capita'!BP28&lt;=Thresholds!$C$65,"L",IF('GNI per capita'!BP28&lt;=Thresholds!$D$65,"LM",IF('GNI per capita'!BP28&lt;=Thresholds!$E$65,"UM","H")))</f>
        <v>H</v>
      </c>
      <c r="BQ28" s="42" t="str">
        <f>IF('GNI per capita'!BQ28&lt;=Thresholds!$C$66,"L",IF('GNI per capita'!BQ28&lt;=Thresholds!$D$66,"LM",IF('GNI per capita'!BQ28&lt;=Thresholds!$E$66,"UM","H")))</f>
        <v>H</v>
      </c>
      <c r="BR28" s="42" t="str">
        <f>IF('GNI per capita'!BR28&lt;=Thresholds!$C$67,"L",IF('GNI per capita'!BR28&lt;=Thresholds!$D$67,"LM",IF('GNI per capita'!BR28&lt;=Thresholds!$E$67,"UM","H")))</f>
        <v>H</v>
      </c>
      <c r="BS28" s="42" t="str">
        <f>IF('GNI per capita'!BS28&lt;=Thresholds!$C$68,"L",IF('GNI per capita'!BS28&lt;=Thresholds!$D$68,"LM",IF('GNI per capita'!BS28&lt;=Thresholds!$E$68,"UM","H")))</f>
        <v>H</v>
      </c>
    </row>
    <row r="29" spans="1:71" x14ac:dyDescent="0.2">
      <c r="A29" s="2" t="s">
        <v>252</v>
      </c>
      <c r="B29" s="2" t="s">
        <v>253</v>
      </c>
      <c r="C29" s="11" t="s">
        <v>82</v>
      </c>
      <c r="G29" s="2" t="s">
        <v>162</v>
      </c>
      <c r="H29" s="41" t="s">
        <v>210</v>
      </c>
      <c r="I29" s="41" t="s">
        <v>210</v>
      </c>
      <c r="J29" s="41" t="s">
        <v>210</v>
      </c>
      <c r="K29" s="41" t="s">
        <v>210</v>
      </c>
      <c r="L29" s="41" t="s">
        <v>82</v>
      </c>
      <c r="M29" s="41" t="s">
        <v>82</v>
      </c>
      <c r="N29" s="41" t="s">
        <v>210</v>
      </c>
      <c r="O29" s="41" t="s">
        <v>210</v>
      </c>
      <c r="P29" s="41" t="s">
        <v>210</v>
      </c>
      <c r="Q29" s="41" t="s">
        <v>210</v>
      </c>
      <c r="R29" s="41" t="s">
        <v>82</v>
      </c>
      <c r="S29" s="41" t="s">
        <v>82</v>
      </c>
      <c r="T29" s="41" t="s">
        <v>82</v>
      </c>
      <c r="U29" s="41" t="s">
        <v>82</v>
      </c>
      <c r="V29" s="41" t="s">
        <v>82</v>
      </c>
      <c r="W29" s="41" t="s">
        <v>82</v>
      </c>
      <c r="X29" s="41" t="s">
        <v>82</v>
      </c>
      <c r="Y29" s="41" t="s">
        <v>82</v>
      </c>
      <c r="Z29" s="41" t="s">
        <v>82</v>
      </c>
      <c r="AA29" s="41" t="s">
        <v>82</v>
      </c>
      <c r="AB29" s="41" t="s">
        <v>82</v>
      </c>
      <c r="AC29" s="41" t="s">
        <v>82</v>
      </c>
      <c r="AD29" s="41" t="s">
        <v>82</v>
      </c>
      <c r="AE29" s="41" t="s">
        <v>82</v>
      </c>
      <c r="AF29" s="41" t="s">
        <v>82</v>
      </c>
      <c r="AG29" s="41" t="s">
        <v>82</v>
      </c>
      <c r="AH29" s="41" t="s">
        <v>82</v>
      </c>
      <c r="AI29" s="41" t="s">
        <v>82</v>
      </c>
      <c r="AJ29" s="41" t="s">
        <v>82</v>
      </c>
      <c r="AK29" s="41" t="s">
        <v>82</v>
      </c>
      <c r="AL29" s="41" t="s">
        <v>82</v>
      </c>
      <c r="AM29" s="41" t="s">
        <v>82</v>
      </c>
      <c r="AN29" s="41" t="s">
        <v>82</v>
      </c>
      <c r="AO29" s="41" t="s">
        <v>82</v>
      </c>
      <c r="AP29" s="41" t="s">
        <v>82</v>
      </c>
      <c r="AQ29" s="41" t="s">
        <v>82</v>
      </c>
      <c r="AR29" s="41" t="s">
        <v>82</v>
      </c>
      <c r="AS29" s="41" t="s">
        <v>82</v>
      </c>
      <c r="AT29" s="41" t="s">
        <v>82</v>
      </c>
      <c r="AU29" s="42" t="str">
        <f>IF('GNI per capita'!AU29&lt;=Thresholds!$C$44,"L",IF('GNI per capita'!AU29&lt;=Thresholds!$D$44,"LM",IF('GNI per capita'!AU29&lt;=Thresholds!$E$44,"UM","H")))</f>
        <v>UM</v>
      </c>
      <c r="AV29" s="42" t="str">
        <f>IF('GNI per capita'!AV29&lt;=Thresholds!$C$45,"L",IF('GNI per capita'!AV29&lt;=Thresholds!$D$45,"LM",IF('GNI per capita'!AV29&lt;=Thresholds!$E$45,"UM","H")))</f>
        <v>UM</v>
      </c>
      <c r="AW29" s="42" t="str">
        <f>IF('GNI per capita'!AW29&lt;=Thresholds!$C$46,"L",IF('GNI per capita'!AW29&lt;=Thresholds!$D$46,"LM",IF('GNI per capita'!AW29&lt;=Thresholds!$E$46,"UM","H")))</f>
        <v>UM</v>
      </c>
      <c r="AX29" s="42" t="str">
        <f>IF('GNI per capita'!AX29&lt;=Thresholds!$C$47,"L",IF('GNI per capita'!AX29&lt;=Thresholds!$D$47,"LM",IF('GNI per capita'!AX29&lt;=Thresholds!$E$47,"UM","H")))</f>
        <v>UM</v>
      </c>
      <c r="AY29" s="42" t="str">
        <f>IF('GNI per capita'!AY29&lt;=Thresholds!$C$48,"L",IF('GNI per capita'!AY29&lt;=Thresholds!$D$48,"LM",IF('GNI per capita'!AY29&lt;=Thresholds!$E$48,"UM","H")))</f>
        <v>UM</v>
      </c>
      <c r="AZ29" s="42" t="str">
        <f>IF('GNI per capita'!AZ29&lt;=Thresholds!$C$49,"L",IF('GNI per capita'!AZ29&lt;=Thresholds!$D$49,"LM",IF('GNI per capita'!AZ29&lt;=Thresholds!$E$49,"UM","H")))</f>
        <v>UM</v>
      </c>
      <c r="BA29" s="42" t="str">
        <f>IF('GNI per capita'!BA29&lt;=Thresholds!$C$50,"L",IF('GNI per capita'!BA29&lt;=Thresholds!$D$50,"LM",IF('GNI per capita'!BA29&lt;=Thresholds!$E$50,"UM","H")))</f>
        <v>UM</v>
      </c>
      <c r="BB29" s="42" t="str">
        <f>IF('GNI per capita'!BB29&lt;=Thresholds!$C$51,"L",IF('GNI per capita'!BB29&lt;=Thresholds!$D$51,"LM",IF('GNI per capita'!BB29&lt;=Thresholds!$E$51,"UM","H")))</f>
        <v>UM</v>
      </c>
      <c r="BC29" s="42" t="str">
        <f>IF('GNI per capita'!BC29&lt;=Thresholds!$C$52,"L",IF('GNI per capita'!BC29&lt;=Thresholds!$D$52,"LM",IF('GNI per capita'!BC29&lt;=Thresholds!$E$52,"UM","H")))</f>
        <v>UM</v>
      </c>
      <c r="BD29" s="42" t="str">
        <f>IF('GNI per capita'!BD29&lt;=Thresholds!$C$53,"L",IF('GNI per capita'!BD29&lt;=Thresholds!$D$53,"LM",IF('GNI per capita'!BD29&lt;=Thresholds!$E$53,"UM","H")))</f>
        <v>UM</v>
      </c>
      <c r="BE29" s="42" t="str">
        <f>IF('GNI per capita'!BE29&lt;=Thresholds!$C$54,"L",IF('GNI per capita'!BE29&lt;=Thresholds!$D$54,"LM",IF('GNI per capita'!BE29&lt;=Thresholds!$E$54,"UM","H")))</f>
        <v>UM</v>
      </c>
      <c r="BF29" s="42" t="str">
        <f>IF('GNI per capita'!BF29&lt;=Thresholds!$C$55,"L",IF('GNI per capita'!BF29&lt;=Thresholds!$D$55,"LM",IF('GNI per capita'!BF29&lt;=Thresholds!$E$55,"UM","H")))</f>
        <v>UM</v>
      </c>
      <c r="BG29" s="42" t="str">
        <f>IF('GNI per capita'!BG29&lt;=Thresholds!$C$56,"L",IF('GNI per capita'!BG29&lt;=Thresholds!$D$56,"LM",IF('GNI per capita'!BG29&lt;=Thresholds!$E$56,"UM","H")))</f>
        <v>UM</v>
      </c>
      <c r="BH29" s="42" t="str">
        <f>IF('GNI per capita'!BH29&lt;=Thresholds!$C$57,"L",IF('GNI per capita'!BH29&lt;=Thresholds!$D$57,"LM",IF('GNI per capita'!BH29&lt;=Thresholds!$E$57,"UM","H")))</f>
        <v>UM</v>
      </c>
      <c r="BI29" s="42" t="str">
        <f>IF('GNI per capita'!BI29&lt;=Thresholds!$C$58,"L",IF('GNI per capita'!BI29&lt;=Thresholds!$D$58,"LM",IF('GNI per capita'!BI29&lt;=Thresholds!$E$58,"UM","H")))</f>
        <v>UM</v>
      </c>
      <c r="BJ29" s="42" t="str">
        <f>IF('GNI per capita'!BJ29&lt;=Thresholds!$C$59,"L",IF('GNI per capita'!BJ29&lt;=Thresholds!$D$59,"LM",IF('GNI per capita'!BJ29&lt;=Thresholds!$E$59,"UM","H")))</f>
        <v>UM</v>
      </c>
      <c r="BK29" s="42" t="str">
        <f>IF('GNI per capita'!BK29&lt;=Thresholds!$C$60,"L",IF('GNI per capita'!BK29&lt;=Thresholds!$D$60,"LM",IF('GNI per capita'!BK29&lt;=Thresholds!$E$60,"UM","H")))</f>
        <v>UM</v>
      </c>
      <c r="BL29" s="42" t="str">
        <f>IF('GNI per capita'!BL29&lt;=Thresholds!$C$61,"L",IF('GNI per capita'!BL29&lt;=Thresholds!$D$61,"LM",IF('GNI per capita'!BL29&lt;=Thresholds!$E$61,"UM","H")))</f>
        <v>UM</v>
      </c>
      <c r="BM29" s="42" t="str">
        <f>IF('GNI per capita'!BM29&lt;=Thresholds!$C$62,"L",IF('GNI per capita'!BM29&lt;=Thresholds!$D$62,"LM",IF('GNI per capita'!BM29&lt;=Thresholds!$E$62,"UM","H")))</f>
        <v>UM</v>
      </c>
      <c r="BN29" s="42" t="str">
        <f>IF('GNI per capita'!BN29&lt;=Thresholds!$C$63,"L",IF('GNI per capita'!BN29&lt;=Thresholds!$D$63,"LM",IF('GNI per capita'!BN29&lt;=Thresholds!$E$63,"UM","H")))</f>
        <v>UM</v>
      </c>
      <c r="BO29" s="42" t="str">
        <f>IF('GNI per capita'!BO29&lt;=Thresholds!$C$64,"L",IF('GNI per capita'!BO29&lt;=Thresholds!$D$64,"LM",IF('GNI per capita'!BO29&lt;=Thresholds!$E$64,"UM","H")))</f>
        <v>UM</v>
      </c>
      <c r="BP29" s="42" t="str">
        <f>IF('GNI per capita'!BP29&lt;=Thresholds!$C$65,"L",IF('GNI per capita'!BP29&lt;=Thresholds!$D$65,"LM",IF('GNI per capita'!BP29&lt;=Thresholds!$E$65,"UM","H")))</f>
        <v>UM</v>
      </c>
      <c r="BQ29" s="42" t="str">
        <f>IF('GNI per capita'!BQ29&lt;=Thresholds!$C$66,"L",IF('GNI per capita'!BQ29&lt;=Thresholds!$D$66,"LM",IF('GNI per capita'!BQ29&lt;=Thresholds!$E$66,"UM","H")))</f>
        <v>UM</v>
      </c>
      <c r="BR29" s="42" t="str">
        <f>IF('GNI per capita'!BR29&lt;=Thresholds!$C$67,"L",IF('GNI per capita'!BR29&lt;=Thresholds!$D$67,"LM",IF('GNI per capita'!BR29&lt;=Thresholds!$E$67,"UM","H")))</f>
        <v>UM</v>
      </c>
      <c r="BS29" s="42" t="str">
        <f>IF('GNI per capita'!BS29&lt;=Thresholds!$C$68,"L",IF('GNI per capita'!BS29&lt;=Thresholds!$D$68,"LM",IF('GNI per capita'!BS29&lt;=Thresholds!$E$68,"UM","H")))</f>
        <v>UM</v>
      </c>
    </row>
    <row r="30" spans="1:71" x14ac:dyDescent="0.2">
      <c r="A30" s="2" t="s">
        <v>254</v>
      </c>
      <c r="B30" s="2" t="s">
        <v>255</v>
      </c>
      <c r="C30" s="11" t="s">
        <v>82</v>
      </c>
      <c r="G30" s="2" t="s">
        <v>162</v>
      </c>
      <c r="H30" s="41" t="s">
        <v>82</v>
      </c>
      <c r="I30" s="41" t="s">
        <v>210</v>
      </c>
      <c r="J30" s="41" t="s">
        <v>82</v>
      </c>
      <c r="K30" s="41" t="s">
        <v>82</v>
      </c>
      <c r="L30" s="41" t="s">
        <v>82</v>
      </c>
      <c r="M30" s="41" t="s">
        <v>82</v>
      </c>
      <c r="N30" s="41" t="s">
        <v>82</v>
      </c>
      <c r="O30" s="41" t="s">
        <v>82</v>
      </c>
      <c r="P30" s="41" t="s">
        <v>82</v>
      </c>
      <c r="Q30" s="41" t="s">
        <v>82</v>
      </c>
      <c r="R30" s="41" t="s">
        <v>82</v>
      </c>
      <c r="S30" s="41" t="s">
        <v>82</v>
      </c>
      <c r="T30" s="41" t="s">
        <v>82</v>
      </c>
      <c r="U30" s="41" t="s">
        <v>82</v>
      </c>
      <c r="V30" s="41" t="s">
        <v>82</v>
      </c>
      <c r="W30" s="41" t="s">
        <v>210</v>
      </c>
      <c r="X30" s="41" t="s">
        <v>210</v>
      </c>
      <c r="Y30" s="41" t="s">
        <v>210</v>
      </c>
      <c r="Z30" s="41" t="s">
        <v>210</v>
      </c>
      <c r="AA30" s="41" t="s">
        <v>82</v>
      </c>
      <c r="AB30" s="41" t="s">
        <v>82</v>
      </c>
      <c r="AC30" s="41" t="s">
        <v>82</v>
      </c>
      <c r="AD30" s="41" t="s">
        <v>82</v>
      </c>
      <c r="AE30" s="41" t="s">
        <v>82</v>
      </c>
      <c r="AF30" s="41" t="s">
        <v>82</v>
      </c>
      <c r="AG30" s="41" t="s">
        <v>82</v>
      </c>
      <c r="AH30" s="41" t="s">
        <v>82</v>
      </c>
      <c r="AI30" s="41" t="s">
        <v>82</v>
      </c>
      <c r="AJ30" s="41" t="s">
        <v>82</v>
      </c>
      <c r="AK30" s="41" t="s">
        <v>82</v>
      </c>
      <c r="AL30" s="41" t="s">
        <v>82</v>
      </c>
      <c r="AM30" s="41" t="s">
        <v>82</v>
      </c>
      <c r="AN30" s="41" t="s">
        <v>82</v>
      </c>
      <c r="AO30" s="41" t="s">
        <v>82</v>
      </c>
      <c r="AP30" s="41" t="s">
        <v>82</v>
      </c>
      <c r="AQ30" s="41" t="s">
        <v>82</v>
      </c>
      <c r="AR30" s="41" t="s">
        <v>82</v>
      </c>
      <c r="AS30" s="41" t="s">
        <v>82</v>
      </c>
      <c r="AT30" s="41" t="s">
        <v>82</v>
      </c>
      <c r="AU30" s="42" t="str">
        <f>IF('GNI per capita'!AU30&lt;=Thresholds!$C$44,"L",IF('GNI per capita'!AU30&lt;=Thresholds!$D$44,"LM",IF('GNI per capita'!AU30&lt;=Thresholds!$E$44,"UM","H")))</f>
        <v>UM</v>
      </c>
      <c r="AV30" s="42" t="str">
        <f>IF('GNI per capita'!AV30&lt;=Thresholds!$C$45,"L",IF('GNI per capita'!AV30&lt;=Thresholds!$D$45,"LM",IF('GNI per capita'!AV30&lt;=Thresholds!$E$45,"UM","H")))</f>
        <v>UM</v>
      </c>
      <c r="AW30" s="42" t="str">
        <f>IF('GNI per capita'!AW30&lt;=Thresholds!$C$46,"L",IF('GNI per capita'!AW30&lt;=Thresholds!$D$46,"LM",IF('GNI per capita'!AW30&lt;=Thresholds!$E$46,"UM","H")))</f>
        <v>UM</v>
      </c>
      <c r="AX30" s="42" t="str">
        <f>IF('GNI per capita'!AX30&lt;=Thresholds!$C$47,"L",IF('GNI per capita'!AX30&lt;=Thresholds!$D$47,"LM",IF('GNI per capita'!AX30&lt;=Thresholds!$E$47,"UM","H")))</f>
        <v>UM</v>
      </c>
      <c r="AY30" s="42" t="str">
        <f>IF('GNI per capita'!AY30&lt;=Thresholds!$C$48,"L",IF('GNI per capita'!AY30&lt;=Thresholds!$D$48,"LM",IF('GNI per capita'!AY30&lt;=Thresholds!$E$48,"UM","H")))</f>
        <v>UM</v>
      </c>
      <c r="AZ30" s="42" t="str">
        <f>IF('GNI per capita'!AZ30&lt;=Thresholds!$C$49,"L",IF('GNI per capita'!AZ30&lt;=Thresholds!$D$49,"LM",IF('GNI per capita'!AZ30&lt;=Thresholds!$E$49,"UM","H")))</f>
        <v>UM</v>
      </c>
      <c r="BA30" s="42" t="str">
        <f>IF('GNI per capita'!BA30&lt;=Thresholds!$C$50,"L",IF('GNI per capita'!BA30&lt;=Thresholds!$D$50,"LM",IF('GNI per capita'!BA30&lt;=Thresholds!$E$50,"UM","H")))</f>
        <v>UM</v>
      </c>
      <c r="BB30" s="42" t="str">
        <f>IF('GNI per capita'!BB30&lt;=Thresholds!$C$51,"L",IF('GNI per capita'!BB30&lt;=Thresholds!$D$51,"LM",IF('GNI per capita'!BB30&lt;=Thresholds!$E$51,"UM","H")))</f>
        <v>UM</v>
      </c>
      <c r="BC30" s="42" t="str">
        <f>IF('GNI per capita'!BC30&lt;=Thresholds!$C$52,"L",IF('GNI per capita'!BC30&lt;=Thresholds!$D$52,"LM",IF('GNI per capita'!BC30&lt;=Thresholds!$E$52,"UM","H")))</f>
        <v>UM</v>
      </c>
      <c r="BD30" s="42" t="str">
        <f>IF('GNI per capita'!BD30&lt;=Thresholds!$C$53,"L",IF('GNI per capita'!BD30&lt;=Thresholds!$D$53,"LM",IF('GNI per capita'!BD30&lt;=Thresholds!$E$53,"UM","H")))</f>
        <v>UM</v>
      </c>
      <c r="BE30" s="42" t="str">
        <f>IF('GNI per capita'!BE30&lt;=Thresholds!$C$54,"L",IF('GNI per capita'!BE30&lt;=Thresholds!$D$54,"LM",IF('GNI per capita'!BE30&lt;=Thresholds!$E$54,"UM","H")))</f>
        <v>UM</v>
      </c>
      <c r="BF30" s="42" t="str">
        <f>IF('GNI per capita'!BF30&lt;=Thresholds!$C$55,"L",IF('GNI per capita'!BF30&lt;=Thresholds!$D$55,"LM",IF('GNI per capita'!BF30&lt;=Thresholds!$E$55,"UM","H")))</f>
        <v>UM</v>
      </c>
      <c r="BG30" s="42" t="str">
        <f>IF('GNI per capita'!BG30&lt;=Thresholds!$C$56,"L",IF('GNI per capita'!BG30&lt;=Thresholds!$D$56,"LM",IF('GNI per capita'!BG30&lt;=Thresholds!$E$56,"UM","H")))</f>
        <v>UM</v>
      </c>
      <c r="BH30" s="42" t="str">
        <f>IF('GNI per capita'!BH30&lt;=Thresholds!$C$57,"L",IF('GNI per capita'!BH30&lt;=Thresholds!$D$57,"LM",IF('GNI per capita'!BH30&lt;=Thresholds!$E$57,"UM","H")))</f>
        <v>UM</v>
      </c>
      <c r="BI30" s="42" t="str">
        <f>IF('GNI per capita'!BI30&lt;=Thresholds!$C$58,"L",IF('GNI per capita'!BI30&lt;=Thresholds!$D$58,"LM",IF('GNI per capita'!BI30&lt;=Thresholds!$E$58,"UM","H")))</f>
        <v>UM</v>
      </c>
      <c r="BJ30" s="42" t="str">
        <f>IF('GNI per capita'!BJ30&lt;=Thresholds!$C$59,"L",IF('GNI per capita'!BJ30&lt;=Thresholds!$D$59,"LM",IF('GNI per capita'!BJ30&lt;=Thresholds!$E$59,"UM","H")))</f>
        <v>UM</v>
      </c>
      <c r="BK30" s="42" t="str">
        <f>IF('GNI per capita'!BK30&lt;=Thresholds!$C$60,"L",IF('GNI per capita'!BK30&lt;=Thresholds!$D$60,"LM",IF('GNI per capita'!BK30&lt;=Thresholds!$E$60,"UM","H")))</f>
        <v>UM</v>
      </c>
      <c r="BL30" s="42" t="str">
        <f>IF('GNI per capita'!BL30&lt;=Thresholds!$C$61,"L",IF('GNI per capita'!BL30&lt;=Thresholds!$D$61,"LM",IF('GNI per capita'!BL30&lt;=Thresholds!$E$61,"UM","H")))</f>
        <v>UM</v>
      </c>
      <c r="BM30" s="42" t="str">
        <f>IF('GNI per capita'!BM30&lt;=Thresholds!$C$62,"L",IF('GNI per capita'!BM30&lt;=Thresholds!$D$62,"LM",IF('GNI per capita'!BM30&lt;=Thresholds!$E$62,"UM","H")))</f>
        <v>UM</v>
      </c>
      <c r="BN30" s="42" t="str">
        <f>IF('GNI per capita'!BN30&lt;=Thresholds!$C$63,"L",IF('GNI per capita'!BN30&lt;=Thresholds!$D$63,"LM",IF('GNI per capita'!BN30&lt;=Thresholds!$E$63,"UM","H")))</f>
        <v>H</v>
      </c>
      <c r="BO30" s="42" t="str">
        <f>IF('GNI per capita'!BO30&lt;=Thresholds!$C$64,"L",IF('GNI per capita'!BO30&lt;=Thresholds!$D$64,"LM",IF('GNI per capita'!BO30&lt;=Thresholds!$E$64,"UM","H")))</f>
        <v>H</v>
      </c>
      <c r="BP30" s="42" t="str">
        <f>IF('GNI per capita'!BP30&lt;=Thresholds!$C$65,"L",IF('GNI per capita'!BP30&lt;=Thresholds!$D$65,"LM",IF('GNI per capita'!BP30&lt;=Thresholds!$E$65,"UM","H")))</f>
        <v>H</v>
      </c>
      <c r="BQ30" s="42" t="str">
        <f>IF('GNI per capita'!BQ30&lt;=Thresholds!$C$66,"L",IF('GNI per capita'!BQ30&lt;=Thresholds!$D$66,"LM",IF('GNI per capita'!BQ30&lt;=Thresholds!$E$66,"UM","H")))</f>
        <v>H</v>
      </c>
      <c r="BR30" s="42" t="str">
        <f>IF('GNI per capita'!BR30&lt;=Thresholds!$C$67,"L",IF('GNI per capita'!BR30&lt;=Thresholds!$D$67,"LM",IF('GNI per capita'!BR30&lt;=Thresholds!$E$67,"UM","H")))</f>
        <v>H</v>
      </c>
      <c r="BS30" s="42" t="str">
        <f>IF('GNI per capita'!BS30&lt;=Thresholds!$C$68,"L",IF('GNI per capita'!BS30&lt;=Thresholds!$D$68,"LM",IF('GNI per capita'!BS30&lt;=Thresholds!$E$68,"UM","H")))</f>
        <v>H</v>
      </c>
    </row>
    <row r="31" spans="1:71" x14ac:dyDescent="0.2">
      <c r="A31" s="2" t="s">
        <v>256</v>
      </c>
      <c r="B31" s="2" t="s">
        <v>257</v>
      </c>
      <c r="C31" s="11" t="s">
        <v>79</v>
      </c>
      <c r="G31" s="28" t="s">
        <v>204</v>
      </c>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t="s">
        <v>79</v>
      </c>
      <c r="AK31" s="41" t="s">
        <v>79</v>
      </c>
      <c r="AL31" s="41" t="s">
        <v>79</v>
      </c>
      <c r="AM31" s="41" t="s">
        <v>79</v>
      </c>
      <c r="AN31" s="41" t="s">
        <v>79</v>
      </c>
      <c r="AO31" s="41" t="s">
        <v>79</v>
      </c>
      <c r="AP31" s="41" t="s">
        <v>79</v>
      </c>
      <c r="AQ31" s="41" t="s">
        <v>79</v>
      </c>
      <c r="AR31" s="41" t="s">
        <v>79</v>
      </c>
      <c r="AS31" s="41" t="s">
        <v>79</v>
      </c>
      <c r="AT31" s="41" t="s">
        <v>79</v>
      </c>
      <c r="AU31" s="42" t="str">
        <f t="shared" ref="AU31:BS31" si="2">$C31</f>
        <v>H</v>
      </c>
      <c r="AV31" s="42" t="str">
        <f t="shared" si="2"/>
        <v>H</v>
      </c>
      <c r="AW31" s="42" t="str">
        <f t="shared" si="2"/>
        <v>H</v>
      </c>
      <c r="AX31" s="42" t="str">
        <f t="shared" si="2"/>
        <v>H</v>
      </c>
      <c r="AY31" s="42" t="str">
        <f t="shared" si="2"/>
        <v>H</v>
      </c>
      <c r="AZ31" s="42" t="str">
        <f t="shared" si="2"/>
        <v>H</v>
      </c>
      <c r="BA31" s="42" t="str">
        <f t="shared" si="2"/>
        <v>H</v>
      </c>
      <c r="BB31" s="42" t="str">
        <f t="shared" si="2"/>
        <v>H</v>
      </c>
      <c r="BC31" s="42" t="str">
        <f t="shared" si="2"/>
        <v>H</v>
      </c>
      <c r="BD31" s="42" t="str">
        <f t="shared" si="2"/>
        <v>H</v>
      </c>
      <c r="BE31" s="42" t="str">
        <f t="shared" si="2"/>
        <v>H</v>
      </c>
      <c r="BF31" s="42" t="str">
        <f t="shared" si="2"/>
        <v>H</v>
      </c>
      <c r="BG31" s="42" t="str">
        <f t="shared" si="2"/>
        <v>H</v>
      </c>
      <c r="BH31" s="42" t="str">
        <f t="shared" si="2"/>
        <v>H</v>
      </c>
      <c r="BI31" s="42" t="str">
        <f t="shared" si="2"/>
        <v>H</v>
      </c>
      <c r="BJ31" s="42" t="str">
        <f t="shared" si="2"/>
        <v>H</v>
      </c>
      <c r="BK31" s="42" t="str">
        <f t="shared" si="2"/>
        <v>H</v>
      </c>
      <c r="BL31" s="42" t="str">
        <f t="shared" si="2"/>
        <v>H</v>
      </c>
      <c r="BM31" s="42" t="str">
        <f t="shared" si="2"/>
        <v>H</v>
      </c>
      <c r="BN31" s="42" t="str">
        <f t="shared" si="2"/>
        <v>H</v>
      </c>
      <c r="BO31" s="42" t="str">
        <f t="shared" si="2"/>
        <v>H</v>
      </c>
      <c r="BP31" s="42" t="str">
        <f t="shared" si="2"/>
        <v>H</v>
      </c>
      <c r="BQ31" s="42" t="str">
        <f t="shared" si="2"/>
        <v>H</v>
      </c>
      <c r="BR31" s="42" t="str">
        <f t="shared" si="2"/>
        <v>H</v>
      </c>
      <c r="BS31" s="42" t="str">
        <f t="shared" si="2"/>
        <v>H</v>
      </c>
    </row>
    <row r="32" spans="1:71" x14ac:dyDescent="0.2">
      <c r="A32" s="2" t="s">
        <v>258</v>
      </c>
      <c r="B32" s="2" t="s">
        <v>259</v>
      </c>
      <c r="C32" s="11" t="s">
        <v>79</v>
      </c>
      <c r="G32" s="2" t="s">
        <v>260</v>
      </c>
      <c r="H32" s="41" t="s">
        <v>79</v>
      </c>
      <c r="I32" s="41"/>
      <c r="J32" s="41"/>
      <c r="K32" s="41" t="s">
        <v>79</v>
      </c>
      <c r="L32" s="41" t="s">
        <v>79</v>
      </c>
      <c r="M32" s="41" t="s">
        <v>79</v>
      </c>
      <c r="N32" s="41" t="s">
        <v>79</v>
      </c>
      <c r="O32" s="41" t="s">
        <v>79</v>
      </c>
      <c r="P32" s="41" t="s">
        <v>79</v>
      </c>
      <c r="Q32" s="41" t="s">
        <v>79</v>
      </c>
      <c r="R32" s="41" t="s">
        <v>79</v>
      </c>
      <c r="S32" s="41" t="s">
        <v>79</v>
      </c>
      <c r="T32" s="41" t="s">
        <v>79</v>
      </c>
      <c r="U32" s="41" t="s">
        <v>79</v>
      </c>
      <c r="V32" s="41" t="s">
        <v>79</v>
      </c>
      <c r="W32" s="41" t="s">
        <v>79</v>
      </c>
      <c r="X32" s="41" t="s">
        <v>79</v>
      </c>
      <c r="Y32" s="41" t="s">
        <v>79</v>
      </c>
      <c r="Z32" s="41" t="s">
        <v>79</v>
      </c>
      <c r="AA32" s="41" t="s">
        <v>79</v>
      </c>
      <c r="AB32" s="41" t="s">
        <v>79</v>
      </c>
      <c r="AC32" s="41" t="s">
        <v>79</v>
      </c>
      <c r="AD32" s="41" t="s">
        <v>79</v>
      </c>
      <c r="AE32" s="41" t="s">
        <v>79</v>
      </c>
      <c r="AF32" s="41" t="s">
        <v>79</v>
      </c>
      <c r="AG32" s="41" t="s">
        <v>79</v>
      </c>
      <c r="AH32" s="41" t="s">
        <v>79</v>
      </c>
      <c r="AI32" s="41" t="s">
        <v>79</v>
      </c>
      <c r="AJ32" s="41" t="s">
        <v>79</v>
      </c>
      <c r="AK32" s="41" t="s">
        <v>79</v>
      </c>
      <c r="AL32" s="41" t="s">
        <v>79</v>
      </c>
      <c r="AM32" s="41" t="s">
        <v>79</v>
      </c>
      <c r="AN32" s="41" t="s">
        <v>79</v>
      </c>
      <c r="AO32" s="41" t="s">
        <v>79</v>
      </c>
      <c r="AP32" s="41" t="s">
        <v>79</v>
      </c>
      <c r="AQ32" s="41" t="s">
        <v>79</v>
      </c>
      <c r="AR32" s="41" t="s">
        <v>79</v>
      </c>
      <c r="AS32" s="41" t="s">
        <v>79</v>
      </c>
      <c r="AT32" s="41" t="s">
        <v>79</v>
      </c>
      <c r="AU32" s="42" t="str">
        <f>IF('GNI per capita'!AU32&lt;=Thresholds!$C$44,"L",IF('GNI per capita'!AU32&lt;=Thresholds!$D$44,"LM",IF('GNI per capita'!AU32&lt;=Thresholds!$E$44,"UM","H")))</f>
        <v>H</v>
      </c>
      <c r="AV32" s="42" t="str">
        <f>IF('GNI per capita'!AV32&lt;=Thresholds!$C$45,"L",IF('GNI per capita'!AV32&lt;=Thresholds!$D$45,"LM",IF('GNI per capita'!AV32&lt;=Thresholds!$E$45,"UM","H")))</f>
        <v>H</v>
      </c>
      <c r="AW32" s="42" t="str">
        <f>IF('GNI per capita'!AW32&lt;=Thresholds!$C$46,"L",IF('GNI per capita'!AW32&lt;=Thresholds!$D$46,"LM",IF('GNI per capita'!AW32&lt;=Thresholds!$E$46,"UM","H")))</f>
        <v>H</v>
      </c>
      <c r="AX32" s="42" t="str">
        <f>IF('GNI per capita'!AX32&lt;=Thresholds!$C$47,"L",IF('GNI per capita'!AX32&lt;=Thresholds!$D$47,"LM",IF('GNI per capita'!AX32&lt;=Thresholds!$E$47,"UM","H")))</f>
        <v>H</v>
      </c>
      <c r="AY32" s="42" t="str">
        <f>IF('GNI per capita'!AY32&lt;=Thresholds!$C$48,"L",IF('GNI per capita'!AY32&lt;=Thresholds!$D$48,"LM",IF('GNI per capita'!AY32&lt;=Thresholds!$E$48,"UM","H")))</f>
        <v>H</v>
      </c>
      <c r="AZ32" s="42" t="str">
        <f>IF('GNI per capita'!AZ32&lt;=Thresholds!$C$49,"L",IF('GNI per capita'!AZ32&lt;=Thresholds!$D$49,"LM",IF('GNI per capita'!AZ32&lt;=Thresholds!$E$49,"UM","H")))</f>
        <v>H</v>
      </c>
      <c r="BA32" s="42" t="str">
        <f>IF('GNI per capita'!BA32&lt;=Thresholds!$C$50,"L",IF('GNI per capita'!BA32&lt;=Thresholds!$D$50,"LM",IF('GNI per capita'!BA32&lt;=Thresholds!$E$50,"UM","H")))</f>
        <v>H</v>
      </c>
      <c r="BB32" s="42" t="str">
        <f>IF('GNI per capita'!BB32&lt;=Thresholds!$C$51,"L",IF('GNI per capita'!BB32&lt;=Thresholds!$D$51,"LM",IF('GNI per capita'!BB32&lt;=Thresholds!$E$51,"UM","H")))</f>
        <v>H</v>
      </c>
      <c r="BC32" s="42" t="str">
        <f>IF('GNI per capita'!BC32&lt;=Thresholds!$C$52,"L",IF('GNI per capita'!BC32&lt;=Thresholds!$D$52,"LM",IF('GNI per capita'!BC32&lt;=Thresholds!$E$52,"UM","H")))</f>
        <v>H</v>
      </c>
      <c r="BD32" s="42" t="str">
        <f>IF('GNI per capita'!BD32&lt;=Thresholds!$C$53,"L",IF('GNI per capita'!BD32&lt;=Thresholds!$D$53,"LM",IF('GNI per capita'!BD32&lt;=Thresholds!$E$53,"UM","H")))</f>
        <v>H</v>
      </c>
      <c r="BE32" s="42" t="str">
        <f>IF('GNI per capita'!BE32&lt;=Thresholds!$C$54,"L",IF('GNI per capita'!BE32&lt;=Thresholds!$D$54,"LM",IF('GNI per capita'!BE32&lt;=Thresholds!$E$54,"UM","H")))</f>
        <v>H</v>
      </c>
      <c r="BF32" s="42" t="str">
        <f>IF('GNI per capita'!BF32&lt;=Thresholds!$C$55,"L",IF('GNI per capita'!BF32&lt;=Thresholds!$D$55,"LM",IF('GNI per capita'!BF32&lt;=Thresholds!$E$55,"UM","H")))</f>
        <v>H</v>
      </c>
      <c r="BG32" s="42" t="str">
        <f>IF('GNI per capita'!BG32&lt;=Thresholds!$C$56,"L",IF('GNI per capita'!BG32&lt;=Thresholds!$D$56,"LM",IF('GNI per capita'!BG32&lt;=Thresholds!$E$56,"UM","H")))</f>
        <v>H</v>
      </c>
      <c r="BH32" s="42" t="str">
        <f>IF('GNI per capita'!BH32&lt;=Thresholds!$C$57,"L",IF('GNI per capita'!BH32&lt;=Thresholds!$D$57,"LM",IF('GNI per capita'!BH32&lt;=Thresholds!$E$57,"UM","H")))</f>
        <v>H</v>
      </c>
      <c r="BI32" s="42" t="str">
        <f>IF('GNI per capita'!BI32&lt;=Thresholds!$C$58,"L",IF('GNI per capita'!BI32&lt;=Thresholds!$D$58,"LM",IF('GNI per capita'!BI32&lt;=Thresholds!$E$58,"UM","H")))</f>
        <v>H</v>
      </c>
      <c r="BJ32" s="42" t="str">
        <f>IF('GNI per capita'!BJ32&lt;=Thresholds!$C$59,"L",IF('GNI per capita'!BJ32&lt;=Thresholds!$D$59,"LM",IF('GNI per capita'!BJ32&lt;=Thresholds!$E$59,"UM","H")))</f>
        <v>H</v>
      </c>
      <c r="BK32" s="42" t="str">
        <f>IF('GNI per capita'!BK32&lt;=Thresholds!$C$60,"L",IF('GNI per capita'!BK32&lt;=Thresholds!$D$60,"LM",IF('GNI per capita'!BK32&lt;=Thresholds!$E$60,"UM","H")))</f>
        <v>H</v>
      </c>
      <c r="BL32" s="42" t="str">
        <f>IF('GNI per capita'!BL32&lt;=Thresholds!$C$61,"L",IF('GNI per capita'!BL32&lt;=Thresholds!$D$61,"LM",IF('GNI per capita'!BL32&lt;=Thresholds!$E$61,"UM","H")))</f>
        <v>H</v>
      </c>
      <c r="BM32" s="42" t="str">
        <f>IF('GNI per capita'!BM32&lt;=Thresholds!$C$62,"L",IF('GNI per capita'!BM32&lt;=Thresholds!$D$62,"LM",IF('GNI per capita'!BM32&lt;=Thresholds!$E$62,"UM","H")))</f>
        <v>H</v>
      </c>
      <c r="BN32" s="42" t="str">
        <f>IF('GNI per capita'!BN32&lt;=Thresholds!$C$63,"L",IF('GNI per capita'!BN32&lt;=Thresholds!$D$63,"LM",IF('GNI per capita'!BN32&lt;=Thresholds!$E$63,"UM","H")))</f>
        <v>H</v>
      </c>
      <c r="BO32" s="42" t="str">
        <f>IF('GNI per capita'!BO32&lt;=Thresholds!$C$64,"L",IF('GNI per capita'!BO32&lt;=Thresholds!$D$64,"LM",IF('GNI per capita'!BO32&lt;=Thresholds!$E$64,"UM","H")))</f>
        <v>H</v>
      </c>
      <c r="BP32" s="42" t="str">
        <f>IF('GNI per capita'!BP32&lt;=Thresholds!$C$65,"L",IF('GNI per capita'!BP32&lt;=Thresholds!$D$65,"LM",IF('GNI per capita'!BP32&lt;=Thresholds!$E$65,"UM","H")))</f>
        <v>H</v>
      </c>
      <c r="BQ32" s="42" t="str">
        <f>IF('GNI per capita'!BQ32&lt;=Thresholds!$C$66,"L",IF('GNI per capita'!BQ32&lt;=Thresholds!$D$66,"LM",IF('GNI per capita'!BQ32&lt;=Thresholds!$E$66,"UM","H")))</f>
        <v>H</v>
      </c>
      <c r="BR32" s="42" t="str">
        <f>IF('GNI per capita'!BR32&lt;=Thresholds!$C$67,"L",IF('GNI per capita'!BR32&lt;=Thresholds!$D$67,"LM",IF('GNI per capita'!BR32&lt;=Thresholds!$E$67,"UM","H")))</f>
        <v>H</v>
      </c>
      <c r="BS32" s="42" t="str">
        <f>IF('GNI per capita'!BS32&lt;=Thresholds!$C$68,"L",IF('GNI per capita'!BS32&lt;=Thresholds!$D$68,"LM",IF('GNI per capita'!BS32&lt;=Thresholds!$E$68,"UM","H")))</f>
        <v>H</v>
      </c>
    </row>
    <row r="33" spans="1:71" x14ac:dyDescent="0.2">
      <c r="A33" s="2" t="s">
        <v>261</v>
      </c>
      <c r="B33" s="2" t="s">
        <v>262</v>
      </c>
      <c r="C33" s="11" t="s">
        <v>79</v>
      </c>
      <c r="G33" s="2" t="s">
        <v>263</v>
      </c>
      <c r="H33" s="41"/>
      <c r="I33" s="41"/>
      <c r="J33" s="41" t="s">
        <v>210</v>
      </c>
      <c r="K33" s="41" t="s">
        <v>210</v>
      </c>
      <c r="L33" s="41" t="s">
        <v>210</v>
      </c>
      <c r="M33" s="41" t="s">
        <v>210</v>
      </c>
      <c r="N33" s="41" t="s">
        <v>210</v>
      </c>
      <c r="O33" s="41" t="s">
        <v>210</v>
      </c>
      <c r="P33" s="41" t="s">
        <v>210</v>
      </c>
      <c r="Q33" s="41" t="s">
        <v>210</v>
      </c>
      <c r="R33" s="41" t="s">
        <v>210</v>
      </c>
      <c r="S33" s="41" t="s">
        <v>210</v>
      </c>
      <c r="T33" s="41" t="s">
        <v>210</v>
      </c>
      <c r="U33" s="41" t="s">
        <v>210</v>
      </c>
      <c r="V33" s="41" t="s">
        <v>210</v>
      </c>
      <c r="W33" s="41" t="s">
        <v>210</v>
      </c>
      <c r="X33" s="41" t="s">
        <v>210</v>
      </c>
      <c r="Y33" s="41" t="s">
        <v>210</v>
      </c>
      <c r="Z33" s="41" t="s">
        <v>210</v>
      </c>
      <c r="AA33" s="41" t="s">
        <v>82</v>
      </c>
      <c r="AB33" s="41" t="s">
        <v>82</v>
      </c>
      <c r="AC33" s="41" t="s">
        <v>82</v>
      </c>
      <c r="AD33" s="41" t="s">
        <v>82</v>
      </c>
      <c r="AE33" s="41" t="s">
        <v>82</v>
      </c>
      <c r="AF33" s="41" t="s">
        <v>82</v>
      </c>
      <c r="AG33" s="41" t="s">
        <v>82</v>
      </c>
      <c r="AH33" s="41" t="s">
        <v>82</v>
      </c>
      <c r="AI33" s="41" t="s">
        <v>82</v>
      </c>
      <c r="AJ33" s="41" t="s">
        <v>82</v>
      </c>
      <c r="AK33" s="41" t="s">
        <v>82</v>
      </c>
      <c r="AL33" s="41" t="s">
        <v>82</v>
      </c>
      <c r="AM33" s="41" t="s">
        <v>82</v>
      </c>
      <c r="AN33" s="41" t="s">
        <v>82</v>
      </c>
      <c r="AO33" s="41" t="s">
        <v>82</v>
      </c>
      <c r="AP33" s="41" t="s">
        <v>82</v>
      </c>
      <c r="AQ33" s="41" t="s">
        <v>82</v>
      </c>
      <c r="AR33" s="41" t="s">
        <v>79</v>
      </c>
      <c r="AS33" s="41" t="s">
        <v>79</v>
      </c>
      <c r="AT33" s="41" t="s">
        <v>79</v>
      </c>
      <c r="AU33" s="42" t="str">
        <f>IF('GNI per capita'!AU33&lt;=Thresholds!$C$44,"L",IF('GNI per capita'!AU33&lt;=Thresholds!$D$44,"LM",IF('GNI per capita'!AU33&lt;=Thresholds!$E$44,"UM","H")))</f>
        <v>H</v>
      </c>
      <c r="AV33" s="42" t="str">
        <f>IF('GNI per capita'!AV33&lt;=Thresholds!$C$45,"L",IF('GNI per capita'!AV33&lt;=Thresholds!$D$45,"LM",IF('GNI per capita'!AV33&lt;=Thresholds!$E$45,"UM","H")))</f>
        <v>H</v>
      </c>
      <c r="AW33" s="42" t="str">
        <f>IF('GNI per capita'!AW33&lt;=Thresholds!$C$46,"L",IF('GNI per capita'!AW33&lt;=Thresholds!$D$46,"LM",IF('GNI per capita'!AW33&lt;=Thresholds!$E$46,"UM","H")))</f>
        <v>H</v>
      </c>
      <c r="AX33" s="42" t="str">
        <f>IF('GNI per capita'!AX33&lt;=Thresholds!$C$47,"L",IF('GNI per capita'!AX33&lt;=Thresholds!$D$47,"LM",IF('GNI per capita'!AX33&lt;=Thresholds!$E$47,"UM","H")))</f>
        <v>H</v>
      </c>
      <c r="AY33" s="42" t="str">
        <f>IF('GNI per capita'!AY33&lt;=Thresholds!$C$48,"L",IF('GNI per capita'!AY33&lt;=Thresholds!$D$48,"LM",IF('GNI per capita'!AY33&lt;=Thresholds!$E$48,"UM","H")))</f>
        <v>H</v>
      </c>
      <c r="AZ33" s="42" t="str">
        <f>IF('GNI per capita'!AZ33&lt;=Thresholds!$C$49,"L",IF('GNI per capita'!AZ33&lt;=Thresholds!$D$49,"LM",IF('GNI per capita'!AZ33&lt;=Thresholds!$E$49,"UM","H")))</f>
        <v>H</v>
      </c>
      <c r="BA33" s="42" t="str">
        <f>IF('GNI per capita'!BA33&lt;=Thresholds!$C$50,"L",IF('GNI per capita'!BA33&lt;=Thresholds!$D$50,"LM",IF('GNI per capita'!BA33&lt;=Thresholds!$E$50,"UM","H")))</f>
        <v>H</v>
      </c>
      <c r="BB33" s="42" t="str">
        <f>IF('GNI per capita'!BB33&lt;=Thresholds!$C$51,"L",IF('GNI per capita'!BB33&lt;=Thresholds!$D$51,"LM",IF('GNI per capita'!BB33&lt;=Thresholds!$E$51,"UM","H")))</f>
        <v>H</v>
      </c>
      <c r="BC33" s="42" t="str">
        <f>IF('GNI per capita'!BC33&lt;=Thresholds!$C$52,"L",IF('GNI per capita'!BC33&lt;=Thresholds!$D$52,"LM",IF('GNI per capita'!BC33&lt;=Thresholds!$E$52,"UM","H")))</f>
        <v>H</v>
      </c>
      <c r="BD33" s="42" t="str">
        <f>IF('GNI per capita'!BD33&lt;=Thresholds!$C$53,"L",IF('GNI per capita'!BD33&lt;=Thresholds!$D$53,"LM",IF('GNI per capita'!BD33&lt;=Thresholds!$E$53,"UM","H")))</f>
        <v>H</v>
      </c>
      <c r="BE33" s="42" t="str">
        <f>IF('GNI per capita'!BE33&lt;=Thresholds!$C$54,"L",IF('GNI per capita'!BE33&lt;=Thresholds!$D$54,"LM",IF('GNI per capita'!BE33&lt;=Thresholds!$E$54,"UM","H")))</f>
        <v>H</v>
      </c>
      <c r="BF33" s="42" t="str">
        <f>IF('GNI per capita'!BF33&lt;=Thresholds!$C$55,"L",IF('GNI per capita'!BF33&lt;=Thresholds!$D$55,"LM",IF('GNI per capita'!BF33&lt;=Thresholds!$E$55,"UM","H")))</f>
        <v>H</v>
      </c>
      <c r="BG33" s="42" t="str">
        <f>IF('GNI per capita'!BG33&lt;=Thresholds!$C$56,"L",IF('GNI per capita'!BG33&lt;=Thresholds!$D$56,"LM",IF('GNI per capita'!BG33&lt;=Thresholds!$E$56,"UM","H")))</f>
        <v>H</v>
      </c>
      <c r="BH33" s="42" t="str">
        <f>IF('GNI per capita'!BH33&lt;=Thresholds!$C$57,"L",IF('GNI per capita'!BH33&lt;=Thresholds!$D$57,"LM",IF('GNI per capita'!BH33&lt;=Thresholds!$E$57,"UM","H")))</f>
        <v>H</v>
      </c>
      <c r="BI33" s="42" t="str">
        <f>IF('GNI per capita'!BI33&lt;=Thresholds!$C$58,"L",IF('GNI per capita'!BI33&lt;=Thresholds!$D$58,"LM",IF('GNI per capita'!BI33&lt;=Thresholds!$E$58,"UM","H")))</f>
        <v>H</v>
      </c>
      <c r="BJ33" s="42" t="str">
        <f>IF('GNI per capita'!BJ33&lt;=Thresholds!$C$59,"L",IF('GNI per capita'!BJ33&lt;=Thresholds!$D$59,"LM",IF('GNI per capita'!BJ33&lt;=Thresholds!$E$59,"UM","H")))</f>
        <v>H</v>
      </c>
      <c r="BK33" s="42" t="str">
        <f>IF('GNI per capita'!BK33&lt;=Thresholds!$C$60,"L",IF('GNI per capita'!BK33&lt;=Thresholds!$D$60,"LM",IF('GNI per capita'!BK33&lt;=Thresholds!$E$60,"UM","H")))</f>
        <v>H</v>
      </c>
      <c r="BL33" s="42" t="str">
        <f>IF('GNI per capita'!BL33&lt;=Thresholds!$C$61,"L",IF('GNI per capita'!BL33&lt;=Thresholds!$D$61,"LM",IF('GNI per capita'!BL33&lt;=Thresholds!$E$61,"UM","H")))</f>
        <v>H</v>
      </c>
      <c r="BM33" s="42" t="str">
        <f>IF('GNI per capita'!BM33&lt;=Thresholds!$C$62,"L",IF('GNI per capita'!BM33&lt;=Thresholds!$D$62,"LM",IF('GNI per capita'!BM33&lt;=Thresholds!$E$62,"UM","H")))</f>
        <v>H</v>
      </c>
      <c r="BN33" s="42" t="str">
        <f>IF('GNI per capita'!BN33&lt;=Thresholds!$C$63,"L",IF('GNI per capita'!BN33&lt;=Thresholds!$D$63,"LM",IF('GNI per capita'!BN33&lt;=Thresholds!$E$63,"UM","H")))</f>
        <v>H</v>
      </c>
      <c r="BO33" s="42" t="str">
        <f>IF('GNI per capita'!BO33&lt;=Thresholds!$C$64,"L",IF('GNI per capita'!BO33&lt;=Thresholds!$D$64,"LM",IF('GNI per capita'!BO33&lt;=Thresholds!$E$64,"UM","H")))</f>
        <v>H</v>
      </c>
      <c r="BP33" s="42" t="str">
        <f>IF('GNI per capita'!BP33&lt;=Thresholds!$C$65,"L",IF('GNI per capita'!BP33&lt;=Thresholds!$D$65,"LM",IF('GNI per capita'!BP33&lt;=Thresholds!$E$65,"UM","H")))</f>
        <v>H</v>
      </c>
      <c r="BQ33" s="42" t="str">
        <f>IF('GNI per capita'!BQ33&lt;=Thresholds!$C$66,"L",IF('GNI per capita'!BQ33&lt;=Thresholds!$D$66,"LM",IF('GNI per capita'!BQ33&lt;=Thresholds!$E$66,"UM","H")))</f>
        <v>H</v>
      </c>
      <c r="BR33" s="42" t="str">
        <f>IF('GNI per capita'!BR33&lt;=Thresholds!$C$67,"L",IF('GNI per capita'!BR33&lt;=Thresholds!$D$67,"LM",IF('GNI per capita'!BR33&lt;=Thresholds!$E$67,"UM","H")))</f>
        <v>H</v>
      </c>
      <c r="BS33" s="42" t="str">
        <f>IF('GNI per capita'!BS33&lt;=Thresholds!$C$68,"L",IF('GNI per capita'!BS33&lt;=Thresholds!$D$68,"LM",IF('GNI per capita'!BS33&lt;=Thresholds!$E$68,"UM","H")))</f>
        <v>H</v>
      </c>
    </row>
    <row r="34" spans="1:71" x14ac:dyDescent="0.2">
      <c r="A34" s="2" t="s">
        <v>264</v>
      </c>
      <c r="B34" s="2" t="s">
        <v>265</v>
      </c>
      <c r="C34" s="11" t="s">
        <v>75</v>
      </c>
      <c r="G34" s="2" t="s">
        <v>162</v>
      </c>
      <c r="H34" s="41" t="s">
        <v>75</v>
      </c>
      <c r="I34" s="41" t="s">
        <v>75</v>
      </c>
      <c r="J34" s="41" t="s">
        <v>75</v>
      </c>
      <c r="K34" s="41" t="s">
        <v>75</v>
      </c>
      <c r="L34" s="41" t="s">
        <v>75</v>
      </c>
      <c r="M34" s="41" t="s">
        <v>75</v>
      </c>
      <c r="N34" s="41" t="s">
        <v>75</v>
      </c>
      <c r="O34" s="41" t="s">
        <v>75</v>
      </c>
      <c r="P34" s="41" t="s">
        <v>75</v>
      </c>
      <c r="Q34" s="41" t="s">
        <v>75</v>
      </c>
      <c r="R34" s="41" t="s">
        <v>75</v>
      </c>
      <c r="S34" s="41" t="s">
        <v>75</v>
      </c>
      <c r="T34" s="41" t="s">
        <v>75</v>
      </c>
      <c r="U34" s="41" t="s">
        <v>75</v>
      </c>
      <c r="V34" s="41" t="s">
        <v>75</v>
      </c>
      <c r="W34" s="41" t="s">
        <v>75</v>
      </c>
      <c r="X34" s="41" t="s">
        <v>75</v>
      </c>
      <c r="Y34" s="41" t="s">
        <v>75</v>
      </c>
      <c r="Z34" s="41" t="s">
        <v>75</v>
      </c>
      <c r="AA34" s="41" t="s">
        <v>75</v>
      </c>
      <c r="AB34" s="41" t="s">
        <v>75</v>
      </c>
      <c r="AC34" s="41" t="s">
        <v>75</v>
      </c>
      <c r="AD34" s="41" t="s">
        <v>75</v>
      </c>
      <c r="AE34" s="41" t="s">
        <v>75</v>
      </c>
      <c r="AF34" s="41" t="s">
        <v>75</v>
      </c>
      <c r="AG34" s="41" t="s">
        <v>75</v>
      </c>
      <c r="AH34" s="41" t="s">
        <v>75</v>
      </c>
      <c r="AI34" s="41" t="s">
        <v>75</v>
      </c>
      <c r="AJ34" s="41" t="s">
        <v>75</v>
      </c>
      <c r="AK34" s="41" t="s">
        <v>75</v>
      </c>
      <c r="AL34" s="41" t="s">
        <v>75</v>
      </c>
      <c r="AM34" s="41" t="s">
        <v>75</v>
      </c>
      <c r="AN34" s="41" t="s">
        <v>75</v>
      </c>
      <c r="AO34" s="41" t="s">
        <v>75</v>
      </c>
      <c r="AP34" s="41" t="s">
        <v>75</v>
      </c>
      <c r="AQ34" s="41" t="s">
        <v>75</v>
      </c>
      <c r="AR34" s="41" t="s">
        <v>75</v>
      </c>
      <c r="AS34" s="41" t="s">
        <v>75</v>
      </c>
      <c r="AT34" s="41" t="s">
        <v>75</v>
      </c>
      <c r="AU34" s="42" t="str">
        <f>IF('GNI per capita'!AU34&lt;=Thresholds!$C$44,"L",IF('GNI per capita'!AU34&lt;=Thresholds!$D$44,"LM",IF('GNI per capita'!AU34&lt;=Thresholds!$E$44,"UM","H")))</f>
        <v>L</v>
      </c>
      <c r="AV34" s="42" t="str">
        <f>IF('GNI per capita'!AV34&lt;=Thresholds!$C$45,"L",IF('GNI per capita'!AV34&lt;=Thresholds!$D$45,"LM",IF('GNI per capita'!AV34&lt;=Thresholds!$E$45,"UM","H")))</f>
        <v>L</v>
      </c>
      <c r="AW34" s="42" t="str">
        <f>IF('GNI per capita'!AW34&lt;=Thresholds!$C$46,"L",IF('GNI per capita'!AW34&lt;=Thresholds!$D$46,"LM",IF('GNI per capita'!AW34&lt;=Thresholds!$E$46,"UM","H")))</f>
        <v>L</v>
      </c>
      <c r="AX34" s="42" t="str">
        <f>IF('GNI per capita'!AX34&lt;=Thresholds!$C$47,"L",IF('GNI per capita'!AX34&lt;=Thresholds!$D$47,"LM",IF('GNI per capita'!AX34&lt;=Thresholds!$E$47,"UM","H")))</f>
        <v>L</v>
      </c>
      <c r="AY34" s="42" t="str">
        <f>IF('GNI per capita'!AY34&lt;=Thresholds!$C$48,"L",IF('GNI per capita'!AY34&lt;=Thresholds!$D$48,"LM",IF('GNI per capita'!AY34&lt;=Thresholds!$E$48,"UM","H")))</f>
        <v>L</v>
      </c>
      <c r="AZ34" s="42" t="str">
        <f>IF('GNI per capita'!AZ34&lt;=Thresholds!$C$49,"L",IF('GNI per capita'!AZ34&lt;=Thresholds!$D$49,"LM",IF('GNI per capita'!AZ34&lt;=Thresholds!$E$49,"UM","H")))</f>
        <v>L</v>
      </c>
      <c r="BA34" s="42" t="str">
        <f>IF('GNI per capita'!BA34&lt;=Thresholds!$C$50,"L",IF('GNI per capita'!BA34&lt;=Thresholds!$D$50,"LM",IF('GNI per capita'!BA34&lt;=Thresholds!$E$50,"UM","H")))</f>
        <v>L</v>
      </c>
      <c r="BB34" s="42" t="str">
        <f>IF('GNI per capita'!BB34&lt;=Thresholds!$C$51,"L",IF('GNI per capita'!BB34&lt;=Thresholds!$D$51,"LM",IF('GNI per capita'!BB34&lt;=Thresholds!$E$51,"UM","H")))</f>
        <v>L</v>
      </c>
      <c r="BC34" s="42" t="str">
        <f>IF('GNI per capita'!BC34&lt;=Thresholds!$C$52,"L",IF('GNI per capita'!BC34&lt;=Thresholds!$D$52,"LM",IF('GNI per capita'!BC34&lt;=Thresholds!$E$52,"UM","H")))</f>
        <v>L</v>
      </c>
      <c r="BD34" s="42" t="str">
        <f>IF('GNI per capita'!BD34&lt;=Thresholds!$C$53,"L",IF('GNI per capita'!BD34&lt;=Thresholds!$D$53,"LM",IF('GNI per capita'!BD34&lt;=Thresholds!$E$53,"UM","H")))</f>
        <v>L</v>
      </c>
      <c r="BE34" s="42" t="str">
        <f>IF('GNI per capita'!BE34&lt;=Thresholds!$C$54,"L",IF('GNI per capita'!BE34&lt;=Thresholds!$D$54,"LM",IF('GNI per capita'!BE34&lt;=Thresholds!$E$54,"UM","H")))</f>
        <v>L</v>
      </c>
      <c r="BF34" s="42" t="str">
        <f>IF('GNI per capita'!BF34&lt;=Thresholds!$C$55,"L",IF('GNI per capita'!BF34&lt;=Thresholds!$D$55,"LM",IF('GNI per capita'!BF34&lt;=Thresholds!$E$55,"UM","H")))</f>
        <v>L</v>
      </c>
      <c r="BG34" s="42" t="str">
        <f>IF('GNI per capita'!BG34&lt;=Thresholds!$C$56,"L",IF('GNI per capita'!BG34&lt;=Thresholds!$D$56,"LM",IF('GNI per capita'!BG34&lt;=Thresholds!$E$56,"UM","H")))</f>
        <v>L</v>
      </c>
      <c r="BH34" s="42" t="str">
        <f>IF('GNI per capita'!BH34&lt;=Thresholds!$C$57,"L",IF('GNI per capita'!BH34&lt;=Thresholds!$D$57,"LM",IF('GNI per capita'!BH34&lt;=Thresholds!$E$57,"UM","H")))</f>
        <v>LM</v>
      </c>
      <c r="BI34" s="42" t="str">
        <f>IF('GNI per capita'!BI34&lt;=Thresholds!$C$58,"L",IF('GNI per capita'!BI34&lt;=Thresholds!$D$58,"LM",IF('GNI per capita'!BI34&lt;=Thresholds!$E$58,"UM","H")))</f>
        <v>LM</v>
      </c>
      <c r="BJ34" s="42" t="str">
        <f>IF('GNI per capita'!BJ34&lt;=Thresholds!$C$59,"L",IF('GNI per capita'!BJ34&lt;=Thresholds!$D$59,"LM",IF('GNI per capita'!BJ34&lt;=Thresholds!$E$59,"UM","H")))</f>
        <v>LM</v>
      </c>
      <c r="BK34" s="42" t="str">
        <f>IF('GNI per capita'!BK34&lt;=Thresholds!$C$60,"L",IF('GNI per capita'!BK34&lt;=Thresholds!$D$60,"LM",IF('GNI per capita'!BK34&lt;=Thresholds!$E$60,"UM","H")))</f>
        <v>LM</v>
      </c>
      <c r="BL34" s="42" t="str">
        <f>IF('GNI per capita'!BL34&lt;=Thresholds!$C$61,"L",IF('GNI per capita'!BL34&lt;=Thresholds!$D$61,"LM",IF('GNI per capita'!BL34&lt;=Thresholds!$E$61,"UM","H")))</f>
        <v>LM</v>
      </c>
      <c r="BM34" s="42" t="str">
        <f>IF('GNI per capita'!BM34&lt;=Thresholds!$C$62,"L",IF('GNI per capita'!BM34&lt;=Thresholds!$D$62,"LM",IF('GNI per capita'!BM34&lt;=Thresholds!$E$62,"UM","H")))</f>
        <v>LM</v>
      </c>
      <c r="BN34" s="42" t="str">
        <f>IF('GNI per capita'!BN34&lt;=Thresholds!$C$63,"L",IF('GNI per capita'!BN34&lt;=Thresholds!$D$63,"LM",IF('GNI per capita'!BN34&lt;=Thresholds!$E$63,"UM","H")))</f>
        <v>LM</v>
      </c>
      <c r="BO34" s="42" t="str">
        <f>IF('GNI per capita'!BO34&lt;=Thresholds!$C$64,"L",IF('GNI per capita'!BO34&lt;=Thresholds!$D$64,"LM",IF('GNI per capita'!BO34&lt;=Thresholds!$E$64,"UM","H")))</f>
        <v>LM</v>
      </c>
      <c r="BP34" s="42" t="str">
        <f>IF('GNI per capita'!BP34&lt;=Thresholds!$C$65,"L",IF('GNI per capita'!BP34&lt;=Thresholds!$D$65,"LM",IF('GNI per capita'!BP34&lt;=Thresholds!$E$65,"UM","H")))</f>
        <v>LM</v>
      </c>
      <c r="BQ34" s="42" t="str">
        <f>IF('GNI per capita'!BQ34&lt;=Thresholds!$C$66,"L",IF('GNI per capita'!BQ34&lt;=Thresholds!$D$66,"LM",IF('GNI per capita'!BQ34&lt;=Thresholds!$E$66,"UM","H")))</f>
        <v>LM</v>
      </c>
      <c r="BR34" s="42" t="str">
        <f>IF('GNI per capita'!BR34&lt;=Thresholds!$C$67,"L",IF('GNI per capita'!BR34&lt;=Thresholds!$D$67,"LM",IF('GNI per capita'!BR34&lt;=Thresholds!$E$67,"UM","H")))</f>
        <v>LM</v>
      </c>
      <c r="BS34" s="42" t="str">
        <f>IF('GNI per capita'!BS34&lt;=Thresholds!$C$68,"L",IF('GNI per capita'!BS34&lt;=Thresholds!$D$68,"LM",IF('GNI per capita'!BS34&lt;=Thresholds!$E$68,"UM","H")))</f>
        <v>LM</v>
      </c>
    </row>
    <row r="35" spans="1:71" x14ac:dyDescent="0.2">
      <c r="A35" s="2" t="s">
        <v>266</v>
      </c>
      <c r="B35" s="2" t="s">
        <v>267</v>
      </c>
      <c r="C35" s="11" t="s">
        <v>75</v>
      </c>
      <c r="G35" s="2" t="s">
        <v>268</v>
      </c>
      <c r="H35" s="41" t="s">
        <v>75</v>
      </c>
      <c r="I35" s="41" t="s">
        <v>75</v>
      </c>
      <c r="J35" s="41" t="s">
        <v>75</v>
      </c>
      <c r="K35" s="41" t="s">
        <v>75</v>
      </c>
      <c r="L35" s="41" t="s">
        <v>75</v>
      </c>
      <c r="M35" s="41" t="s">
        <v>75</v>
      </c>
      <c r="N35" s="41" t="s">
        <v>75</v>
      </c>
      <c r="O35" s="41" t="s">
        <v>75</v>
      </c>
      <c r="P35" s="41" t="s">
        <v>75</v>
      </c>
      <c r="Q35" s="41" t="s">
        <v>75</v>
      </c>
      <c r="R35" s="41" t="s">
        <v>75</v>
      </c>
      <c r="S35" s="41" t="s">
        <v>75</v>
      </c>
      <c r="T35" s="41" t="s">
        <v>75</v>
      </c>
      <c r="U35" s="41" t="s">
        <v>75</v>
      </c>
      <c r="V35" s="41" t="s">
        <v>75</v>
      </c>
      <c r="W35" s="41" t="s">
        <v>75</v>
      </c>
      <c r="X35" s="41" t="s">
        <v>75</v>
      </c>
      <c r="Y35" s="41" t="s">
        <v>75</v>
      </c>
      <c r="Z35" s="41" t="s">
        <v>75</v>
      </c>
      <c r="AA35" s="41" t="s">
        <v>75</v>
      </c>
      <c r="AB35" s="41" t="s">
        <v>75</v>
      </c>
      <c r="AC35" s="41" t="s">
        <v>75</v>
      </c>
      <c r="AD35" s="41" t="s">
        <v>75</v>
      </c>
      <c r="AE35" s="41" t="s">
        <v>75</v>
      </c>
      <c r="AF35" s="41" t="s">
        <v>75</v>
      </c>
      <c r="AG35" s="41" t="s">
        <v>75</v>
      </c>
      <c r="AH35" s="41" t="s">
        <v>75</v>
      </c>
      <c r="AI35" s="41" t="s">
        <v>75</v>
      </c>
      <c r="AJ35" s="41" t="s">
        <v>75</v>
      </c>
      <c r="AK35" s="41" t="s">
        <v>75</v>
      </c>
      <c r="AL35" s="41" t="s">
        <v>75</v>
      </c>
      <c r="AM35" s="41" t="s">
        <v>75</v>
      </c>
      <c r="AN35" s="41" t="s">
        <v>75</v>
      </c>
      <c r="AO35" s="41" t="s">
        <v>75</v>
      </c>
      <c r="AP35" s="41" t="s">
        <v>75</v>
      </c>
      <c r="AQ35" s="41" t="s">
        <v>75</v>
      </c>
      <c r="AR35" s="41" t="s">
        <v>75</v>
      </c>
      <c r="AS35" s="41" t="s">
        <v>75</v>
      </c>
      <c r="AT35" s="41" t="s">
        <v>75</v>
      </c>
      <c r="AU35" s="42" t="str">
        <f>IF('GNI per capita'!AU35&lt;=Thresholds!$C$44,"L",IF('GNI per capita'!AU35&lt;=Thresholds!$D$44,"LM",IF('GNI per capita'!AU35&lt;=Thresholds!$E$44,"UM","H")))</f>
        <v>L</v>
      </c>
      <c r="AV35" s="42" t="str">
        <f>IF('GNI per capita'!AV35&lt;=Thresholds!$C$45,"L",IF('GNI per capita'!AV35&lt;=Thresholds!$D$45,"LM",IF('GNI per capita'!AV35&lt;=Thresholds!$E$45,"UM","H")))</f>
        <v>L</v>
      </c>
      <c r="AW35" s="42" t="str">
        <f>IF('GNI per capita'!AW35&lt;=Thresholds!$C$46,"L",IF('GNI per capita'!AW35&lt;=Thresholds!$D$46,"LM",IF('GNI per capita'!AW35&lt;=Thresholds!$E$46,"UM","H")))</f>
        <v>L</v>
      </c>
      <c r="AX35" s="42" t="str">
        <f>IF('GNI per capita'!AX35&lt;=Thresholds!$C$47,"L",IF('GNI per capita'!AX35&lt;=Thresholds!$D$47,"LM",IF('GNI per capita'!AX35&lt;=Thresholds!$E$47,"UM","H")))</f>
        <v>L</v>
      </c>
      <c r="AY35" s="42" t="str">
        <f>IF('GNI per capita'!AY35&lt;=Thresholds!$C$48,"L",IF('GNI per capita'!AY35&lt;=Thresholds!$D$48,"LM",IF('GNI per capita'!AY35&lt;=Thresholds!$E$48,"UM","H")))</f>
        <v>L</v>
      </c>
      <c r="AZ35" s="42" t="str">
        <f>IF('GNI per capita'!AZ35&lt;=Thresholds!$C$49,"L",IF('GNI per capita'!AZ35&lt;=Thresholds!$D$49,"LM",IF('GNI per capita'!AZ35&lt;=Thresholds!$E$49,"UM","H")))</f>
        <v>L</v>
      </c>
      <c r="BA35" s="42" t="str">
        <f>IF('GNI per capita'!BA35&lt;=Thresholds!$C$50,"L",IF('GNI per capita'!BA35&lt;=Thresholds!$D$50,"LM",IF('GNI per capita'!BA35&lt;=Thresholds!$E$50,"UM","H")))</f>
        <v>L</v>
      </c>
      <c r="BB35" s="42" t="str">
        <f>IF('GNI per capita'!BB35&lt;=Thresholds!$C$51,"L",IF('GNI per capita'!BB35&lt;=Thresholds!$D$51,"LM",IF('GNI per capita'!BB35&lt;=Thresholds!$E$51,"UM","H")))</f>
        <v>L</v>
      </c>
      <c r="BC35" s="42" t="str">
        <f>IF('GNI per capita'!BC35&lt;=Thresholds!$C$52,"L",IF('GNI per capita'!BC35&lt;=Thresholds!$D$52,"LM",IF('GNI per capita'!BC35&lt;=Thresholds!$E$52,"UM","H")))</f>
        <v>L</v>
      </c>
      <c r="BD35" s="42" t="str">
        <f>IF('GNI per capita'!BD35&lt;=Thresholds!$C$53,"L",IF('GNI per capita'!BD35&lt;=Thresholds!$D$53,"LM",IF('GNI per capita'!BD35&lt;=Thresholds!$E$53,"UM","H")))</f>
        <v>L</v>
      </c>
      <c r="BE35" s="42" t="str">
        <f>IF('GNI per capita'!BE35&lt;=Thresholds!$C$54,"L",IF('GNI per capita'!BE35&lt;=Thresholds!$D$54,"LM",IF('GNI per capita'!BE35&lt;=Thresholds!$E$54,"UM","H")))</f>
        <v>L</v>
      </c>
      <c r="BF35" s="42" t="str">
        <f>IF('GNI per capita'!BF35&lt;=Thresholds!$C$55,"L",IF('GNI per capita'!BF35&lt;=Thresholds!$D$55,"LM",IF('GNI per capita'!BF35&lt;=Thresholds!$E$55,"UM","H")))</f>
        <v>L</v>
      </c>
      <c r="BG35" s="42" t="str">
        <f>IF('GNI per capita'!BG35&lt;=Thresholds!$C$56,"L",IF('GNI per capita'!BG35&lt;=Thresholds!$D$56,"LM",IF('GNI per capita'!BG35&lt;=Thresholds!$E$56,"UM","H")))</f>
        <v>L</v>
      </c>
      <c r="BH35" s="42" t="str">
        <f>IF('GNI per capita'!BH35&lt;=Thresholds!$C$57,"L",IF('GNI per capita'!BH35&lt;=Thresholds!$D$57,"LM",IF('GNI per capita'!BH35&lt;=Thresholds!$E$57,"UM","H")))</f>
        <v>L</v>
      </c>
      <c r="BI35" s="42" t="str">
        <f>IF('GNI per capita'!BI35&lt;=Thresholds!$C$58,"L",IF('GNI per capita'!BI35&lt;=Thresholds!$D$58,"LM",IF('GNI per capita'!BI35&lt;=Thresholds!$E$58,"UM","H")))</f>
        <v>L</v>
      </c>
      <c r="BJ35" s="42" t="str">
        <f>IF('GNI per capita'!BJ35&lt;=Thresholds!$C$59,"L",IF('GNI per capita'!BJ35&lt;=Thresholds!$D$59,"LM",IF('GNI per capita'!BJ35&lt;=Thresholds!$E$59,"UM","H")))</f>
        <v>L</v>
      </c>
      <c r="BK35" s="42" t="str">
        <f>IF('GNI per capita'!BK35&lt;=Thresholds!$C$60,"L",IF('GNI per capita'!BK35&lt;=Thresholds!$D$60,"LM",IF('GNI per capita'!BK35&lt;=Thresholds!$E$60,"UM","H")))</f>
        <v>L</v>
      </c>
      <c r="BL35" s="42" t="str">
        <f>IF('GNI per capita'!BL35&lt;=Thresholds!$C$61,"L",IF('GNI per capita'!BL35&lt;=Thresholds!$D$61,"LM",IF('GNI per capita'!BL35&lt;=Thresholds!$E$61,"UM","H")))</f>
        <v>L</v>
      </c>
      <c r="BM35" s="42" t="str">
        <f>IF('GNI per capita'!BM35&lt;=Thresholds!$C$62,"L",IF('GNI per capita'!BM35&lt;=Thresholds!$D$62,"LM",IF('GNI per capita'!BM35&lt;=Thresholds!$E$62,"UM","H")))</f>
        <v>L</v>
      </c>
      <c r="BN35" s="42" t="str">
        <f>IF('GNI per capita'!BN35&lt;=Thresholds!$C$63,"L",IF('GNI per capita'!BN35&lt;=Thresholds!$D$63,"LM",IF('GNI per capita'!BN35&lt;=Thresholds!$E$63,"UM","H")))</f>
        <v>L</v>
      </c>
      <c r="BO35" s="42" t="str">
        <f>IF('GNI per capita'!BO35&lt;=Thresholds!$C$64,"L",IF('GNI per capita'!BO35&lt;=Thresholds!$D$64,"LM",IF('GNI per capita'!BO35&lt;=Thresholds!$E$64,"UM","H")))</f>
        <v>L</v>
      </c>
      <c r="BP35" s="42" t="str">
        <f>IF('GNI per capita'!BP35&lt;=Thresholds!$C$65,"L",IF('GNI per capita'!BP35&lt;=Thresholds!$D$65,"LM",IF('GNI per capita'!BP35&lt;=Thresholds!$E$65,"UM","H")))</f>
        <v>L</v>
      </c>
      <c r="BQ35" s="42" t="str">
        <f>IF('GNI per capita'!BQ35&lt;=Thresholds!$C$66,"L",IF('GNI per capita'!BQ35&lt;=Thresholds!$D$66,"LM",IF('GNI per capita'!BQ35&lt;=Thresholds!$E$66,"UM","H")))</f>
        <v>L</v>
      </c>
      <c r="BR35" s="42" t="str">
        <f>IF('GNI per capita'!BR35&lt;=Thresholds!$C$67,"L",IF('GNI per capita'!BR35&lt;=Thresholds!$D$67,"LM",IF('GNI per capita'!BR35&lt;=Thresholds!$E$67,"UM","H")))</f>
        <v>L</v>
      </c>
      <c r="BS35" s="42" t="str">
        <f>IF('GNI per capita'!BS35&lt;=Thresholds!$C$68,"L",IF('GNI per capita'!BS35&lt;=Thresholds!$D$68,"LM",IF('GNI per capita'!BS35&lt;=Thresholds!$E$68,"UM","H")))</f>
        <v>L</v>
      </c>
    </row>
    <row r="36" spans="1:71" x14ac:dyDescent="0.2">
      <c r="A36" s="2" t="s">
        <v>269</v>
      </c>
      <c r="B36" s="2" t="s">
        <v>270</v>
      </c>
      <c r="C36" s="11" t="s">
        <v>82</v>
      </c>
      <c r="G36" s="2" t="s">
        <v>162</v>
      </c>
      <c r="H36" s="41"/>
      <c r="I36" s="41" t="s">
        <v>210</v>
      </c>
      <c r="J36" s="41" t="s">
        <v>210</v>
      </c>
      <c r="K36" s="41" t="s">
        <v>210</v>
      </c>
      <c r="L36" s="41" t="s">
        <v>210</v>
      </c>
      <c r="M36" s="41" t="s">
        <v>210</v>
      </c>
      <c r="N36" s="41" t="s">
        <v>210</v>
      </c>
      <c r="O36" s="41" t="s">
        <v>210</v>
      </c>
      <c r="P36" s="41" t="s">
        <v>210</v>
      </c>
      <c r="Q36" s="41" t="s">
        <v>210</v>
      </c>
      <c r="R36" s="41" t="s">
        <v>210</v>
      </c>
      <c r="S36" s="41" t="s">
        <v>210</v>
      </c>
      <c r="T36" s="41" t="s">
        <v>210</v>
      </c>
      <c r="U36" s="41" t="s">
        <v>210</v>
      </c>
      <c r="V36" s="41" t="s">
        <v>210</v>
      </c>
      <c r="W36" s="41" t="s">
        <v>210</v>
      </c>
      <c r="X36" s="41" t="s">
        <v>210</v>
      </c>
      <c r="Y36" s="41" t="s">
        <v>210</v>
      </c>
      <c r="Z36" s="41" t="s">
        <v>210</v>
      </c>
      <c r="AA36" s="41" t="s">
        <v>210</v>
      </c>
      <c r="AB36" s="41" t="s">
        <v>210</v>
      </c>
      <c r="AC36" s="41" t="s">
        <v>210</v>
      </c>
      <c r="AD36" s="41" t="s">
        <v>210</v>
      </c>
      <c r="AE36" s="41" t="s">
        <v>210</v>
      </c>
      <c r="AF36" s="41" t="s">
        <v>210</v>
      </c>
      <c r="AG36" s="41" t="s">
        <v>210</v>
      </c>
      <c r="AH36" s="41" t="s">
        <v>210</v>
      </c>
      <c r="AI36" s="41" t="s">
        <v>210</v>
      </c>
      <c r="AJ36" s="41" t="s">
        <v>210</v>
      </c>
      <c r="AK36" s="41" t="s">
        <v>210</v>
      </c>
      <c r="AL36" s="41" t="s">
        <v>210</v>
      </c>
      <c r="AM36" s="41" t="s">
        <v>210</v>
      </c>
      <c r="AN36" s="41" t="s">
        <v>210</v>
      </c>
      <c r="AO36" s="41" t="s">
        <v>210</v>
      </c>
      <c r="AP36" s="41" t="s">
        <v>210</v>
      </c>
      <c r="AQ36" s="41" t="s">
        <v>210</v>
      </c>
      <c r="AR36" s="41" t="s">
        <v>210</v>
      </c>
      <c r="AS36" s="41" t="s">
        <v>82</v>
      </c>
      <c r="AT36" s="41" t="s">
        <v>82</v>
      </c>
      <c r="AU36" s="42" t="str">
        <f>IF('GNI per capita'!AU36&lt;=Thresholds!$C$44,"L",IF('GNI per capita'!AU36&lt;=Thresholds!$D$44,"LM",IF('GNI per capita'!AU36&lt;=Thresholds!$E$44,"UM","H")))</f>
        <v>UM</v>
      </c>
      <c r="AV36" s="42" t="str">
        <f>IF('GNI per capita'!AV36&lt;=Thresholds!$C$45,"L",IF('GNI per capita'!AV36&lt;=Thresholds!$D$45,"LM",IF('GNI per capita'!AV36&lt;=Thresholds!$E$45,"UM","H")))</f>
        <v>UM</v>
      </c>
      <c r="AW36" s="42" t="str">
        <f>IF('GNI per capita'!AW36&lt;=Thresholds!$C$46,"L",IF('GNI per capita'!AW36&lt;=Thresholds!$D$46,"LM",IF('GNI per capita'!AW36&lt;=Thresholds!$E$46,"UM","H")))</f>
        <v>UM</v>
      </c>
      <c r="AX36" s="42" t="str">
        <f>IF('GNI per capita'!AX36&lt;=Thresholds!$C$47,"L",IF('GNI per capita'!AX36&lt;=Thresholds!$D$47,"LM",IF('GNI per capita'!AX36&lt;=Thresholds!$E$47,"UM","H")))</f>
        <v>UM</v>
      </c>
      <c r="AY36" s="42" t="str">
        <f>IF('GNI per capita'!AY36&lt;=Thresholds!$C$48,"L",IF('GNI per capita'!AY36&lt;=Thresholds!$D$48,"LM",IF('GNI per capita'!AY36&lt;=Thresholds!$E$48,"UM","H")))</f>
        <v>UM</v>
      </c>
      <c r="AZ36" s="42" t="str">
        <f>IF('GNI per capita'!AZ36&lt;=Thresholds!$C$49,"L",IF('GNI per capita'!AZ36&lt;=Thresholds!$D$49,"LM",IF('GNI per capita'!AZ36&lt;=Thresholds!$E$49,"UM","H")))</f>
        <v>UM</v>
      </c>
      <c r="BA36" s="42" t="str">
        <f>IF('GNI per capita'!BA36&lt;=Thresholds!$C$50,"L",IF('GNI per capita'!BA36&lt;=Thresholds!$D$50,"LM",IF('GNI per capita'!BA36&lt;=Thresholds!$E$50,"UM","H")))</f>
        <v>UM</v>
      </c>
      <c r="BB36" s="42" t="str">
        <f>IF('GNI per capita'!BB36&lt;=Thresholds!$C$51,"L",IF('GNI per capita'!BB36&lt;=Thresholds!$D$51,"LM",IF('GNI per capita'!BB36&lt;=Thresholds!$E$51,"UM","H")))</f>
        <v>UM</v>
      </c>
      <c r="BC36" s="42" t="str">
        <f>IF('GNI per capita'!BC36&lt;=Thresholds!$C$52,"L",IF('GNI per capita'!BC36&lt;=Thresholds!$D$52,"LM",IF('GNI per capita'!BC36&lt;=Thresholds!$E$52,"UM","H")))</f>
        <v>UM</v>
      </c>
      <c r="BD36" s="42" t="str">
        <f>IF('GNI per capita'!BD36&lt;=Thresholds!$C$53,"L",IF('GNI per capita'!BD36&lt;=Thresholds!$D$53,"LM",IF('GNI per capita'!BD36&lt;=Thresholds!$E$53,"UM","H")))</f>
        <v>UM</v>
      </c>
      <c r="BE36" s="42" t="str">
        <f>IF('GNI per capita'!BE36&lt;=Thresholds!$C$54,"L",IF('GNI per capita'!BE36&lt;=Thresholds!$D$54,"LM",IF('GNI per capita'!BE36&lt;=Thresholds!$E$54,"UM","H")))</f>
        <v>UM</v>
      </c>
      <c r="BF36" s="42" t="str">
        <f>IF('GNI per capita'!BF36&lt;=Thresholds!$C$55,"L",IF('GNI per capita'!BF36&lt;=Thresholds!$D$55,"LM",IF('GNI per capita'!BF36&lt;=Thresholds!$E$55,"UM","H")))</f>
        <v>UM</v>
      </c>
      <c r="BG36" s="42" t="str">
        <f>IF('GNI per capita'!BG36&lt;=Thresholds!$C$56,"L",IF('GNI per capita'!BG36&lt;=Thresholds!$D$56,"LM",IF('GNI per capita'!BG36&lt;=Thresholds!$E$56,"UM","H")))</f>
        <v>UM</v>
      </c>
      <c r="BH36" s="42" t="str">
        <f>IF('GNI per capita'!BH36&lt;=Thresholds!$C$57,"L",IF('GNI per capita'!BH36&lt;=Thresholds!$D$57,"LM",IF('GNI per capita'!BH36&lt;=Thresholds!$E$57,"UM","H")))</f>
        <v>UM</v>
      </c>
      <c r="BI36" s="42" t="str">
        <f>IF('GNI per capita'!BI36&lt;=Thresholds!$C$58,"L",IF('GNI per capita'!BI36&lt;=Thresholds!$D$58,"LM",IF('GNI per capita'!BI36&lt;=Thresholds!$E$58,"UM","H")))</f>
        <v>UM</v>
      </c>
      <c r="BJ36" s="42" t="str">
        <f>IF('GNI per capita'!BJ36&lt;=Thresholds!$C$59,"L",IF('GNI per capita'!BJ36&lt;=Thresholds!$D$59,"LM",IF('GNI per capita'!BJ36&lt;=Thresholds!$E$59,"UM","H")))</f>
        <v>UM</v>
      </c>
      <c r="BK36" s="42" t="str">
        <f>IF('GNI per capita'!BK36&lt;=Thresholds!$C$60,"L",IF('GNI per capita'!BK36&lt;=Thresholds!$D$60,"LM",IF('GNI per capita'!BK36&lt;=Thresholds!$E$60,"UM","H")))</f>
        <v>UM</v>
      </c>
      <c r="BL36" s="42" t="str">
        <f>IF('GNI per capita'!BL36&lt;=Thresholds!$C$61,"L",IF('GNI per capita'!BL36&lt;=Thresholds!$D$61,"LM",IF('GNI per capita'!BL36&lt;=Thresholds!$E$61,"UM","H")))</f>
        <v>H</v>
      </c>
      <c r="BM36" s="42" t="str">
        <f>IF('GNI per capita'!BM36&lt;=Thresholds!$C$62,"L",IF('GNI per capita'!BM36&lt;=Thresholds!$D$62,"LM",IF('GNI per capita'!BM36&lt;=Thresholds!$E$62,"UM","H")))</f>
        <v>H</v>
      </c>
      <c r="BN36" s="42" t="str">
        <f>IF('GNI per capita'!BN36&lt;=Thresholds!$C$63,"L",IF('GNI per capita'!BN36&lt;=Thresholds!$D$63,"LM",IF('GNI per capita'!BN36&lt;=Thresholds!$E$63,"UM","H")))</f>
        <v>H</v>
      </c>
      <c r="BO36" s="42" t="str">
        <f>IF('GNI per capita'!BO36&lt;=Thresholds!$C$64,"L",IF('GNI per capita'!BO36&lt;=Thresholds!$D$64,"LM",IF('GNI per capita'!BO36&lt;=Thresholds!$E$64,"UM","H")))</f>
        <v>H</v>
      </c>
      <c r="BP36" s="42" t="str">
        <f>IF('GNI per capita'!BP36&lt;=Thresholds!$C$65,"L",IF('GNI per capita'!BP36&lt;=Thresholds!$D$65,"LM",IF('GNI per capita'!BP36&lt;=Thresholds!$E$65,"UM","H")))</f>
        <v>H</v>
      </c>
      <c r="BQ36" s="42" t="str">
        <f>IF('GNI per capita'!BQ36&lt;=Thresholds!$C$66,"L",IF('GNI per capita'!BQ36&lt;=Thresholds!$D$66,"LM",IF('GNI per capita'!BQ36&lt;=Thresholds!$E$66,"UM","H")))</f>
        <v>H</v>
      </c>
      <c r="BR36" s="42" t="str">
        <f>IF('GNI per capita'!BR36&lt;=Thresholds!$C$67,"L",IF('GNI per capita'!BR36&lt;=Thresholds!$D$67,"LM",IF('GNI per capita'!BR36&lt;=Thresholds!$E$67,"UM","H")))</f>
        <v>H</v>
      </c>
      <c r="BS36" s="42" t="str">
        <f>IF('GNI per capita'!BS36&lt;=Thresholds!$C$68,"L",IF('GNI per capita'!BS36&lt;=Thresholds!$D$68,"LM",IF('GNI per capita'!BS36&lt;=Thresholds!$E$68,"UM","H")))</f>
        <v>H</v>
      </c>
    </row>
    <row r="37" spans="1:71" x14ac:dyDescent="0.2">
      <c r="A37" s="2" t="s">
        <v>271</v>
      </c>
      <c r="B37" s="2" t="s">
        <v>272</v>
      </c>
      <c r="C37" s="11" t="s">
        <v>210</v>
      </c>
      <c r="G37" s="2" t="s">
        <v>162</v>
      </c>
      <c r="H37" s="41" t="s">
        <v>75</v>
      </c>
      <c r="I37" s="41" t="s">
        <v>75</v>
      </c>
      <c r="J37" s="41" t="s">
        <v>75</v>
      </c>
      <c r="K37" s="41" t="s">
        <v>75</v>
      </c>
      <c r="L37" s="41" t="s">
        <v>75</v>
      </c>
      <c r="M37" s="41" t="s">
        <v>75</v>
      </c>
      <c r="N37" s="41" t="s">
        <v>75</v>
      </c>
      <c r="O37" s="41" t="s">
        <v>75</v>
      </c>
      <c r="P37" s="41" t="s">
        <v>75</v>
      </c>
      <c r="Q37" s="41" t="s">
        <v>75</v>
      </c>
      <c r="R37" s="41" t="s">
        <v>75</v>
      </c>
      <c r="S37" s="41" t="s">
        <v>75</v>
      </c>
      <c r="T37" s="41" t="s">
        <v>75</v>
      </c>
      <c r="U37" s="41" t="s">
        <v>75</v>
      </c>
      <c r="V37" s="41" t="s">
        <v>75</v>
      </c>
      <c r="W37" s="41" t="s">
        <v>75</v>
      </c>
      <c r="X37" s="41" t="s">
        <v>75</v>
      </c>
      <c r="Y37" s="41" t="s">
        <v>75</v>
      </c>
      <c r="Z37" s="41" t="s">
        <v>75</v>
      </c>
      <c r="AA37" s="41" t="s">
        <v>75</v>
      </c>
      <c r="AB37" s="41" t="s">
        <v>75</v>
      </c>
      <c r="AC37" s="41" t="s">
        <v>75</v>
      </c>
      <c r="AD37" s="41" t="s">
        <v>75</v>
      </c>
      <c r="AE37" s="41" t="s">
        <v>75</v>
      </c>
      <c r="AF37" s="41" t="s">
        <v>75</v>
      </c>
      <c r="AG37" s="41" t="s">
        <v>75</v>
      </c>
      <c r="AH37" s="41" t="s">
        <v>75</v>
      </c>
      <c r="AI37" s="41" t="s">
        <v>75</v>
      </c>
      <c r="AJ37" s="41" t="s">
        <v>210</v>
      </c>
      <c r="AK37" s="41" t="s">
        <v>210</v>
      </c>
      <c r="AL37" s="41" t="s">
        <v>210</v>
      </c>
      <c r="AM37" s="41" t="s">
        <v>210</v>
      </c>
      <c r="AN37" s="41" t="s">
        <v>210</v>
      </c>
      <c r="AO37" s="41" t="s">
        <v>210</v>
      </c>
      <c r="AP37" s="41" t="s">
        <v>210</v>
      </c>
      <c r="AQ37" s="41" t="s">
        <v>210</v>
      </c>
      <c r="AR37" s="41" t="s">
        <v>210</v>
      </c>
      <c r="AS37" s="41" t="s">
        <v>210</v>
      </c>
      <c r="AT37" s="41" t="s">
        <v>210</v>
      </c>
      <c r="AU37" s="42" t="str">
        <f>IF('GNI per capita'!AU37&lt;=Thresholds!$C$44,"L",IF('GNI per capita'!AU37&lt;=Thresholds!$D$44,"LM",IF('GNI per capita'!AU37&lt;=Thresholds!$E$44,"UM","H")))</f>
        <v>LM</v>
      </c>
      <c r="AV37" s="42" t="str">
        <f>IF('GNI per capita'!AV37&lt;=Thresholds!$C$45,"L",IF('GNI per capita'!AV37&lt;=Thresholds!$D$45,"LM",IF('GNI per capita'!AV37&lt;=Thresholds!$E$45,"UM","H")))</f>
        <v>LM</v>
      </c>
      <c r="AW37" s="42" t="str">
        <f>IF('GNI per capita'!AW37&lt;=Thresholds!$C$46,"L",IF('GNI per capita'!AW37&lt;=Thresholds!$D$46,"LM",IF('GNI per capita'!AW37&lt;=Thresholds!$E$46,"UM","H")))</f>
        <v>LM</v>
      </c>
      <c r="AX37" s="42" t="str">
        <f>IF('GNI per capita'!AX37&lt;=Thresholds!$C$47,"L",IF('GNI per capita'!AX37&lt;=Thresholds!$D$47,"LM",IF('GNI per capita'!AX37&lt;=Thresholds!$E$47,"UM","H")))</f>
        <v>LM</v>
      </c>
      <c r="AY37" s="42" t="str">
        <f>IF('GNI per capita'!AY37&lt;=Thresholds!$C$48,"L",IF('GNI per capita'!AY37&lt;=Thresholds!$D$48,"LM",IF('GNI per capita'!AY37&lt;=Thresholds!$E$48,"UM","H")))</f>
        <v>LM</v>
      </c>
      <c r="AZ37" s="42" t="str">
        <f>IF('GNI per capita'!AZ37&lt;=Thresholds!$C$49,"L",IF('GNI per capita'!AZ37&lt;=Thresholds!$D$49,"LM",IF('GNI per capita'!AZ37&lt;=Thresholds!$E$49,"UM","H")))</f>
        <v>LM</v>
      </c>
      <c r="BA37" s="42" t="str">
        <f>IF('GNI per capita'!BA37&lt;=Thresholds!$C$50,"L",IF('GNI per capita'!BA37&lt;=Thresholds!$D$50,"LM",IF('GNI per capita'!BA37&lt;=Thresholds!$E$50,"UM","H")))</f>
        <v>LM</v>
      </c>
      <c r="BB37" s="42" t="str">
        <f>IF('GNI per capita'!BB37&lt;=Thresholds!$C$51,"L",IF('GNI per capita'!BB37&lt;=Thresholds!$D$51,"LM",IF('GNI per capita'!BB37&lt;=Thresholds!$E$51,"UM","H")))</f>
        <v>LM</v>
      </c>
      <c r="BC37" s="42" t="str">
        <f>IF('GNI per capita'!BC37&lt;=Thresholds!$C$52,"L",IF('GNI per capita'!BC37&lt;=Thresholds!$D$52,"LM",IF('GNI per capita'!BC37&lt;=Thresholds!$E$52,"UM","H")))</f>
        <v>UM</v>
      </c>
      <c r="BD37" s="42" t="str">
        <f>IF('GNI per capita'!BD37&lt;=Thresholds!$C$53,"L",IF('GNI per capita'!BD37&lt;=Thresholds!$D$53,"LM",IF('GNI per capita'!BD37&lt;=Thresholds!$E$53,"UM","H")))</f>
        <v>UM</v>
      </c>
      <c r="BE37" s="42" t="str">
        <f>IF('GNI per capita'!BE37&lt;=Thresholds!$C$54,"L",IF('GNI per capita'!BE37&lt;=Thresholds!$D$54,"LM",IF('GNI per capita'!BE37&lt;=Thresholds!$E$54,"UM","H")))</f>
        <v>UM</v>
      </c>
      <c r="BF37" s="42" t="str">
        <f>IF('GNI per capita'!BF37&lt;=Thresholds!$C$55,"L",IF('GNI per capita'!BF37&lt;=Thresholds!$D$55,"LM",IF('GNI per capita'!BF37&lt;=Thresholds!$E$55,"UM","H")))</f>
        <v>UM</v>
      </c>
      <c r="BG37" s="42" t="str">
        <f>IF('GNI per capita'!BG37&lt;=Thresholds!$C$56,"L",IF('GNI per capita'!BG37&lt;=Thresholds!$D$56,"LM",IF('GNI per capita'!BG37&lt;=Thresholds!$E$56,"UM","H")))</f>
        <v>UM</v>
      </c>
      <c r="BH37" s="42" t="str">
        <f>IF('GNI per capita'!BH37&lt;=Thresholds!$C$57,"L",IF('GNI per capita'!BH37&lt;=Thresholds!$D$57,"LM",IF('GNI per capita'!BH37&lt;=Thresholds!$E$57,"UM","H")))</f>
        <v>UM</v>
      </c>
      <c r="BI37" s="42" t="str">
        <f>IF('GNI per capita'!BI37&lt;=Thresholds!$C$58,"L",IF('GNI per capita'!BI37&lt;=Thresholds!$D$58,"LM",IF('GNI per capita'!BI37&lt;=Thresholds!$E$58,"UM","H")))</f>
        <v>UM</v>
      </c>
      <c r="BJ37" s="42" t="str">
        <f>IF('GNI per capita'!BJ37&lt;=Thresholds!$C$59,"L",IF('GNI per capita'!BJ37&lt;=Thresholds!$D$59,"LM",IF('GNI per capita'!BJ37&lt;=Thresholds!$E$59,"UM","H")))</f>
        <v>UM</v>
      </c>
      <c r="BK37" s="42" t="str">
        <f>IF('GNI per capita'!BK37&lt;=Thresholds!$C$60,"L",IF('GNI per capita'!BK37&lt;=Thresholds!$D$60,"LM",IF('GNI per capita'!BK37&lt;=Thresholds!$E$60,"UM","H")))</f>
        <v>UM</v>
      </c>
      <c r="BL37" s="42" t="str">
        <f>IF('GNI per capita'!BL37&lt;=Thresholds!$C$61,"L",IF('GNI per capita'!BL37&lt;=Thresholds!$D$61,"LM",IF('GNI per capita'!BL37&lt;=Thresholds!$E$61,"UM","H")))</f>
        <v>UM</v>
      </c>
      <c r="BM37" s="42" t="str">
        <f>IF('GNI per capita'!BM37&lt;=Thresholds!$C$62,"L",IF('GNI per capita'!BM37&lt;=Thresholds!$D$62,"LM",IF('GNI per capita'!BM37&lt;=Thresholds!$E$62,"UM","H")))</f>
        <v>UM</v>
      </c>
      <c r="BN37" s="42" t="str">
        <f>IF('GNI per capita'!BN37&lt;=Thresholds!$C$63,"L",IF('GNI per capita'!BN37&lt;=Thresholds!$D$63,"LM",IF('GNI per capita'!BN37&lt;=Thresholds!$E$63,"UM","H")))</f>
        <v>UM</v>
      </c>
      <c r="BO37" s="42" t="str">
        <f>IF('GNI per capita'!BO37&lt;=Thresholds!$C$64,"L",IF('GNI per capita'!BO37&lt;=Thresholds!$D$64,"LM",IF('GNI per capita'!BO37&lt;=Thresholds!$E$64,"UM","H")))</f>
        <v>UM</v>
      </c>
      <c r="BP37" s="42" t="str">
        <f>IF('GNI per capita'!BP37&lt;=Thresholds!$C$65,"L",IF('GNI per capita'!BP37&lt;=Thresholds!$D$65,"LM",IF('GNI per capita'!BP37&lt;=Thresholds!$E$65,"UM","H")))</f>
        <v>UM</v>
      </c>
      <c r="BQ37" s="42" t="str">
        <f>IF('GNI per capita'!BQ37&lt;=Thresholds!$C$66,"L",IF('GNI per capita'!BQ37&lt;=Thresholds!$D$66,"LM",IF('GNI per capita'!BQ37&lt;=Thresholds!$E$66,"UM","H")))</f>
        <v>UM</v>
      </c>
      <c r="BR37" s="42" t="str">
        <f>IF('GNI per capita'!BR37&lt;=Thresholds!$C$67,"L",IF('GNI per capita'!BR37&lt;=Thresholds!$D$67,"LM",IF('GNI per capita'!BR37&lt;=Thresholds!$E$67,"UM","H")))</f>
        <v>UM</v>
      </c>
      <c r="BS37" s="42" t="str">
        <f>IF('GNI per capita'!BS37&lt;=Thresholds!$C$68,"L",IF('GNI per capita'!BS37&lt;=Thresholds!$D$68,"LM",IF('GNI per capita'!BS37&lt;=Thresholds!$E$68,"UM","H")))</f>
        <v>UM</v>
      </c>
    </row>
    <row r="38" spans="1:71" x14ac:dyDescent="0.2">
      <c r="A38" s="2" t="s">
        <v>273</v>
      </c>
      <c r="B38" s="2" t="s">
        <v>274</v>
      </c>
      <c r="C38" s="11" t="s">
        <v>210</v>
      </c>
      <c r="G38" s="2" t="s">
        <v>162</v>
      </c>
      <c r="H38" s="41" t="s">
        <v>210</v>
      </c>
      <c r="I38" s="41" t="s">
        <v>210</v>
      </c>
      <c r="J38" s="41" t="s">
        <v>210</v>
      </c>
      <c r="K38" s="41" t="s">
        <v>210</v>
      </c>
      <c r="L38" s="41" t="s">
        <v>210</v>
      </c>
      <c r="M38" s="41" t="s">
        <v>210</v>
      </c>
      <c r="N38" s="41" t="s">
        <v>210</v>
      </c>
      <c r="O38" s="41" t="s">
        <v>75</v>
      </c>
      <c r="P38" s="41" t="s">
        <v>75</v>
      </c>
      <c r="Q38" s="41" t="s">
        <v>75</v>
      </c>
      <c r="R38" s="41" t="s">
        <v>75</v>
      </c>
      <c r="S38" s="41" t="s">
        <v>75</v>
      </c>
      <c r="T38" s="41" t="s">
        <v>75</v>
      </c>
      <c r="U38" s="41" t="s">
        <v>75</v>
      </c>
      <c r="V38" s="41" t="s">
        <v>75</v>
      </c>
      <c r="W38" s="41" t="s">
        <v>75</v>
      </c>
      <c r="X38" s="41" t="s">
        <v>75</v>
      </c>
      <c r="Y38" s="41" t="s">
        <v>75</v>
      </c>
      <c r="Z38" s="41" t="s">
        <v>210</v>
      </c>
      <c r="AA38" s="41" t="s">
        <v>210</v>
      </c>
      <c r="AB38" s="41" t="s">
        <v>210</v>
      </c>
      <c r="AC38" s="41" t="s">
        <v>210</v>
      </c>
      <c r="AD38" s="41" t="s">
        <v>210</v>
      </c>
      <c r="AE38" s="41" t="s">
        <v>210</v>
      </c>
      <c r="AF38" s="41" t="s">
        <v>210</v>
      </c>
      <c r="AG38" s="41" t="s">
        <v>210</v>
      </c>
      <c r="AH38" s="41" t="s">
        <v>210</v>
      </c>
      <c r="AI38" s="41" t="s">
        <v>210</v>
      </c>
      <c r="AJ38" s="41" t="s">
        <v>210</v>
      </c>
      <c r="AK38" s="41" t="s">
        <v>210</v>
      </c>
      <c r="AL38" s="41" t="s">
        <v>210</v>
      </c>
      <c r="AM38" s="41" t="s">
        <v>210</v>
      </c>
      <c r="AN38" s="41" t="s">
        <v>210</v>
      </c>
      <c r="AO38" s="41" t="s">
        <v>210</v>
      </c>
      <c r="AP38" s="41" t="s">
        <v>210</v>
      </c>
      <c r="AQ38" s="41" t="s">
        <v>210</v>
      </c>
      <c r="AR38" s="41" t="s">
        <v>210</v>
      </c>
      <c r="AS38" s="41" t="s">
        <v>210</v>
      </c>
      <c r="AT38" s="41" t="s">
        <v>210</v>
      </c>
      <c r="AU38" s="42" t="str">
        <f>IF('GNI per capita'!AU38&lt;=Thresholds!$C$44,"L",IF('GNI per capita'!AU38&lt;=Thresholds!$D$44,"LM",IF('GNI per capita'!AU38&lt;=Thresholds!$E$44,"UM","H")))</f>
        <v>LM</v>
      </c>
      <c r="AV38" s="42" t="str">
        <f>IF('GNI per capita'!AV38&lt;=Thresholds!$C$45,"L",IF('GNI per capita'!AV38&lt;=Thresholds!$D$45,"LM",IF('GNI per capita'!AV38&lt;=Thresholds!$E$45,"UM","H")))</f>
        <v>LM</v>
      </c>
      <c r="AW38" s="42" t="str">
        <f>IF('GNI per capita'!AW38&lt;=Thresholds!$C$46,"L",IF('GNI per capita'!AW38&lt;=Thresholds!$D$46,"LM",IF('GNI per capita'!AW38&lt;=Thresholds!$E$46,"UM","H")))</f>
        <v>LM</v>
      </c>
      <c r="AX38" s="42" t="str">
        <f>IF('GNI per capita'!AX38&lt;=Thresholds!$C$47,"L",IF('GNI per capita'!AX38&lt;=Thresholds!$D$47,"LM",IF('GNI per capita'!AX38&lt;=Thresholds!$E$47,"UM","H")))</f>
        <v>LM</v>
      </c>
      <c r="AY38" s="42" t="str">
        <f>IF('GNI per capita'!AY38&lt;=Thresholds!$C$48,"L",IF('GNI per capita'!AY38&lt;=Thresholds!$D$48,"LM",IF('GNI per capita'!AY38&lt;=Thresholds!$E$48,"UM","H")))</f>
        <v>LM</v>
      </c>
      <c r="AZ38" s="42" t="str">
        <f>IF('GNI per capita'!AZ38&lt;=Thresholds!$C$49,"L",IF('GNI per capita'!AZ38&lt;=Thresholds!$D$49,"LM",IF('GNI per capita'!AZ38&lt;=Thresholds!$E$49,"UM","H")))</f>
        <v>LM</v>
      </c>
      <c r="BA38" s="42" t="str">
        <f>IF('GNI per capita'!BA38&lt;=Thresholds!$C$50,"L",IF('GNI per capita'!BA38&lt;=Thresholds!$D$50,"LM",IF('GNI per capita'!BA38&lt;=Thresholds!$E$50,"UM","H")))</f>
        <v>LM</v>
      </c>
      <c r="BB38" s="42" t="str">
        <f>IF('GNI per capita'!BB38&lt;=Thresholds!$C$51,"L",IF('GNI per capita'!BB38&lt;=Thresholds!$D$51,"LM",IF('GNI per capita'!BB38&lt;=Thresholds!$E$51,"UM","H")))</f>
        <v>LM</v>
      </c>
      <c r="BC38" s="42" t="str">
        <f>IF('GNI per capita'!BC38&lt;=Thresholds!$C$52,"L",IF('GNI per capita'!BC38&lt;=Thresholds!$D$52,"LM",IF('GNI per capita'!BC38&lt;=Thresholds!$E$52,"UM","H")))</f>
        <v>LM</v>
      </c>
      <c r="BD38" s="42" t="str">
        <f>IF('GNI per capita'!BD38&lt;=Thresholds!$C$53,"L",IF('GNI per capita'!BD38&lt;=Thresholds!$D$53,"LM",IF('GNI per capita'!BD38&lt;=Thresholds!$E$53,"UM","H")))</f>
        <v>LM</v>
      </c>
      <c r="BE38" s="42" t="str">
        <f>IF('GNI per capita'!BE38&lt;=Thresholds!$C$54,"L",IF('GNI per capita'!BE38&lt;=Thresholds!$D$54,"LM",IF('GNI per capita'!BE38&lt;=Thresholds!$E$54,"UM","H")))</f>
        <v>LM</v>
      </c>
      <c r="BF38" s="42" t="str">
        <f>IF('GNI per capita'!BF38&lt;=Thresholds!$C$55,"L",IF('GNI per capita'!BF38&lt;=Thresholds!$D$55,"LM",IF('GNI per capita'!BF38&lt;=Thresholds!$E$55,"UM","H")))</f>
        <v>LM</v>
      </c>
      <c r="BG38" s="42" t="str">
        <f>IF('GNI per capita'!BG38&lt;=Thresholds!$C$56,"L",IF('GNI per capita'!BG38&lt;=Thresholds!$D$56,"LM",IF('GNI per capita'!BG38&lt;=Thresholds!$E$56,"UM","H")))</f>
        <v>LM</v>
      </c>
      <c r="BH38" s="42" t="str">
        <f>IF('GNI per capita'!BH38&lt;=Thresholds!$C$57,"L",IF('GNI per capita'!BH38&lt;=Thresholds!$D$57,"LM",IF('GNI per capita'!BH38&lt;=Thresholds!$E$57,"UM","H")))</f>
        <v>LM</v>
      </c>
      <c r="BI38" s="42" t="str">
        <f>IF('GNI per capita'!BI38&lt;=Thresholds!$C$58,"L",IF('GNI per capita'!BI38&lt;=Thresholds!$D$58,"LM",IF('GNI per capita'!BI38&lt;=Thresholds!$E$58,"UM","H")))</f>
        <v>LM</v>
      </c>
      <c r="BJ38" s="42" t="str">
        <f>IF('GNI per capita'!BJ38&lt;=Thresholds!$C$59,"L",IF('GNI per capita'!BJ38&lt;=Thresholds!$D$59,"LM",IF('GNI per capita'!BJ38&lt;=Thresholds!$E$59,"UM","H")))</f>
        <v>LM</v>
      </c>
      <c r="BK38" s="42" t="str">
        <f>IF('GNI per capita'!BK38&lt;=Thresholds!$C$60,"L",IF('GNI per capita'!BK38&lt;=Thresholds!$D$60,"LM",IF('GNI per capita'!BK38&lt;=Thresholds!$E$60,"UM","H")))</f>
        <v>LM</v>
      </c>
      <c r="BL38" s="42" t="str">
        <f>IF('GNI per capita'!BL38&lt;=Thresholds!$C$61,"L",IF('GNI per capita'!BL38&lt;=Thresholds!$D$61,"LM",IF('GNI per capita'!BL38&lt;=Thresholds!$E$61,"UM","H")))</f>
        <v>LM</v>
      </c>
      <c r="BM38" s="42" t="str">
        <f>IF('GNI per capita'!BM38&lt;=Thresholds!$C$62,"L",IF('GNI per capita'!BM38&lt;=Thresholds!$D$62,"LM",IF('GNI per capita'!BM38&lt;=Thresholds!$E$62,"UM","H")))</f>
        <v>LM</v>
      </c>
      <c r="BN38" s="42" t="str">
        <f>IF('GNI per capita'!BN38&lt;=Thresholds!$C$63,"L",IF('GNI per capita'!BN38&lt;=Thresholds!$D$63,"LM",IF('GNI per capita'!BN38&lt;=Thresholds!$E$63,"UM","H")))</f>
        <v>LM</v>
      </c>
      <c r="BO38" s="42" t="str">
        <f>IF('GNI per capita'!BO38&lt;=Thresholds!$C$64,"L",IF('GNI per capita'!BO38&lt;=Thresholds!$D$64,"LM",IF('GNI per capita'!BO38&lt;=Thresholds!$E$64,"UM","H")))</f>
        <v>LM</v>
      </c>
      <c r="BP38" s="42" t="str">
        <f>IF('GNI per capita'!BP38&lt;=Thresholds!$C$65,"L",IF('GNI per capita'!BP38&lt;=Thresholds!$D$65,"LM",IF('GNI per capita'!BP38&lt;=Thresholds!$E$65,"UM","H")))</f>
        <v>LM</v>
      </c>
      <c r="BQ38" s="42" t="str">
        <f>IF('GNI per capita'!BQ38&lt;=Thresholds!$C$66,"L",IF('GNI per capita'!BQ38&lt;=Thresholds!$D$66,"LM",IF('GNI per capita'!BQ38&lt;=Thresholds!$E$66,"UM","H")))</f>
        <v>LM</v>
      </c>
      <c r="BR38" s="42" t="str">
        <f>IF('GNI per capita'!BR38&lt;=Thresholds!$C$67,"L",IF('GNI per capita'!BR38&lt;=Thresholds!$D$67,"LM",IF('GNI per capita'!BR38&lt;=Thresholds!$E$67,"UM","H")))</f>
        <v>LM</v>
      </c>
      <c r="BS38" s="42" t="str">
        <f>IF('GNI per capita'!BS38&lt;=Thresholds!$C$68,"L",IF('GNI per capita'!BS38&lt;=Thresholds!$D$68,"LM",IF('GNI per capita'!BS38&lt;=Thresholds!$E$68,"UM","H")))</f>
        <v>LM</v>
      </c>
    </row>
    <row r="39" spans="1:71" x14ac:dyDescent="0.2">
      <c r="A39" s="2" t="s">
        <v>275</v>
      </c>
      <c r="B39" s="2" t="s">
        <v>276</v>
      </c>
      <c r="C39" s="11" t="s">
        <v>79</v>
      </c>
      <c r="G39" s="2" t="s">
        <v>162</v>
      </c>
      <c r="H39" s="41" t="s">
        <v>79</v>
      </c>
      <c r="I39" s="41" t="s">
        <v>79</v>
      </c>
      <c r="J39" s="41" t="s">
        <v>79</v>
      </c>
      <c r="K39" s="41" t="s">
        <v>79</v>
      </c>
      <c r="L39" s="41" t="s">
        <v>79</v>
      </c>
      <c r="M39" s="41" t="s">
        <v>79</v>
      </c>
      <c r="N39" s="41" t="s">
        <v>79</v>
      </c>
      <c r="O39" s="41" t="s">
        <v>79</v>
      </c>
      <c r="P39" s="41" t="s">
        <v>79</v>
      </c>
      <c r="Q39" s="41" t="s">
        <v>79</v>
      </c>
      <c r="R39" s="41" t="s">
        <v>79</v>
      </c>
      <c r="S39" s="41" t="s">
        <v>79</v>
      </c>
      <c r="T39" s="41" t="s">
        <v>79</v>
      </c>
      <c r="U39" s="41" t="s">
        <v>79</v>
      </c>
      <c r="V39" s="41" t="s">
        <v>79</v>
      </c>
      <c r="W39" s="41" t="s">
        <v>79</v>
      </c>
      <c r="X39" s="41" t="s">
        <v>79</v>
      </c>
      <c r="Y39" s="41" t="s">
        <v>79</v>
      </c>
      <c r="Z39" s="41" t="s">
        <v>79</v>
      </c>
      <c r="AA39" s="41" t="s">
        <v>79</v>
      </c>
      <c r="AB39" s="41" t="s">
        <v>79</v>
      </c>
      <c r="AC39" s="41" t="s">
        <v>79</v>
      </c>
      <c r="AD39" s="41" t="s">
        <v>79</v>
      </c>
      <c r="AE39" s="41" t="s">
        <v>79</v>
      </c>
      <c r="AF39" s="41" t="s">
        <v>79</v>
      </c>
      <c r="AG39" s="41" t="s">
        <v>79</v>
      </c>
      <c r="AH39" s="41" t="s">
        <v>79</v>
      </c>
      <c r="AI39" s="41" t="s">
        <v>79</v>
      </c>
      <c r="AJ39" s="41" t="s">
        <v>79</v>
      </c>
      <c r="AK39" s="41" t="s">
        <v>79</v>
      </c>
      <c r="AL39" s="41" t="s">
        <v>79</v>
      </c>
      <c r="AM39" s="41" t="s">
        <v>79</v>
      </c>
      <c r="AN39" s="41" t="s">
        <v>79</v>
      </c>
      <c r="AO39" s="41" t="s">
        <v>79</v>
      </c>
      <c r="AP39" s="41" t="s">
        <v>79</v>
      </c>
      <c r="AQ39" s="41" t="s">
        <v>79</v>
      </c>
      <c r="AR39" s="41" t="s">
        <v>79</v>
      </c>
      <c r="AS39" s="41" t="s">
        <v>79</v>
      </c>
      <c r="AT39" s="41" t="s">
        <v>79</v>
      </c>
      <c r="AU39" s="42" t="str">
        <f>IF('GNI per capita'!AU39&lt;=Thresholds!$C$44,"L",IF('GNI per capita'!AU39&lt;=Thresholds!$D$44,"LM",IF('GNI per capita'!AU39&lt;=Thresholds!$E$44,"UM","H")))</f>
        <v>H</v>
      </c>
      <c r="AV39" s="42" t="str">
        <f>IF('GNI per capita'!AV39&lt;=Thresholds!$C$45,"L",IF('GNI per capita'!AV39&lt;=Thresholds!$D$45,"LM",IF('GNI per capita'!AV39&lt;=Thresholds!$E$45,"UM","H")))</f>
        <v>H</v>
      </c>
      <c r="AW39" s="42" t="str">
        <f>IF('GNI per capita'!AW39&lt;=Thresholds!$C$46,"L",IF('GNI per capita'!AW39&lt;=Thresholds!$D$46,"LM",IF('GNI per capita'!AW39&lt;=Thresholds!$E$46,"UM","H")))</f>
        <v>H</v>
      </c>
      <c r="AX39" s="42" t="str">
        <f>IF('GNI per capita'!AX39&lt;=Thresholds!$C$47,"L",IF('GNI per capita'!AX39&lt;=Thresholds!$D$47,"LM",IF('GNI per capita'!AX39&lt;=Thresholds!$E$47,"UM","H")))</f>
        <v>H</v>
      </c>
      <c r="AY39" s="42" t="str">
        <f>IF('GNI per capita'!AY39&lt;=Thresholds!$C$48,"L",IF('GNI per capita'!AY39&lt;=Thresholds!$D$48,"LM",IF('GNI per capita'!AY39&lt;=Thresholds!$E$48,"UM","H")))</f>
        <v>H</v>
      </c>
      <c r="AZ39" s="42" t="str">
        <f>IF('GNI per capita'!AZ39&lt;=Thresholds!$C$49,"L",IF('GNI per capita'!AZ39&lt;=Thresholds!$D$49,"LM",IF('GNI per capita'!AZ39&lt;=Thresholds!$E$49,"UM","H")))</f>
        <v>H</v>
      </c>
      <c r="BA39" s="42" t="str">
        <f>IF('GNI per capita'!BA39&lt;=Thresholds!$C$50,"L",IF('GNI per capita'!BA39&lt;=Thresholds!$D$50,"LM",IF('GNI per capita'!BA39&lt;=Thresholds!$E$50,"UM","H")))</f>
        <v>H</v>
      </c>
      <c r="BB39" s="42" t="str">
        <f>IF('GNI per capita'!BB39&lt;=Thresholds!$C$51,"L",IF('GNI per capita'!BB39&lt;=Thresholds!$D$51,"LM",IF('GNI per capita'!BB39&lt;=Thresholds!$E$51,"UM","H")))</f>
        <v>H</v>
      </c>
      <c r="BC39" s="42" t="str">
        <f>IF('GNI per capita'!BC39&lt;=Thresholds!$C$52,"L",IF('GNI per capita'!BC39&lt;=Thresholds!$D$52,"LM",IF('GNI per capita'!BC39&lt;=Thresholds!$E$52,"UM","H")))</f>
        <v>H</v>
      </c>
      <c r="BD39" s="42" t="str">
        <f>IF('GNI per capita'!BD39&lt;=Thresholds!$C$53,"L",IF('GNI per capita'!BD39&lt;=Thresholds!$D$53,"LM",IF('GNI per capita'!BD39&lt;=Thresholds!$E$53,"UM","H")))</f>
        <v>H</v>
      </c>
      <c r="BE39" s="42" t="str">
        <f>IF('GNI per capita'!BE39&lt;=Thresholds!$C$54,"L",IF('GNI per capita'!BE39&lt;=Thresholds!$D$54,"LM",IF('GNI per capita'!BE39&lt;=Thresholds!$E$54,"UM","H")))</f>
        <v>H</v>
      </c>
      <c r="BF39" s="42" t="str">
        <f>IF('GNI per capita'!BF39&lt;=Thresholds!$C$55,"L",IF('GNI per capita'!BF39&lt;=Thresholds!$D$55,"LM",IF('GNI per capita'!BF39&lt;=Thresholds!$E$55,"UM","H")))</f>
        <v>H</v>
      </c>
      <c r="BG39" s="42" t="str">
        <f>IF('GNI per capita'!BG39&lt;=Thresholds!$C$56,"L",IF('GNI per capita'!BG39&lt;=Thresholds!$D$56,"LM",IF('GNI per capita'!BG39&lt;=Thresholds!$E$56,"UM","H")))</f>
        <v>H</v>
      </c>
      <c r="BH39" s="42" t="str">
        <f>IF('GNI per capita'!BH39&lt;=Thresholds!$C$57,"L",IF('GNI per capita'!BH39&lt;=Thresholds!$D$57,"LM",IF('GNI per capita'!BH39&lt;=Thresholds!$E$57,"UM","H")))</f>
        <v>H</v>
      </c>
      <c r="BI39" s="42" t="str">
        <f>IF('GNI per capita'!BI39&lt;=Thresholds!$C$58,"L",IF('GNI per capita'!BI39&lt;=Thresholds!$D$58,"LM",IF('GNI per capita'!BI39&lt;=Thresholds!$E$58,"UM","H")))</f>
        <v>H</v>
      </c>
      <c r="BJ39" s="42" t="str">
        <f>IF('GNI per capita'!BJ39&lt;=Thresholds!$C$59,"L",IF('GNI per capita'!BJ39&lt;=Thresholds!$D$59,"LM",IF('GNI per capita'!BJ39&lt;=Thresholds!$E$59,"UM","H")))</f>
        <v>H</v>
      </c>
      <c r="BK39" s="42" t="str">
        <f>IF('GNI per capita'!BK39&lt;=Thresholds!$C$60,"L",IF('GNI per capita'!BK39&lt;=Thresholds!$D$60,"LM",IF('GNI per capita'!BK39&lt;=Thresholds!$E$60,"UM","H")))</f>
        <v>H</v>
      </c>
      <c r="BL39" s="42" t="str">
        <f>IF('GNI per capita'!BL39&lt;=Thresholds!$C$61,"L",IF('GNI per capita'!BL39&lt;=Thresholds!$D$61,"LM",IF('GNI per capita'!BL39&lt;=Thresholds!$E$61,"UM","H")))</f>
        <v>H</v>
      </c>
      <c r="BM39" s="42" t="str">
        <f>IF('GNI per capita'!BM39&lt;=Thresholds!$C$62,"L",IF('GNI per capita'!BM39&lt;=Thresholds!$D$62,"LM",IF('GNI per capita'!BM39&lt;=Thresholds!$E$62,"UM","H")))</f>
        <v>H</v>
      </c>
      <c r="BN39" s="42" t="str">
        <f>IF('GNI per capita'!BN39&lt;=Thresholds!$C$63,"L",IF('GNI per capita'!BN39&lt;=Thresholds!$D$63,"LM",IF('GNI per capita'!BN39&lt;=Thresholds!$E$63,"UM","H")))</f>
        <v>H</v>
      </c>
      <c r="BO39" s="42" t="str">
        <f>IF('GNI per capita'!BO39&lt;=Thresholds!$C$64,"L",IF('GNI per capita'!BO39&lt;=Thresholds!$D$64,"LM",IF('GNI per capita'!BO39&lt;=Thresholds!$E$64,"UM","H")))</f>
        <v>H</v>
      </c>
      <c r="BP39" s="42" t="str">
        <f>IF('GNI per capita'!BP39&lt;=Thresholds!$C$65,"L",IF('GNI per capita'!BP39&lt;=Thresholds!$D$65,"LM",IF('GNI per capita'!BP39&lt;=Thresholds!$E$65,"UM","H")))</f>
        <v>H</v>
      </c>
      <c r="BQ39" s="42" t="str">
        <f>IF('GNI per capita'!BQ39&lt;=Thresholds!$C$66,"L",IF('GNI per capita'!BQ39&lt;=Thresholds!$D$66,"LM",IF('GNI per capita'!BQ39&lt;=Thresholds!$E$66,"UM","H")))</f>
        <v>H</v>
      </c>
      <c r="BR39" s="42" t="str">
        <f>IF('GNI per capita'!BR39&lt;=Thresholds!$C$67,"L",IF('GNI per capita'!BR39&lt;=Thresholds!$D$67,"LM",IF('GNI per capita'!BR39&lt;=Thresholds!$E$67,"UM","H")))</f>
        <v>H</v>
      </c>
      <c r="BS39" s="42" t="str">
        <f>IF('GNI per capita'!BS39&lt;=Thresholds!$C$68,"L",IF('GNI per capita'!BS39&lt;=Thresholds!$D$68,"LM",IF('GNI per capita'!BS39&lt;=Thresholds!$E$68,"UM","H")))</f>
        <v>H</v>
      </c>
    </row>
    <row r="40" spans="1:71" x14ac:dyDescent="0.2">
      <c r="A40" s="2" t="s">
        <v>277</v>
      </c>
      <c r="B40" s="2" t="s">
        <v>278</v>
      </c>
      <c r="C40" s="11" t="s">
        <v>79</v>
      </c>
      <c r="G40" s="2" t="s">
        <v>279</v>
      </c>
      <c r="H40" s="41"/>
      <c r="I40" s="41"/>
      <c r="J40" s="41"/>
      <c r="K40" s="41"/>
      <c r="L40" s="41"/>
      <c r="M40" s="41"/>
      <c r="N40" s="41" t="s">
        <v>79</v>
      </c>
      <c r="O40" s="41" t="s">
        <v>79</v>
      </c>
      <c r="P40" s="41" t="s">
        <v>79</v>
      </c>
      <c r="Q40" s="41" t="s">
        <v>79</v>
      </c>
      <c r="R40" s="41" t="s">
        <v>79</v>
      </c>
      <c r="S40" s="41" t="s">
        <v>79</v>
      </c>
      <c r="T40" s="41" t="s">
        <v>79</v>
      </c>
      <c r="U40" s="41" t="s">
        <v>79</v>
      </c>
      <c r="V40" s="41" t="s">
        <v>79</v>
      </c>
      <c r="W40" s="41" t="s">
        <v>79</v>
      </c>
      <c r="X40" s="41" t="s">
        <v>79</v>
      </c>
      <c r="Y40" s="41" t="s">
        <v>79</v>
      </c>
      <c r="Z40" s="41" t="s">
        <v>79</v>
      </c>
      <c r="AA40" s="41" t="s">
        <v>79</v>
      </c>
      <c r="AB40" s="41" t="s">
        <v>79</v>
      </c>
      <c r="AC40" s="41" t="s">
        <v>79</v>
      </c>
      <c r="AD40" s="41" t="s">
        <v>79</v>
      </c>
      <c r="AE40" s="41" t="s">
        <v>79</v>
      </c>
      <c r="AF40" s="41" t="s">
        <v>79</v>
      </c>
      <c r="AG40" s="41" t="s">
        <v>79</v>
      </c>
      <c r="AH40" s="41" t="s">
        <v>79</v>
      </c>
      <c r="AI40" s="41" t="s">
        <v>79</v>
      </c>
      <c r="AJ40" s="41" t="s">
        <v>79</v>
      </c>
      <c r="AK40" s="41" t="s">
        <v>79</v>
      </c>
      <c r="AL40" s="41" t="s">
        <v>79</v>
      </c>
      <c r="AM40" s="41" t="s">
        <v>79</v>
      </c>
      <c r="AN40" s="41" t="s">
        <v>79</v>
      </c>
      <c r="AO40" s="41" t="s">
        <v>79</v>
      </c>
      <c r="AP40" s="41" t="s">
        <v>79</v>
      </c>
      <c r="AQ40" s="41" t="s">
        <v>79</v>
      </c>
      <c r="AR40" s="41" t="s">
        <v>79</v>
      </c>
      <c r="AS40" s="41" t="s">
        <v>79</v>
      </c>
      <c r="AT40" s="41" t="s">
        <v>79</v>
      </c>
      <c r="AU40" s="42" t="str">
        <f>IF('GNI per capita'!AU40&lt;=Thresholds!$C$44,"L",IF('GNI per capita'!AU40&lt;=Thresholds!$D$44,"LM",IF('GNI per capita'!AU40&lt;=Thresholds!$E$44,"UM","H")))</f>
        <v>H</v>
      </c>
      <c r="AV40" s="42" t="str">
        <f>IF('GNI per capita'!AV40&lt;=Thresholds!$C$45,"L",IF('GNI per capita'!AV40&lt;=Thresholds!$D$45,"LM",IF('GNI per capita'!AV40&lt;=Thresholds!$E$45,"UM","H")))</f>
        <v>H</v>
      </c>
      <c r="AW40" s="42" t="str">
        <f>IF('GNI per capita'!AW40&lt;=Thresholds!$C$46,"L",IF('GNI per capita'!AW40&lt;=Thresholds!$D$46,"LM",IF('GNI per capita'!AW40&lt;=Thresholds!$E$46,"UM","H")))</f>
        <v>H</v>
      </c>
      <c r="AX40" s="42" t="str">
        <f>IF('GNI per capita'!AX40&lt;=Thresholds!$C$47,"L",IF('GNI per capita'!AX40&lt;=Thresholds!$D$47,"LM",IF('GNI per capita'!AX40&lt;=Thresholds!$E$47,"UM","H")))</f>
        <v>H</v>
      </c>
      <c r="AY40" s="42" t="str">
        <f>IF('GNI per capita'!AY40&lt;=Thresholds!$C$48,"L",IF('GNI per capita'!AY40&lt;=Thresholds!$D$48,"LM",IF('GNI per capita'!AY40&lt;=Thresholds!$E$48,"UM","H")))</f>
        <v>H</v>
      </c>
      <c r="AZ40" s="42" t="str">
        <f>IF('GNI per capita'!AZ40&lt;=Thresholds!$C$49,"L",IF('GNI per capita'!AZ40&lt;=Thresholds!$D$49,"LM",IF('GNI per capita'!AZ40&lt;=Thresholds!$E$49,"UM","H")))</f>
        <v>H</v>
      </c>
      <c r="BA40" s="42" t="str">
        <f>IF('GNI per capita'!BA40&lt;=Thresholds!$C$50,"L",IF('GNI per capita'!BA40&lt;=Thresholds!$D$50,"LM",IF('GNI per capita'!BA40&lt;=Thresholds!$E$50,"UM","H")))</f>
        <v>H</v>
      </c>
      <c r="BB40" s="42" t="str">
        <f>IF('GNI per capita'!BB40&lt;=Thresholds!$C$51,"L",IF('GNI per capita'!BB40&lt;=Thresholds!$D$51,"LM",IF('GNI per capita'!BB40&lt;=Thresholds!$E$51,"UM","H")))</f>
        <v>H</v>
      </c>
      <c r="BC40" s="42" t="str">
        <f>IF('GNI per capita'!BC40&lt;=Thresholds!$C$52,"L",IF('GNI per capita'!BC40&lt;=Thresholds!$D$52,"LM",IF('GNI per capita'!BC40&lt;=Thresholds!$E$52,"UM","H")))</f>
        <v>H</v>
      </c>
      <c r="BD40" s="42" t="str">
        <f>IF('GNI per capita'!BD40&lt;=Thresholds!$C$53,"L",IF('GNI per capita'!BD40&lt;=Thresholds!$D$53,"LM",IF('GNI per capita'!BD40&lt;=Thresholds!$E$53,"UM","H")))</f>
        <v>H</v>
      </c>
      <c r="BE40" s="42" t="str">
        <f>IF('GNI per capita'!BE40&lt;=Thresholds!$C$54,"L",IF('GNI per capita'!BE40&lt;=Thresholds!$D$54,"LM",IF('GNI per capita'!BE40&lt;=Thresholds!$E$54,"UM","H")))</f>
        <v>H</v>
      </c>
      <c r="BF40" s="42" t="str">
        <f>IF('GNI per capita'!BF40&lt;=Thresholds!$C$55,"L",IF('GNI per capita'!BF40&lt;=Thresholds!$D$55,"LM",IF('GNI per capita'!BF40&lt;=Thresholds!$E$55,"UM","H")))</f>
        <v>H</v>
      </c>
      <c r="BG40" s="42" t="str">
        <f>IF('GNI per capita'!BG40&lt;=Thresholds!$C$56,"L",IF('GNI per capita'!BG40&lt;=Thresholds!$D$56,"LM",IF('GNI per capita'!BG40&lt;=Thresholds!$E$56,"UM","H")))</f>
        <v>H</v>
      </c>
      <c r="BH40" s="42" t="str">
        <f>IF('GNI per capita'!BH40&lt;=Thresholds!$C$57,"L",IF('GNI per capita'!BH40&lt;=Thresholds!$D$57,"LM",IF('GNI per capita'!BH40&lt;=Thresholds!$E$57,"UM","H")))</f>
        <v>H</v>
      </c>
      <c r="BI40" s="42" t="str">
        <f>IF('GNI per capita'!BI40&lt;=Thresholds!$C$58,"L",IF('GNI per capita'!BI40&lt;=Thresholds!$D$58,"LM",IF('GNI per capita'!BI40&lt;=Thresholds!$E$58,"UM","H")))</f>
        <v>H</v>
      </c>
      <c r="BJ40" s="42" t="str">
        <f>IF('GNI per capita'!BJ40&lt;=Thresholds!$C$59,"L",IF('GNI per capita'!BJ40&lt;=Thresholds!$D$59,"LM",IF('GNI per capita'!BJ40&lt;=Thresholds!$E$59,"UM","H")))</f>
        <v>H</v>
      </c>
      <c r="BK40" s="42" t="str">
        <f>IF('GNI per capita'!BK40&lt;=Thresholds!$C$60,"L",IF('GNI per capita'!BK40&lt;=Thresholds!$D$60,"LM",IF('GNI per capita'!BK40&lt;=Thresholds!$E$60,"UM","H")))</f>
        <v>H</v>
      </c>
      <c r="BL40" s="42" t="str">
        <f>IF('GNI per capita'!BL40&lt;=Thresholds!$C$61,"L",IF('GNI per capita'!BL40&lt;=Thresholds!$D$61,"LM",IF('GNI per capita'!BL40&lt;=Thresholds!$E$61,"UM","H")))</f>
        <v>H</v>
      </c>
      <c r="BM40" s="42" t="str">
        <f>IF('GNI per capita'!BM40&lt;=Thresholds!$C$62,"L",IF('GNI per capita'!BM40&lt;=Thresholds!$D$62,"LM",IF('GNI per capita'!BM40&lt;=Thresholds!$E$62,"UM","H")))</f>
        <v>H</v>
      </c>
      <c r="BN40" s="42" t="str">
        <f>IF('GNI per capita'!BN40&lt;=Thresholds!$C$63,"L",IF('GNI per capita'!BN40&lt;=Thresholds!$D$63,"LM",IF('GNI per capita'!BN40&lt;=Thresholds!$E$63,"UM","H")))</f>
        <v>H</v>
      </c>
      <c r="BO40" s="42" t="str">
        <f>IF('GNI per capita'!BO40&lt;=Thresholds!$C$64,"L",IF('GNI per capita'!BO40&lt;=Thresholds!$D$64,"LM",IF('GNI per capita'!BO40&lt;=Thresholds!$E$64,"UM","H")))</f>
        <v>H</v>
      </c>
      <c r="BP40" s="42" t="str">
        <f>IF('GNI per capita'!BP40&lt;=Thresholds!$C$65,"L",IF('GNI per capita'!BP40&lt;=Thresholds!$D$65,"LM",IF('GNI per capita'!BP40&lt;=Thresholds!$E$65,"UM","H")))</f>
        <v>H</v>
      </c>
      <c r="BQ40" s="42" t="str">
        <f>IF('GNI per capita'!BQ40&lt;=Thresholds!$C$66,"L",IF('GNI per capita'!BQ40&lt;=Thresholds!$D$66,"LM",IF('GNI per capita'!BQ40&lt;=Thresholds!$E$66,"UM","H")))</f>
        <v>H</v>
      </c>
      <c r="BR40" s="42" t="str">
        <f>IF('GNI per capita'!BR40&lt;=Thresholds!$C$67,"L",IF('GNI per capita'!BR40&lt;=Thresholds!$D$67,"LM",IF('GNI per capita'!BR40&lt;=Thresholds!$E$67,"UM","H")))</f>
        <v>H</v>
      </c>
      <c r="BS40" s="42" t="str">
        <f>IF('GNI per capita'!BS40&lt;=Thresholds!$C$68,"L",IF('GNI per capita'!BS40&lt;=Thresholds!$D$68,"LM",IF('GNI per capita'!BS40&lt;=Thresholds!$E$68,"UM","H")))</f>
        <v>H</v>
      </c>
    </row>
    <row r="41" spans="1:71" x14ac:dyDescent="0.2">
      <c r="A41" s="2" t="s">
        <v>280</v>
      </c>
      <c r="B41" s="2" t="s">
        <v>281</v>
      </c>
      <c r="C41" s="11" t="s">
        <v>75</v>
      </c>
      <c r="G41" s="2" t="s">
        <v>162</v>
      </c>
      <c r="H41" s="41" t="s">
        <v>75</v>
      </c>
      <c r="I41" s="41" t="s">
        <v>75</v>
      </c>
      <c r="J41" s="41" t="s">
        <v>75</v>
      </c>
      <c r="K41" s="41" t="s">
        <v>75</v>
      </c>
      <c r="L41" s="41" t="s">
        <v>75</v>
      </c>
      <c r="M41" s="41" t="s">
        <v>75</v>
      </c>
      <c r="N41" s="41" t="s">
        <v>75</v>
      </c>
      <c r="O41" s="41" t="s">
        <v>75</v>
      </c>
      <c r="P41" s="41" t="s">
        <v>75</v>
      </c>
      <c r="Q41" s="41" t="s">
        <v>75</v>
      </c>
      <c r="R41" s="41" t="s">
        <v>75</v>
      </c>
      <c r="S41" s="41" t="s">
        <v>75</v>
      </c>
      <c r="T41" s="41" t="s">
        <v>75</v>
      </c>
      <c r="U41" s="41" t="s">
        <v>75</v>
      </c>
      <c r="V41" s="41" t="s">
        <v>75</v>
      </c>
      <c r="W41" s="41" t="s">
        <v>75</v>
      </c>
      <c r="X41" s="41" t="s">
        <v>75</v>
      </c>
      <c r="Y41" s="41" t="s">
        <v>75</v>
      </c>
      <c r="Z41" s="41" t="s">
        <v>75</v>
      </c>
      <c r="AA41" s="41" t="s">
        <v>75</v>
      </c>
      <c r="AB41" s="41" t="s">
        <v>75</v>
      </c>
      <c r="AC41" s="41" t="s">
        <v>75</v>
      </c>
      <c r="AD41" s="41" t="s">
        <v>75</v>
      </c>
      <c r="AE41" s="41" t="s">
        <v>75</v>
      </c>
      <c r="AF41" s="41" t="s">
        <v>75</v>
      </c>
      <c r="AG41" s="41" t="s">
        <v>75</v>
      </c>
      <c r="AH41" s="41" t="s">
        <v>75</v>
      </c>
      <c r="AI41" s="41" t="s">
        <v>75</v>
      </c>
      <c r="AJ41" s="41" t="s">
        <v>75</v>
      </c>
      <c r="AK41" s="41" t="s">
        <v>75</v>
      </c>
      <c r="AL41" s="41" t="s">
        <v>75</v>
      </c>
      <c r="AM41" s="41" t="s">
        <v>75</v>
      </c>
      <c r="AN41" s="41" t="s">
        <v>75</v>
      </c>
      <c r="AO41" s="41" t="s">
        <v>75</v>
      </c>
      <c r="AP41" s="41" t="s">
        <v>75</v>
      </c>
      <c r="AQ41" s="41" t="s">
        <v>75</v>
      </c>
      <c r="AR41" s="41" t="s">
        <v>75</v>
      </c>
      <c r="AS41" s="41" t="s">
        <v>75</v>
      </c>
      <c r="AT41" s="41" t="s">
        <v>75</v>
      </c>
      <c r="AU41" s="42" t="str">
        <f>IF('GNI per capita'!AU41&lt;=Thresholds!$C$44,"L",IF('GNI per capita'!AU41&lt;=Thresholds!$D$44,"LM",IF('GNI per capita'!AU41&lt;=Thresholds!$E$44,"UM","H")))</f>
        <v>L</v>
      </c>
      <c r="AV41" s="42" t="str">
        <f>IF('GNI per capita'!AV41&lt;=Thresholds!$C$45,"L",IF('GNI per capita'!AV41&lt;=Thresholds!$D$45,"LM",IF('GNI per capita'!AV41&lt;=Thresholds!$E$45,"UM","H")))</f>
        <v>L</v>
      </c>
      <c r="AW41" s="42" t="str">
        <f>IF('GNI per capita'!AW41&lt;=Thresholds!$C$46,"L",IF('GNI per capita'!AW41&lt;=Thresholds!$D$46,"LM",IF('GNI per capita'!AW41&lt;=Thresholds!$E$46,"UM","H")))</f>
        <v>L</v>
      </c>
      <c r="AX41" s="42" t="str">
        <f>IF('GNI per capita'!AX41&lt;=Thresholds!$C$47,"L",IF('GNI per capita'!AX41&lt;=Thresholds!$D$47,"LM",IF('GNI per capita'!AX41&lt;=Thresholds!$E$47,"UM","H")))</f>
        <v>L</v>
      </c>
      <c r="AY41" s="42" t="str">
        <f>IF('GNI per capita'!AY41&lt;=Thresholds!$C$48,"L",IF('GNI per capita'!AY41&lt;=Thresholds!$D$48,"LM",IF('GNI per capita'!AY41&lt;=Thresholds!$E$48,"UM","H")))</f>
        <v>L</v>
      </c>
      <c r="AZ41" s="42" t="str">
        <f>IF('GNI per capita'!AZ41&lt;=Thresholds!$C$49,"L",IF('GNI per capita'!AZ41&lt;=Thresholds!$D$49,"LM",IF('GNI per capita'!AZ41&lt;=Thresholds!$E$49,"UM","H")))</f>
        <v>L</v>
      </c>
      <c r="BA41" s="42" t="str">
        <f>IF('GNI per capita'!BA41&lt;=Thresholds!$C$50,"L",IF('GNI per capita'!BA41&lt;=Thresholds!$D$50,"LM",IF('GNI per capita'!BA41&lt;=Thresholds!$E$50,"UM","H")))</f>
        <v>L</v>
      </c>
      <c r="BB41" s="42" t="str">
        <f>IF('GNI per capita'!BB41&lt;=Thresholds!$C$51,"L",IF('GNI per capita'!BB41&lt;=Thresholds!$D$51,"LM",IF('GNI per capita'!BB41&lt;=Thresholds!$E$51,"UM","H")))</f>
        <v>L</v>
      </c>
      <c r="BC41" s="42" t="str">
        <f>IF('GNI per capita'!BC41&lt;=Thresholds!$C$52,"L",IF('GNI per capita'!BC41&lt;=Thresholds!$D$52,"LM",IF('GNI per capita'!BC41&lt;=Thresholds!$E$52,"UM","H")))</f>
        <v>L</v>
      </c>
      <c r="BD41" s="42" t="str">
        <f>IF('GNI per capita'!BD41&lt;=Thresholds!$C$53,"L",IF('GNI per capita'!BD41&lt;=Thresholds!$D$53,"LM",IF('GNI per capita'!BD41&lt;=Thresholds!$E$53,"UM","H")))</f>
        <v>L</v>
      </c>
      <c r="BE41" s="42" t="str">
        <f>IF('GNI per capita'!BE41&lt;=Thresholds!$C$54,"L",IF('GNI per capita'!BE41&lt;=Thresholds!$D$54,"LM",IF('GNI per capita'!BE41&lt;=Thresholds!$E$54,"UM","H")))</f>
        <v>L</v>
      </c>
      <c r="BF41" s="42" t="str">
        <f>IF('GNI per capita'!BF41&lt;=Thresholds!$C$55,"L",IF('GNI per capita'!BF41&lt;=Thresholds!$D$55,"LM",IF('GNI per capita'!BF41&lt;=Thresholds!$E$55,"UM","H")))</f>
        <v>L</v>
      </c>
      <c r="BG41" s="42" t="str">
        <f>IF('GNI per capita'!BG41&lt;=Thresholds!$C$56,"L",IF('GNI per capita'!BG41&lt;=Thresholds!$D$56,"LM",IF('GNI per capita'!BG41&lt;=Thresholds!$E$56,"UM","H")))</f>
        <v>L</v>
      </c>
      <c r="BH41" s="42" t="str">
        <f>IF('GNI per capita'!BH41&lt;=Thresholds!$C$57,"L",IF('GNI per capita'!BH41&lt;=Thresholds!$D$57,"LM",IF('GNI per capita'!BH41&lt;=Thresholds!$E$57,"UM","H")))</f>
        <v>L</v>
      </c>
      <c r="BI41" s="42" t="str">
        <f>IF('GNI per capita'!BI41&lt;=Thresholds!$C$58,"L",IF('GNI per capita'!BI41&lt;=Thresholds!$D$58,"LM",IF('GNI per capita'!BI41&lt;=Thresholds!$E$58,"UM","H")))</f>
        <v>L</v>
      </c>
      <c r="BJ41" s="42" t="str">
        <f>IF('GNI per capita'!BJ41&lt;=Thresholds!$C$59,"L",IF('GNI per capita'!BJ41&lt;=Thresholds!$D$59,"LM",IF('GNI per capita'!BJ41&lt;=Thresholds!$E$59,"UM","H")))</f>
        <v>L</v>
      </c>
      <c r="BK41" s="42" t="str">
        <f>IF('GNI per capita'!BK41&lt;=Thresholds!$C$60,"L",IF('GNI per capita'!BK41&lt;=Thresholds!$D$60,"LM",IF('GNI per capita'!BK41&lt;=Thresholds!$E$60,"UM","H")))</f>
        <v>L</v>
      </c>
      <c r="BL41" s="42" t="str">
        <f>IF('GNI per capita'!BL41&lt;=Thresholds!$C$61,"L",IF('GNI per capita'!BL41&lt;=Thresholds!$D$61,"LM",IF('GNI per capita'!BL41&lt;=Thresholds!$E$61,"UM","H")))</f>
        <v>L</v>
      </c>
      <c r="BM41" s="42" t="str">
        <f>IF('GNI per capita'!BM41&lt;=Thresholds!$C$62,"L",IF('GNI per capita'!BM41&lt;=Thresholds!$D$62,"LM",IF('GNI per capita'!BM41&lt;=Thresholds!$E$62,"UM","H")))</f>
        <v>L</v>
      </c>
      <c r="BN41" s="42" t="str">
        <f>IF('GNI per capita'!BN41&lt;=Thresholds!$C$63,"L",IF('GNI per capita'!BN41&lt;=Thresholds!$D$63,"LM",IF('GNI per capita'!BN41&lt;=Thresholds!$E$63,"UM","H")))</f>
        <v>L</v>
      </c>
      <c r="BO41" s="42" t="str">
        <f>IF('GNI per capita'!BO41&lt;=Thresholds!$C$64,"L",IF('GNI per capita'!BO41&lt;=Thresholds!$D$64,"LM",IF('GNI per capita'!BO41&lt;=Thresholds!$E$64,"UM","H")))</f>
        <v>L</v>
      </c>
      <c r="BP41" s="42" t="str">
        <f>IF('GNI per capita'!BP41&lt;=Thresholds!$C$65,"L",IF('GNI per capita'!BP41&lt;=Thresholds!$D$65,"LM",IF('GNI per capita'!BP41&lt;=Thresholds!$E$65,"UM","H")))</f>
        <v>L</v>
      </c>
      <c r="BQ41" s="42" t="str">
        <f>IF('GNI per capita'!BQ41&lt;=Thresholds!$C$66,"L",IF('GNI per capita'!BQ41&lt;=Thresholds!$D$66,"LM",IF('GNI per capita'!BQ41&lt;=Thresholds!$E$66,"UM","H")))</f>
        <v>L</v>
      </c>
      <c r="BR41" s="42" t="str">
        <f>IF('GNI per capita'!BR41&lt;=Thresholds!$C$67,"L",IF('GNI per capita'!BR41&lt;=Thresholds!$D$67,"LM",IF('GNI per capita'!BR41&lt;=Thresholds!$E$67,"UM","H")))</f>
        <v>L</v>
      </c>
      <c r="BS41" s="42" t="str">
        <f>IF('GNI per capita'!BS41&lt;=Thresholds!$C$68,"L",IF('GNI per capita'!BS41&lt;=Thresholds!$D$68,"LM",IF('GNI per capita'!BS41&lt;=Thresholds!$E$68,"UM","H")))</f>
        <v>L</v>
      </c>
    </row>
    <row r="42" spans="1:71" x14ac:dyDescent="0.2">
      <c r="A42" s="2" t="s">
        <v>282</v>
      </c>
      <c r="B42" s="2" t="s">
        <v>283</v>
      </c>
      <c r="C42" s="11" t="s">
        <v>75</v>
      </c>
      <c r="G42" s="2" t="s">
        <v>284</v>
      </c>
      <c r="H42" s="41" t="s">
        <v>75</v>
      </c>
      <c r="I42" s="41" t="s">
        <v>75</v>
      </c>
      <c r="J42" s="41" t="s">
        <v>75</v>
      </c>
      <c r="K42" s="41" t="s">
        <v>75</v>
      </c>
      <c r="L42" s="41" t="s">
        <v>75</v>
      </c>
      <c r="M42" s="41" t="s">
        <v>75</v>
      </c>
      <c r="N42" s="41" t="s">
        <v>75</v>
      </c>
      <c r="O42" s="41" t="s">
        <v>75</v>
      </c>
      <c r="P42" s="41" t="s">
        <v>75</v>
      </c>
      <c r="Q42" s="41" t="s">
        <v>75</v>
      </c>
      <c r="R42" s="41" t="s">
        <v>75</v>
      </c>
      <c r="S42" s="41" t="s">
        <v>75</v>
      </c>
      <c r="T42" s="41" t="s">
        <v>75</v>
      </c>
      <c r="U42" s="41" t="s">
        <v>75</v>
      </c>
      <c r="V42" s="41" t="s">
        <v>75</v>
      </c>
      <c r="W42" s="41" t="s">
        <v>75</v>
      </c>
      <c r="X42" s="41" t="s">
        <v>75</v>
      </c>
      <c r="Y42" s="41" t="s">
        <v>75</v>
      </c>
      <c r="Z42" s="41" t="s">
        <v>75</v>
      </c>
      <c r="AA42" s="41" t="s">
        <v>75</v>
      </c>
      <c r="AB42" s="41" t="s">
        <v>75</v>
      </c>
      <c r="AC42" s="41" t="s">
        <v>75</v>
      </c>
      <c r="AD42" s="41" t="s">
        <v>75</v>
      </c>
      <c r="AE42" s="41" t="s">
        <v>75</v>
      </c>
      <c r="AF42" s="41" t="s">
        <v>75</v>
      </c>
      <c r="AG42" s="41" t="s">
        <v>75</v>
      </c>
      <c r="AH42" s="41" t="s">
        <v>75</v>
      </c>
      <c r="AI42" s="41" t="s">
        <v>75</v>
      </c>
      <c r="AJ42" s="41" t="s">
        <v>75</v>
      </c>
      <c r="AK42" s="41" t="s">
        <v>75</v>
      </c>
      <c r="AL42" s="41" t="s">
        <v>75</v>
      </c>
      <c r="AM42" s="41" t="s">
        <v>75</v>
      </c>
      <c r="AN42" s="41" t="s">
        <v>75</v>
      </c>
      <c r="AO42" s="41" t="s">
        <v>75</v>
      </c>
      <c r="AP42" s="41" t="s">
        <v>75</v>
      </c>
      <c r="AQ42" s="41" t="s">
        <v>75</v>
      </c>
      <c r="AR42" s="41" t="s">
        <v>75</v>
      </c>
      <c r="AS42" s="41" t="s">
        <v>75</v>
      </c>
      <c r="AT42" s="41" t="s">
        <v>75</v>
      </c>
      <c r="AU42" s="42" t="str">
        <f>IF('GNI per capita'!AU42&lt;=Thresholds!$C$44,"L",IF('GNI per capita'!AU42&lt;=Thresholds!$D$44,"LM",IF('GNI per capita'!AU42&lt;=Thresholds!$E$44,"UM","H")))</f>
        <v>L</v>
      </c>
      <c r="AV42" s="42" t="str">
        <f>IF('GNI per capita'!AV42&lt;=Thresholds!$C$45,"L",IF('GNI per capita'!AV42&lt;=Thresholds!$D$45,"LM",IF('GNI per capita'!AV42&lt;=Thresholds!$E$45,"UM","H")))</f>
        <v>L</v>
      </c>
      <c r="AW42" s="42" t="str">
        <f>IF('GNI per capita'!AW42&lt;=Thresholds!$C$46,"L",IF('GNI per capita'!AW42&lt;=Thresholds!$D$46,"LM",IF('GNI per capita'!AW42&lt;=Thresholds!$E$46,"UM","H")))</f>
        <v>L</v>
      </c>
      <c r="AX42" s="42" t="str">
        <f>IF('GNI per capita'!AX42&lt;=Thresholds!$C$47,"L",IF('GNI per capita'!AX42&lt;=Thresholds!$D$47,"LM",IF('GNI per capita'!AX42&lt;=Thresholds!$E$47,"UM","H")))</f>
        <v>L</v>
      </c>
      <c r="AY42" s="42" t="str">
        <f>IF('GNI per capita'!AY42&lt;=Thresholds!$C$48,"L",IF('GNI per capita'!AY42&lt;=Thresholds!$D$48,"LM",IF('GNI per capita'!AY42&lt;=Thresholds!$E$48,"UM","H")))</f>
        <v>L</v>
      </c>
      <c r="AZ42" s="42" t="str">
        <f>IF('GNI per capita'!AZ42&lt;=Thresholds!$C$49,"L",IF('GNI per capita'!AZ42&lt;=Thresholds!$D$49,"LM",IF('GNI per capita'!AZ42&lt;=Thresholds!$E$49,"UM","H")))</f>
        <v>L</v>
      </c>
      <c r="BA42" s="42" t="str">
        <f>IF('GNI per capita'!BA42&lt;=Thresholds!$C$50,"L",IF('GNI per capita'!BA42&lt;=Thresholds!$D$50,"LM",IF('GNI per capita'!BA42&lt;=Thresholds!$E$50,"UM","H")))</f>
        <v>L</v>
      </c>
      <c r="BB42" s="42" t="str">
        <f>IF('GNI per capita'!BB42&lt;=Thresholds!$C$51,"L",IF('GNI per capita'!BB42&lt;=Thresholds!$D$51,"LM",IF('GNI per capita'!BB42&lt;=Thresholds!$E$51,"UM","H")))</f>
        <v>L</v>
      </c>
      <c r="BC42" s="42" t="str">
        <f>IF('GNI per capita'!BC42&lt;=Thresholds!$C$52,"L",IF('GNI per capita'!BC42&lt;=Thresholds!$D$52,"LM",IF('GNI per capita'!BC42&lt;=Thresholds!$E$52,"UM","H")))</f>
        <v>L</v>
      </c>
      <c r="BD42" s="42" t="str">
        <f>IF('GNI per capita'!BD42&lt;=Thresholds!$C$53,"L",IF('GNI per capita'!BD42&lt;=Thresholds!$D$53,"LM",IF('GNI per capita'!BD42&lt;=Thresholds!$E$53,"UM","H")))</f>
        <v>L</v>
      </c>
      <c r="BE42" s="42" t="str">
        <f>IF('GNI per capita'!BE42&lt;=Thresholds!$C$54,"L",IF('GNI per capita'!BE42&lt;=Thresholds!$D$54,"LM",IF('GNI per capita'!BE42&lt;=Thresholds!$E$54,"UM","H")))</f>
        <v>L</v>
      </c>
      <c r="BF42" s="42" t="str">
        <f>IF('GNI per capita'!BF42&lt;=Thresholds!$C$55,"L",IF('GNI per capita'!BF42&lt;=Thresholds!$D$55,"LM",IF('GNI per capita'!BF42&lt;=Thresholds!$E$55,"UM","H")))</f>
        <v>L</v>
      </c>
      <c r="BG42" s="42" t="str">
        <f>IF('GNI per capita'!BG42&lt;=Thresholds!$C$56,"L",IF('GNI per capita'!BG42&lt;=Thresholds!$D$56,"LM",IF('GNI per capita'!BG42&lt;=Thresholds!$E$56,"UM","H")))</f>
        <v>L</v>
      </c>
      <c r="BH42" s="42" t="str">
        <f>IF('GNI per capita'!BH42&lt;=Thresholds!$C$57,"L",IF('GNI per capita'!BH42&lt;=Thresholds!$D$57,"LM",IF('GNI per capita'!BH42&lt;=Thresholds!$E$57,"UM","H")))</f>
        <v>L</v>
      </c>
      <c r="BI42" s="42" t="str">
        <f>IF('GNI per capita'!BI42&lt;=Thresholds!$C$58,"L",IF('GNI per capita'!BI42&lt;=Thresholds!$D$58,"LM",IF('GNI per capita'!BI42&lt;=Thresholds!$E$58,"UM","H")))</f>
        <v>L</v>
      </c>
      <c r="BJ42" s="42" t="str">
        <f>IF('GNI per capita'!BJ42&lt;=Thresholds!$C$59,"L",IF('GNI per capita'!BJ42&lt;=Thresholds!$D$59,"LM",IF('GNI per capita'!BJ42&lt;=Thresholds!$E$59,"UM","H")))</f>
        <v>L</v>
      </c>
      <c r="BK42" s="42" t="str">
        <f>IF('GNI per capita'!BK42&lt;=Thresholds!$C$60,"L",IF('GNI per capita'!BK42&lt;=Thresholds!$D$60,"LM",IF('GNI per capita'!BK42&lt;=Thresholds!$E$60,"UM","H")))</f>
        <v>L</v>
      </c>
      <c r="BL42" s="42" t="str">
        <f>IF('GNI per capita'!BL42&lt;=Thresholds!$C$61,"L",IF('GNI per capita'!BL42&lt;=Thresholds!$D$61,"LM",IF('GNI per capita'!BL42&lt;=Thresholds!$E$61,"UM","H")))</f>
        <v>L</v>
      </c>
      <c r="BM42" s="42" t="str">
        <f>IF('GNI per capita'!BM42&lt;=Thresholds!$C$62,"L",IF('GNI per capita'!BM42&lt;=Thresholds!$D$62,"LM",IF('GNI per capita'!BM42&lt;=Thresholds!$E$62,"UM","H")))</f>
        <v>L</v>
      </c>
      <c r="BN42" s="42" t="str">
        <f>IF('GNI per capita'!BN42&lt;=Thresholds!$C$63,"L",IF('GNI per capita'!BN42&lt;=Thresholds!$D$63,"LM",IF('GNI per capita'!BN42&lt;=Thresholds!$E$63,"UM","H")))</f>
        <v>L</v>
      </c>
      <c r="BO42" s="42" t="str">
        <f>IF('GNI per capita'!BO42&lt;=Thresholds!$C$64,"L",IF('GNI per capita'!BO42&lt;=Thresholds!$D$64,"LM",IF('GNI per capita'!BO42&lt;=Thresholds!$E$64,"UM","H")))</f>
        <v>L</v>
      </c>
      <c r="BP42" s="42" t="str">
        <f>IF('GNI per capita'!BP42&lt;=Thresholds!$C$65,"L",IF('GNI per capita'!BP42&lt;=Thresholds!$D$65,"LM",IF('GNI per capita'!BP42&lt;=Thresholds!$E$65,"UM","H")))</f>
        <v>L</v>
      </c>
      <c r="BQ42" s="42" t="str">
        <f>IF('GNI per capita'!BQ42&lt;=Thresholds!$C$66,"L",IF('GNI per capita'!BQ42&lt;=Thresholds!$D$66,"LM",IF('GNI per capita'!BQ42&lt;=Thresholds!$E$66,"UM","H")))</f>
        <v>L</v>
      </c>
      <c r="BR42" s="42" t="str">
        <f>IF('GNI per capita'!BR42&lt;=Thresholds!$C$67,"L",IF('GNI per capita'!BR42&lt;=Thresholds!$D$67,"LM",IF('GNI per capita'!BR42&lt;=Thresholds!$E$67,"UM","H")))</f>
        <v>L</v>
      </c>
      <c r="BS42" s="42" t="str">
        <f>IF('GNI per capita'!BS42&lt;=Thresholds!$C$68,"L",IF('GNI per capita'!BS42&lt;=Thresholds!$D$68,"LM",IF('GNI per capita'!BS42&lt;=Thresholds!$E$68,"UM","H")))</f>
        <v>L</v>
      </c>
    </row>
    <row r="43" spans="1:71" x14ac:dyDescent="0.2">
      <c r="A43" s="2" t="s">
        <v>285</v>
      </c>
      <c r="B43" s="2" t="s">
        <v>286</v>
      </c>
      <c r="C43" s="11" t="s">
        <v>79</v>
      </c>
      <c r="G43" s="28" t="s">
        <v>204</v>
      </c>
      <c r="H43" s="41" t="s">
        <v>79</v>
      </c>
      <c r="I43" s="41" t="s">
        <v>79</v>
      </c>
      <c r="J43" s="41" t="s">
        <v>79</v>
      </c>
      <c r="K43" s="41" t="s">
        <v>79</v>
      </c>
      <c r="L43" s="41" t="s">
        <v>79</v>
      </c>
      <c r="M43" s="41" t="s">
        <v>79</v>
      </c>
      <c r="N43" s="41" t="s">
        <v>79</v>
      </c>
      <c r="O43" s="41" t="s">
        <v>79</v>
      </c>
      <c r="P43" s="41" t="s">
        <v>79</v>
      </c>
      <c r="Q43" s="41" t="s">
        <v>79</v>
      </c>
      <c r="R43" s="41" t="s">
        <v>79</v>
      </c>
      <c r="S43" s="41" t="s">
        <v>79</v>
      </c>
      <c r="T43" s="41" t="s">
        <v>79</v>
      </c>
      <c r="U43" s="41" t="s">
        <v>79</v>
      </c>
      <c r="V43" s="41" t="s">
        <v>79</v>
      </c>
      <c r="W43" s="41" t="s">
        <v>79</v>
      </c>
      <c r="X43" s="41" t="s">
        <v>79</v>
      </c>
      <c r="Y43" s="41" t="s">
        <v>79</v>
      </c>
      <c r="Z43" s="41" t="s">
        <v>79</v>
      </c>
      <c r="AA43" s="41" t="s">
        <v>79</v>
      </c>
      <c r="AB43" s="41" t="s">
        <v>79</v>
      </c>
      <c r="AC43" s="41" t="s">
        <v>79</v>
      </c>
      <c r="AD43" s="41" t="s">
        <v>79</v>
      </c>
      <c r="AE43" s="41" t="s">
        <v>79</v>
      </c>
      <c r="AF43" s="41" t="s">
        <v>79</v>
      </c>
      <c r="AG43" s="41" t="s">
        <v>79</v>
      </c>
      <c r="AH43" s="41" t="s">
        <v>79</v>
      </c>
      <c r="AI43" s="41" t="s">
        <v>79</v>
      </c>
      <c r="AJ43" s="41" t="s">
        <v>79</v>
      </c>
      <c r="AK43" s="41" t="s">
        <v>79</v>
      </c>
      <c r="AL43" s="41" t="s">
        <v>79</v>
      </c>
      <c r="AM43" s="41" t="s">
        <v>79</v>
      </c>
      <c r="AN43" s="41" t="s">
        <v>79</v>
      </c>
      <c r="AO43" s="41" t="s">
        <v>79</v>
      </c>
      <c r="AP43" s="41" t="s">
        <v>79</v>
      </c>
      <c r="AQ43" s="41" t="s">
        <v>79</v>
      </c>
      <c r="AR43" s="41" t="s">
        <v>79</v>
      </c>
      <c r="AS43" s="41" t="s">
        <v>79</v>
      </c>
      <c r="AT43" s="41" t="s">
        <v>79</v>
      </c>
      <c r="AU43" s="42" t="str">
        <f t="shared" ref="AU43:BS43" si="3">$C43</f>
        <v>H</v>
      </c>
      <c r="AV43" s="42" t="str">
        <f t="shared" si="3"/>
        <v>H</v>
      </c>
      <c r="AW43" s="42" t="str">
        <f t="shared" si="3"/>
        <v>H</v>
      </c>
      <c r="AX43" s="42" t="str">
        <f t="shared" si="3"/>
        <v>H</v>
      </c>
      <c r="AY43" s="42" t="str">
        <f t="shared" si="3"/>
        <v>H</v>
      </c>
      <c r="AZ43" s="42" t="str">
        <f t="shared" si="3"/>
        <v>H</v>
      </c>
      <c r="BA43" s="42" t="str">
        <f t="shared" si="3"/>
        <v>H</v>
      </c>
      <c r="BB43" s="42" t="str">
        <f t="shared" si="3"/>
        <v>H</v>
      </c>
      <c r="BC43" s="42" t="str">
        <f t="shared" si="3"/>
        <v>H</v>
      </c>
      <c r="BD43" s="42" t="str">
        <f t="shared" si="3"/>
        <v>H</v>
      </c>
      <c r="BE43" s="42" t="str">
        <f t="shared" si="3"/>
        <v>H</v>
      </c>
      <c r="BF43" s="42" t="str">
        <f t="shared" si="3"/>
        <v>H</v>
      </c>
      <c r="BG43" s="42" t="str">
        <f t="shared" si="3"/>
        <v>H</v>
      </c>
      <c r="BH43" s="42" t="str">
        <f t="shared" si="3"/>
        <v>H</v>
      </c>
      <c r="BI43" s="42" t="str">
        <f t="shared" si="3"/>
        <v>H</v>
      </c>
      <c r="BJ43" s="42" t="str">
        <f t="shared" si="3"/>
        <v>H</v>
      </c>
      <c r="BK43" s="42" t="str">
        <f t="shared" si="3"/>
        <v>H</v>
      </c>
      <c r="BL43" s="42" t="str">
        <f t="shared" si="3"/>
        <v>H</v>
      </c>
      <c r="BM43" s="42" t="str">
        <f t="shared" si="3"/>
        <v>H</v>
      </c>
      <c r="BN43" s="42" t="str">
        <f t="shared" si="3"/>
        <v>H</v>
      </c>
      <c r="BO43" s="42" t="str">
        <f t="shared" si="3"/>
        <v>H</v>
      </c>
      <c r="BP43" s="42" t="str">
        <f t="shared" si="3"/>
        <v>H</v>
      </c>
      <c r="BQ43" s="42" t="str">
        <f t="shared" si="3"/>
        <v>H</v>
      </c>
      <c r="BR43" s="42" t="str">
        <f t="shared" si="3"/>
        <v>H</v>
      </c>
      <c r="BS43" s="42" t="str">
        <f t="shared" si="3"/>
        <v>H</v>
      </c>
    </row>
    <row r="44" spans="1:71" x14ac:dyDescent="0.2">
      <c r="A44" s="2" t="s">
        <v>287</v>
      </c>
      <c r="B44" s="2" t="s">
        <v>288</v>
      </c>
      <c r="C44" s="11" t="s">
        <v>79</v>
      </c>
      <c r="G44" s="2" t="s">
        <v>162</v>
      </c>
      <c r="H44" s="41" t="s">
        <v>210</v>
      </c>
      <c r="I44" s="41" t="s">
        <v>210</v>
      </c>
      <c r="J44" s="41" t="s">
        <v>210</v>
      </c>
      <c r="K44" s="41" t="s">
        <v>210</v>
      </c>
      <c r="L44" s="41" t="s">
        <v>210</v>
      </c>
      <c r="M44" s="41" t="s">
        <v>210</v>
      </c>
      <c r="N44" s="41" t="s">
        <v>82</v>
      </c>
      <c r="O44" s="41" t="s">
        <v>82</v>
      </c>
      <c r="P44" s="41" t="s">
        <v>82</v>
      </c>
      <c r="Q44" s="41" t="s">
        <v>82</v>
      </c>
      <c r="R44" s="41" t="s">
        <v>82</v>
      </c>
      <c r="S44" s="41" t="s">
        <v>82</v>
      </c>
      <c r="T44" s="41" t="s">
        <v>82</v>
      </c>
      <c r="U44" s="41" t="s">
        <v>82</v>
      </c>
      <c r="V44" s="41" t="s">
        <v>82</v>
      </c>
      <c r="W44" s="41" t="s">
        <v>82</v>
      </c>
      <c r="X44" s="41" t="s">
        <v>82</v>
      </c>
      <c r="Y44" s="41" t="s">
        <v>82</v>
      </c>
      <c r="Z44" s="41" t="s">
        <v>82</v>
      </c>
      <c r="AA44" s="41" t="s">
        <v>82</v>
      </c>
      <c r="AB44" s="41" t="s">
        <v>82</v>
      </c>
      <c r="AC44" s="41" t="s">
        <v>82</v>
      </c>
      <c r="AD44" s="41" t="s">
        <v>82</v>
      </c>
      <c r="AE44" s="41" t="s">
        <v>82</v>
      </c>
      <c r="AF44" s="41" t="s">
        <v>82</v>
      </c>
      <c r="AG44" s="41" t="s">
        <v>79</v>
      </c>
      <c r="AH44" s="41" t="s">
        <v>79</v>
      </c>
      <c r="AI44" s="41" t="s">
        <v>79</v>
      </c>
      <c r="AJ44" s="41" t="s">
        <v>79</v>
      </c>
      <c r="AK44" s="41" t="s">
        <v>79</v>
      </c>
      <c r="AL44" s="41" t="s">
        <v>79</v>
      </c>
      <c r="AM44" s="41" t="s">
        <v>79</v>
      </c>
      <c r="AN44" s="41" t="s">
        <v>79</v>
      </c>
      <c r="AO44" s="41" t="s">
        <v>79</v>
      </c>
      <c r="AP44" s="41" t="s">
        <v>79</v>
      </c>
      <c r="AQ44" s="41" t="s">
        <v>79</v>
      </c>
      <c r="AR44" s="41" t="s">
        <v>79</v>
      </c>
      <c r="AS44" s="41" t="s">
        <v>79</v>
      </c>
      <c r="AT44" s="41" t="s">
        <v>79</v>
      </c>
      <c r="AU44" s="42" t="str">
        <f>IF('GNI per capita'!AU44&lt;=Thresholds!$C$44,"L",IF('GNI per capita'!AU44&lt;=Thresholds!$D$44,"LM",IF('GNI per capita'!AU44&lt;=Thresholds!$E$44,"UM","H")))</f>
        <v>H</v>
      </c>
      <c r="AV44" s="42" t="str">
        <f>IF('GNI per capita'!AV44&lt;=Thresholds!$C$45,"L",IF('GNI per capita'!AV44&lt;=Thresholds!$D$45,"LM",IF('GNI per capita'!AV44&lt;=Thresholds!$E$45,"UM","H")))</f>
        <v>H</v>
      </c>
      <c r="AW44" s="42" t="str">
        <f>IF('GNI per capita'!AW44&lt;=Thresholds!$C$46,"L",IF('GNI per capita'!AW44&lt;=Thresholds!$D$46,"LM",IF('GNI per capita'!AW44&lt;=Thresholds!$E$46,"UM","H")))</f>
        <v>H</v>
      </c>
      <c r="AX44" s="42" t="str">
        <f>IF('GNI per capita'!AX44&lt;=Thresholds!$C$47,"L",IF('GNI per capita'!AX44&lt;=Thresholds!$D$47,"LM",IF('GNI per capita'!AX44&lt;=Thresholds!$E$47,"UM","H")))</f>
        <v>H</v>
      </c>
      <c r="AY44" s="42" t="str">
        <f>IF('GNI per capita'!AY44&lt;=Thresholds!$C$48,"L",IF('GNI per capita'!AY44&lt;=Thresholds!$D$48,"LM",IF('GNI per capita'!AY44&lt;=Thresholds!$E$48,"UM","H")))</f>
        <v>H</v>
      </c>
      <c r="AZ44" s="42" t="str">
        <f>IF('GNI per capita'!AZ44&lt;=Thresholds!$C$49,"L",IF('GNI per capita'!AZ44&lt;=Thresholds!$D$49,"LM",IF('GNI per capita'!AZ44&lt;=Thresholds!$E$49,"UM","H")))</f>
        <v>H</v>
      </c>
      <c r="BA44" s="42" t="str">
        <f>IF('GNI per capita'!BA44&lt;=Thresholds!$C$50,"L",IF('GNI per capita'!BA44&lt;=Thresholds!$D$50,"LM",IF('GNI per capita'!BA44&lt;=Thresholds!$E$50,"UM","H")))</f>
        <v>H</v>
      </c>
      <c r="BB44" s="42" t="str">
        <f>IF('GNI per capita'!BB44&lt;=Thresholds!$C$51,"L",IF('GNI per capita'!BB44&lt;=Thresholds!$D$51,"LM",IF('GNI per capita'!BB44&lt;=Thresholds!$E$51,"UM","H")))</f>
        <v>H</v>
      </c>
      <c r="BC44" s="42" t="str">
        <f>IF('GNI per capita'!BC44&lt;=Thresholds!$C$52,"L",IF('GNI per capita'!BC44&lt;=Thresholds!$D$52,"LM",IF('GNI per capita'!BC44&lt;=Thresholds!$E$52,"UM","H")))</f>
        <v>H</v>
      </c>
      <c r="BD44" s="42" t="str">
        <f>IF('GNI per capita'!BD44&lt;=Thresholds!$C$53,"L",IF('GNI per capita'!BD44&lt;=Thresholds!$D$53,"LM",IF('GNI per capita'!BD44&lt;=Thresholds!$E$53,"UM","H")))</f>
        <v>H</v>
      </c>
      <c r="BE44" s="42" t="str">
        <f>IF('GNI per capita'!BE44&lt;=Thresholds!$C$54,"L",IF('GNI per capita'!BE44&lt;=Thresholds!$D$54,"LM",IF('GNI per capita'!BE44&lt;=Thresholds!$E$54,"UM","H")))</f>
        <v>H</v>
      </c>
      <c r="BF44" s="42" t="str">
        <f>IF('GNI per capita'!BF44&lt;=Thresholds!$C$55,"L",IF('GNI per capita'!BF44&lt;=Thresholds!$D$55,"LM",IF('GNI per capita'!BF44&lt;=Thresholds!$E$55,"UM","H")))</f>
        <v>H</v>
      </c>
      <c r="BG44" s="42" t="str">
        <f>IF('GNI per capita'!BG44&lt;=Thresholds!$C$56,"L",IF('GNI per capita'!BG44&lt;=Thresholds!$D$56,"LM",IF('GNI per capita'!BG44&lt;=Thresholds!$E$56,"UM","H")))</f>
        <v>H</v>
      </c>
      <c r="BH44" s="42" t="str">
        <f>IF('GNI per capita'!BH44&lt;=Thresholds!$C$57,"L",IF('GNI per capita'!BH44&lt;=Thresholds!$D$57,"LM",IF('GNI per capita'!BH44&lt;=Thresholds!$E$57,"UM","H")))</f>
        <v>H</v>
      </c>
      <c r="BI44" s="42" t="str">
        <f>IF('GNI per capita'!BI44&lt;=Thresholds!$C$58,"L",IF('GNI per capita'!BI44&lt;=Thresholds!$D$58,"LM",IF('GNI per capita'!BI44&lt;=Thresholds!$E$58,"UM","H")))</f>
        <v>H</v>
      </c>
      <c r="BJ44" s="42" t="str">
        <f>IF('GNI per capita'!BJ44&lt;=Thresholds!$C$59,"L",IF('GNI per capita'!BJ44&lt;=Thresholds!$D$59,"LM",IF('GNI per capita'!BJ44&lt;=Thresholds!$E$59,"UM","H")))</f>
        <v>H</v>
      </c>
      <c r="BK44" s="42" t="str">
        <f>IF('GNI per capita'!BK44&lt;=Thresholds!$C$60,"L",IF('GNI per capita'!BK44&lt;=Thresholds!$D$60,"LM",IF('GNI per capita'!BK44&lt;=Thresholds!$E$60,"UM","H")))</f>
        <v>H</v>
      </c>
      <c r="BL44" s="42" t="str">
        <f>IF('GNI per capita'!BL44&lt;=Thresholds!$C$61,"L",IF('GNI per capita'!BL44&lt;=Thresholds!$D$61,"LM",IF('GNI per capita'!BL44&lt;=Thresholds!$E$61,"UM","H")))</f>
        <v>H</v>
      </c>
      <c r="BM44" s="42" t="str">
        <f>IF('GNI per capita'!BM44&lt;=Thresholds!$C$62,"L",IF('GNI per capita'!BM44&lt;=Thresholds!$D$62,"LM",IF('GNI per capita'!BM44&lt;=Thresholds!$E$62,"UM","H")))</f>
        <v>H</v>
      </c>
      <c r="BN44" s="42" t="str">
        <f>IF('GNI per capita'!BN44&lt;=Thresholds!$C$63,"L",IF('GNI per capita'!BN44&lt;=Thresholds!$D$63,"LM",IF('GNI per capita'!BN44&lt;=Thresholds!$E$63,"UM","H")))</f>
        <v>H</v>
      </c>
      <c r="BO44" s="42" t="str">
        <f>IF('GNI per capita'!BO44&lt;=Thresholds!$C$64,"L",IF('GNI per capita'!BO44&lt;=Thresholds!$D$64,"LM",IF('GNI per capita'!BO44&lt;=Thresholds!$E$64,"UM","H")))</f>
        <v>H</v>
      </c>
      <c r="BP44" s="42" t="str">
        <f>IF('GNI per capita'!BP44&lt;=Thresholds!$C$65,"L",IF('GNI per capita'!BP44&lt;=Thresholds!$D$65,"LM",IF('GNI per capita'!BP44&lt;=Thresholds!$E$65,"UM","H")))</f>
        <v>H</v>
      </c>
      <c r="BQ44" s="42" t="str">
        <f>IF('GNI per capita'!BQ44&lt;=Thresholds!$C$66,"L",IF('GNI per capita'!BQ44&lt;=Thresholds!$D$66,"LM",IF('GNI per capita'!BQ44&lt;=Thresholds!$E$66,"UM","H")))</f>
        <v>H</v>
      </c>
      <c r="BR44" s="42" t="str">
        <f>IF('GNI per capita'!BR44&lt;=Thresholds!$C$67,"L",IF('GNI per capita'!BR44&lt;=Thresholds!$D$67,"LM",IF('GNI per capita'!BR44&lt;=Thresholds!$E$67,"UM","H")))</f>
        <v>H</v>
      </c>
      <c r="BS44" s="42" t="str">
        <f>IF('GNI per capita'!BS44&lt;=Thresholds!$C$68,"L",IF('GNI per capita'!BS44&lt;=Thresholds!$D$68,"LM",IF('GNI per capita'!BS44&lt;=Thresholds!$E$68,"UM","H")))</f>
        <v>H</v>
      </c>
    </row>
    <row r="45" spans="1:71" x14ac:dyDescent="0.2">
      <c r="A45" s="2" t="s">
        <v>289</v>
      </c>
      <c r="B45" s="2" t="s">
        <v>290</v>
      </c>
      <c r="C45" s="11" t="s">
        <v>82</v>
      </c>
      <c r="G45" s="2" t="s">
        <v>162</v>
      </c>
      <c r="H45" s="41" t="s">
        <v>75</v>
      </c>
      <c r="I45" s="41" t="s">
        <v>75</v>
      </c>
      <c r="J45" s="41" t="s">
        <v>75</v>
      </c>
      <c r="K45" s="41" t="s">
        <v>75</v>
      </c>
      <c r="L45" s="41" t="s">
        <v>75</v>
      </c>
      <c r="M45" s="41" t="s">
        <v>75</v>
      </c>
      <c r="N45" s="41" t="s">
        <v>75</v>
      </c>
      <c r="O45" s="41" t="s">
        <v>75</v>
      </c>
      <c r="P45" s="41" t="s">
        <v>75</v>
      </c>
      <c r="Q45" s="41" t="s">
        <v>75</v>
      </c>
      <c r="R45" s="41" t="s">
        <v>210</v>
      </c>
      <c r="S45" s="41" t="s">
        <v>75</v>
      </c>
      <c r="T45" s="41" t="s">
        <v>210</v>
      </c>
      <c r="U45" s="41" t="s">
        <v>210</v>
      </c>
      <c r="V45" s="41" t="s">
        <v>210</v>
      </c>
      <c r="W45" s="41" t="s">
        <v>210</v>
      </c>
      <c r="X45" s="41" t="s">
        <v>210</v>
      </c>
      <c r="Y45" s="41" t="s">
        <v>210</v>
      </c>
      <c r="Z45" s="41" t="s">
        <v>210</v>
      </c>
      <c r="AA45" s="41" t="s">
        <v>210</v>
      </c>
      <c r="AB45" s="41" t="s">
        <v>210</v>
      </c>
      <c r="AC45" s="41" t="s">
        <v>210</v>
      </c>
      <c r="AD45" s="41" t="s">
        <v>210</v>
      </c>
      <c r="AE45" s="41" t="s">
        <v>82</v>
      </c>
      <c r="AF45" s="41" t="s">
        <v>82</v>
      </c>
      <c r="AG45" s="41" t="s">
        <v>82</v>
      </c>
      <c r="AH45" s="41" t="s">
        <v>82</v>
      </c>
      <c r="AI45" s="41" t="s">
        <v>82</v>
      </c>
      <c r="AJ45" s="41" t="s">
        <v>82</v>
      </c>
      <c r="AK45" s="41" t="s">
        <v>82</v>
      </c>
      <c r="AL45" s="41" t="s">
        <v>82</v>
      </c>
      <c r="AM45" s="41" t="s">
        <v>82</v>
      </c>
      <c r="AN45" s="41" t="s">
        <v>82</v>
      </c>
      <c r="AO45" s="41" t="s">
        <v>82</v>
      </c>
      <c r="AP45" s="41" t="s">
        <v>82</v>
      </c>
      <c r="AQ45" s="41" t="s">
        <v>82</v>
      </c>
      <c r="AR45" s="41" t="s">
        <v>82</v>
      </c>
      <c r="AS45" s="41" t="s">
        <v>82</v>
      </c>
      <c r="AT45" s="41" t="s">
        <v>82</v>
      </c>
      <c r="AU45" s="42" t="str">
        <f>IF('GNI per capita'!AU45&lt;=Thresholds!$C$44,"L",IF('GNI per capita'!AU45&lt;=Thresholds!$D$44,"LM",IF('GNI per capita'!AU45&lt;=Thresholds!$E$44,"UM","H")))</f>
        <v>H</v>
      </c>
      <c r="AV45" s="42" t="str">
        <f>IF('GNI per capita'!AV45&lt;=Thresholds!$C$45,"L",IF('GNI per capita'!AV45&lt;=Thresholds!$D$45,"LM",IF('GNI per capita'!AV45&lt;=Thresholds!$E$45,"UM","H")))</f>
        <v>H</v>
      </c>
      <c r="AW45" s="42" t="str">
        <f>IF('GNI per capita'!AW45&lt;=Thresholds!$C$46,"L",IF('GNI per capita'!AW45&lt;=Thresholds!$D$46,"LM",IF('GNI per capita'!AW45&lt;=Thresholds!$E$46,"UM","H")))</f>
        <v>H</v>
      </c>
      <c r="AX45" s="42" t="str">
        <f>IF('GNI per capita'!AX45&lt;=Thresholds!$C$47,"L",IF('GNI per capita'!AX45&lt;=Thresholds!$D$47,"LM",IF('GNI per capita'!AX45&lt;=Thresholds!$E$47,"UM","H")))</f>
        <v>H</v>
      </c>
      <c r="AY45" s="42" t="str">
        <f>IF('GNI per capita'!AY45&lt;=Thresholds!$C$48,"L",IF('GNI per capita'!AY45&lt;=Thresholds!$D$48,"LM",IF('GNI per capita'!AY45&lt;=Thresholds!$E$48,"UM","H")))</f>
        <v>H</v>
      </c>
      <c r="AZ45" s="42" t="str">
        <f>IF('GNI per capita'!AZ45&lt;=Thresholds!$C$49,"L",IF('GNI per capita'!AZ45&lt;=Thresholds!$D$49,"LM",IF('GNI per capita'!AZ45&lt;=Thresholds!$E$49,"UM","H")))</f>
        <v>H</v>
      </c>
      <c r="BA45" s="42" t="str">
        <f>IF('GNI per capita'!BA45&lt;=Thresholds!$C$50,"L",IF('GNI per capita'!BA45&lt;=Thresholds!$D$50,"LM",IF('GNI per capita'!BA45&lt;=Thresholds!$E$50,"UM","H")))</f>
        <v>H</v>
      </c>
      <c r="BB45" s="42" t="str">
        <f>IF('GNI per capita'!BB45&lt;=Thresholds!$C$51,"L",IF('GNI per capita'!BB45&lt;=Thresholds!$D$51,"LM",IF('GNI per capita'!BB45&lt;=Thresholds!$E$51,"UM","H")))</f>
        <v>H</v>
      </c>
      <c r="BC45" s="42" t="str">
        <f>IF('GNI per capita'!BC45&lt;=Thresholds!$C$52,"L",IF('GNI per capita'!BC45&lt;=Thresholds!$D$52,"LM",IF('GNI per capita'!BC45&lt;=Thresholds!$E$52,"UM","H")))</f>
        <v>H</v>
      </c>
      <c r="BD45" s="42" t="str">
        <f>IF('GNI per capita'!BD45&lt;=Thresholds!$C$53,"L",IF('GNI per capita'!BD45&lt;=Thresholds!$D$53,"LM",IF('GNI per capita'!BD45&lt;=Thresholds!$E$53,"UM","H")))</f>
        <v>H</v>
      </c>
      <c r="BE45" s="42" t="str">
        <f>IF('GNI per capita'!BE45&lt;=Thresholds!$C$54,"L",IF('GNI per capita'!BE45&lt;=Thresholds!$D$54,"LM",IF('GNI per capita'!BE45&lt;=Thresholds!$E$54,"UM","H")))</f>
        <v>H</v>
      </c>
      <c r="BF45" s="42" t="str">
        <f>IF('GNI per capita'!BF45&lt;=Thresholds!$C$55,"L",IF('GNI per capita'!BF45&lt;=Thresholds!$D$55,"LM",IF('GNI per capita'!BF45&lt;=Thresholds!$E$55,"UM","H")))</f>
        <v>H</v>
      </c>
      <c r="BG45" s="42" t="str">
        <f>IF('GNI per capita'!BG45&lt;=Thresholds!$C$56,"L",IF('GNI per capita'!BG45&lt;=Thresholds!$D$56,"LM",IF('GNI per capita'!BG45&lt;=Thresholds!$E$56,"UM","H")))</f>
        <v>H</v>
      </c>
      <c r="BH45" s="42" t="str">
        <f>IF('GNI per capita'!BH45&lt;=Thresholds!$C$57,"L",IF('GNI per capita'!BH45&lt;=Thresholds!$D$57,"LM",IF('GNI per capita'!BH45&lt;=Thresholds!$E$57,"UM","H")))</f>
        <v>H</v>
      </c>
      <c r="BI45" s="42" t="str">
        <f>IF('GNI per capita'!BI45&lt;=Thresholds!$C$58,"L",IF('GNI per capita'!BI45&lt;=Thresholds!$D$58,"LM",IF('GNI per capita'!BI45&lt;=Thresholds!$E$58,"UM","H")))</f>
        <v>H</v>
      </c>
      <c r="BJ45" s="42" t="str">
        <f>IF('GNI per capita'!BJ45&lt;=Thresholds!$C$59,"L",IF('GNI per capita'!BJ45&lt;=Thresholds!$D$59,"LM",IF('GNI per capita'!BJ45&lt;=Thresholds!$E$59,"UM","H")))</f>
        <v>H</v>
      </c>
      <c r="BK45" s="42" t="str">
        <f>IF('GNI per capita'!BK45&lt;=Thresholds!$C$60,"L",IF('GNI per capita'!BK45&lt;=Thresholds!$D$60,"LM",IF('GNI per capita'!BK45&lt;=Thresholds!$E$60,"UM","H")))</f>
        <v>H</v>
      </c>
      <c r="BL45" s="42" t="str">
        <f>IF('GNI per capita'!BL45&lt;=Thresholds!$C$61,"L",IF('GNI per capita'!BL45&lt;=Thresholds!$D$61,"LM",IF('GNI per capita'!BL45&lt;=Thresholds!$E$61,"UM","H")))</f>
        <v>H</v>
      </c>
      <c r="BM45" s="42" t="str">
        <f>IF('GNI per capita'!BM45&lt;=Thresholds!$C$62,"L",IF('GNI per capita'!BM45&lt;=Thresholds!$D$62,"LM",IF('GNI per capita'!BM45&lt;=Thresholds!$E$62,"UM","H")))</f>
        <v>H</v>
      </c>
      <c r="BN45" s="42" t="str">
        <f>IF('GNI per capita'!BN45&lt;=Thresholds!$C$63,"L",IF('GNI per capita'!BN45&lt;=Thresholds!$D$63,"LM",IF('GNI per capita'!BN45&lt;=Thresholds!$E$63,"UM","H")))</f>
        <v>H</v>
      </c>
      <c r="BO45" s="42" t="str">
        <f>IF('GNI per capita'!BO45&lt;=Thresholds!$C$64,"L",IF('GNI per capita'!BO45&lt;=Thresholds!$D$64,"LM",IF('GNI per capita'!BO45&lt;=Thresholds!$E$64,"UM","H")))</f>
        <v>H</v>
      </c>
      <c r="BP45" s="42" t="str">
        <f>IF('GNI per capita'!BP45&lt;=Thresholds!$C$65,"L",IF('GNI per capita'!BP45&lt;=Thresholds!$D$65,"LM",IF('GNI per capita'!BP45&lt;=Thresholds!$E$65,"UM","H")))</f>
        <v>H</v>
      </c>
      <c r="BQ45" s="42" t="str">
        <f>IF('GNI per capita'!BQ45&lt;=Thresholds!$C$66,"L",IF('GNI per capita'!BQ45&lt;=Thresholds!$D$66,"LM",IF('GNI per capita'!BQ45&lt;=Thresholds!$E$66,"UM","H")))</f>
        <v>H</v>
      </c>
      <c r="BR45" s="42" t="str">
        <f>IF('GNI per capita'!BR45&lt;=Thresholds!$C$67,"L",IF('GNI per capita'!BR45&lt;=Thresholds!$D$67,"LM",IF('GNI per capita'!BR45&lt;=Thresholds!$E$67,"UM","H")))</f>
        <v>H</v>
      </c>
      <c r="BS45" s="42" t="str">
        <f>IF('GNI per capita'!BS45&lt;=Thresholds!$C$68,"L",IF('GNI per capita'!BS45&lt;=Thresholds!$D$68,"LM",IF('GNI per capita'!BS45&lt;=Thresholds!$E$68,"UM","H")))</f>
        <v>H</v>
      </c>
    </row>
    <row r="46" spans="1:71" x14ac:dyDescent="0.2">
      <c r="A46" s="2" t="s">
        <v>291</v>
      </c>
      <c r="B46" s="2" t="s">
        <v>292</v>
      </c>
      <c r="C46" s="11" t="s">
        <v>82</v>
      </c>
      <c r="G46" s="2" t="s">
        <v>162</v>
      </c>
      <c r="H46" s="41" t="s">
        <v>210</v>
      </c>
      <c r="I46" s="41" t="s">
        <v>210</v>
      </c>
      <c r="J46" s="41" t="s">
        <v>210</v>
      </c>
      <c r="K46" s="41" t="s">
        <v>210</v>
      </c>
      <c r="L46" s="41" t="s">
        <v>210</v>
      </c>
      <c r="M46" s="41" t="s">
        <v>210</v>
      </c>
      <c r="N46" s="41" t="s">
        <v>210</v>
      </c>
      <c r="O46" s="41" t="s">
        <v>210</v>
      </c>
      <c r="P46" s="41" t="s">
        <v>210</v>
      </c>
      <c r="Q46" s="41" t="s">
        <v>210</v>
      </c>
      <c r="R46" s="41" t="s">
        <v>210</v>
      </c>
      <c r="S46" s="41" t="s">
        <v>210</v>
      </c>
      <c r="T46" s="41" t="s">
        <v>210</v>
      </c>
      <c r="U46" s="41" t="s">
        <v>210</v>
      </c>
      <c r="V46" s="41" t="s">
        <v>210</v>
      </c>
      <c r="W46" s="41" t="s">
        <v>210</v>
      </c>
      <c r="X46" s="41" t="s">
        <v>210</v>
      </c>
      <c r="Y46" s="41" t="s">
        <v>210</v>
      </c>
      <c r="Z46" s="41" t="s">
        <v>210</v>
      </c>
      <c r="AA46" s="41" t="s">
        <v>210</v>
      </c>
      <c r="AB46" s="41" t="s">
        <v>210</v>
      </c>
      <c r="AC46" s="41" t="s">
        <v>82</v>
      </c>
      <c r="AD46" s="41" t="s">
        <v>82</v>
      </c>
      <c r="AE46" s="41" t="s">
        <v>82</v>
      </c>
      <c r="AF46" s="41" t="s">
        <v>82</v>
      </c>
      <c r="AG46" s="41" t="s">
        <v>82</v>
      </c>
      <c r="AH46" s="41" t="s">
        <v>82</v>
      </c>
      <c r="AI46" s="41" t="s">
        <v>82</v>
      </c>
      <c r="AJ46" s="41" t="s">
        <v>82</v>
      </c>
      <c r="AK46" s="41" t="s">
        <v>82</v>
      </c>
      <c r="AL46" s="41" t="s">
        <v>82</v>
      </c>
      <c r="AM46" s="41" t="s">
        <v>82</v>
      </c>
      <c r="AN46" s="41" t="s">
        <v>82</v>
      </c>
      <c r="AO46" s="41" t="s">
        <v>82</v>
      </c>
      <c r="AP46" s="41" t="s">
        <v>82</v>
      </c>
      <c r="AQ46" s="41" t="s">
        <v>82</v>
      </c>
      <c r="AR46" s="41" t="s">
        <v>82</v>
      </c>
      <c r="AS46" s="41" t="s">
        <v>82</v>
      </c>
      <c r="AT46" s="41" t="s">
        <v>82</v>
      </c>
      <c r="AU46" s="42" t="str">
        <f>IF('GNI per capita'!AU46&lt;=Thresholds!$C$44,"L",IF('GNI per capita'!AU46&lt;=Thresholds!$D$44,"LM",IF('GNI per capita'!AU46&lt;=Thresholds!$E$44,"UM","H")))</f>
        <v>UM</v>
      </c>
      <c r="AV46" s="42" t="str">
        <f>IF('GNI per capita'!AV46&lt;=Thresholds!$C$45,"L",IF('GNI per capita'!AV46&lt;=Thresholds!$D$45,"LM",IF('GNI per capita'!AV46&lt;=Thresholds!$E$45,"UM","H")))</f>
        <v>UM</v>
      </c>
      <c r="AW46" s="42" t="str">
        <f>IF('GNI per capita'!AW46&lt;=Thresholds!$C$46,"L",IF('GNI per capita'!AW46&lt;=Thresholds!$D$46,"LM",IF('GNI per capita'!AW46&lt;=Thresholds!$E$46,"UM","H")))</f>
        <v>UM</v>
      </c>
      <c r="AX46" s="42" t="str">
        <f>IF('GNI per capita'!AX46&lt;=Thresholds!$C$47,"L",IF('GNI per capita'!AX46&lt;=Thresholds!$D$47,"LM",IF('GNI per capita'!AX46&lt;=Thresholds!$E$47,"UM","H")))</f>
        <v>UM</v>
      </c>
      <c r="AY46" s="42" t="str">
        <f>IF('GNI per capita'!AY46&lt;=Thresholds!$C$48,"L",IF('GNI per capita'!AY46&lt;=Thresholds!$D$48,"LM",IF('GNI per capita'!AY46&lt;=Thresholds!$E$48,"UM","H")))</f>
        <v>UM</v>
      </c>
      <c r="AZ46" s="42" t="str">
        <f>IF('GNI per capita'!AZ46&lt;=Thresholds!$C$49,"L",IF('GNI per capita'!AZ46&lt;=Thresholds!$D$49,"LM",IF('GNI per capita'!AZ46&lt;=Thresholds!$E$49,"UM","H")))</f>
        <v>UM</v>
      </c>
      <c r="BA46" s="42" t="str">
        <f>IF('GNI per capita'!BA46&lt;=Thresholds!$C$50,"L",IF('GNI per capita'!BA46&lt;=Thresholds!$D$50,"LM",IF('GNI per capita'!BA46&lt;=Thresholds!$E$50,"UM","H")))</f>
        <v>UM</v>
      </c>
      <c r="BB46" s="42" t="str">
        <f>IF('GNI per capita'!BB46&lt;=Thresholds!$C$51,"L",IF('GNI per capita'!BB46&lt;=Thresholds!$D$51,"LM",IF('GNI per capita'!BB46&lt;=Thresholds!$E$51,"UM","H")))</f>
        <v>UM</v>
      </c>
      <c r="BC46" s="42" t="str">
        <f>IF('GNI per capita'!BC46&lt;=Thresholds!$C$52,"L",IF('GNI per capita'!BC46&lt;=Thresholds!$D$52,"LM",IF('GNI per capita'!BC46&lt;=Thresholds!$E$52,"UM","H")))</f>
        <v>UM</v>
      </c>
      <c r="BD46" s="42" t="str">
        <f>IF('GNI per capita'!BD46&lt;=Thresholds!$C$53,"L",IF('GNI per capita'!BD46&lt;=Thresholds!$D$53,"LM",IF('GNI per capita'!BD46&lt;=Thresholds!$E$53,"UM","H")))</f>
        <v>UM</v>
      </c>
      <c r="BE46" s="42" t="str">
        <f>IF('GNI per capita'!BE46&lt;=Thresholds!$C$54,"L",IF('GNI per capita'!BE46&lt;=Thresholds!$D$54,"LM",IF('GNI per capita'!BE46&lt;=Thresholds!$E$54,"UM","H")))</f>
        <v>UM</v>
      </c>
      <c r="BF46" s="42" t="str">
        <f>IF('GNI per capita'!BF46&lt;=Thresholds!$C$55,"L",IF('GNI per capita'!BF46&lt;=Thresholds!$D$55,"LM",IF('GNI per capita'!BF46&lt;=Thresholds!$E$55,"UM","H")))</f>
        <v>UM</v>
      </c>
      <c r="BG46" s="42" t="str">
        <f>IF('GNI per capita'!BG46&lt;=Thresholds!$C$56,"L",IF('GNI per capita'!BG46&lt;=Thresholds!$D$56,"LM",IF('GNI per capita'!BG46&lt;=Thresholds!$E$56,"UM","H")))</f>
        <v>UM</v>
      </c>
      <c r="BH46" s="42" t="str">
        <f>IF('GNI per capita'!BH46&lt;=Thresholds!$C$57,"L",IF('GNI per capita'!BH46&lt;=Thresholds!$D$57,"LM",IF('GNI per capita'!BH46&lt;=Thresholds!$E$57,"UM","H")))</f>
        <v>UM</v>
      </c>
      <c r="BI46" s="42" t="str">
        <f>IF('GNI per capita'!BI46&lt;=Thresholds!$C$58,"L",IF('GNI per capita'!BI46&lt;=Thresholds!$D$58,"LM",IF('GNI per capita'!BI46&lt;=Thresholds!$E$58,"UM","H")))</f>
        <v>UM</v>
      </c>
      <c r="BJ46" s="42" t="str">
        <f>IF('GNI per capita'!BJ46&lt;=Thresholds!$C$59,"L",IF('GNI per capita'!BJ46&lt;=Thresholds!$D$59,"LM",IF('GNI per capita'!BJ46&lt;=Thresholds!$E$59,"UM","H")))</f>
        <v>UM</v>
      </c>
      <c r="BK46" s="42" t="str">
        <f>IF('GNI per capita'!BK46&lt;=Thresholds!$C$60,"L",IF('GNI per capita'!BK46&lt;=Thresholds!$D$60,"LM",IF('GNI per capita'!BK46&lt;=Thresholds!$E$60,"UM","H")))</f>
        <v>UM</v>
      </c>
      <c r="BL46" s="42" t="str">
        <f>IF('GNI per capita'!BL46&lt;=Thresholds!$C$61,"L",IF('GNI per capita'!BL46&lt;=Thresholds!$D$61,"LM",IF('GNI per capita'!BL46&lt;=Thresholds!$E$61,"UM","H")))</f>
        <v>UM</v>
      </c>
      <c r="BM46" s="42" t="str">
        <f>IF('GNI per capita'!BM46&lt;=Thresholds!$C$62,"L",IF('GNI per capita'!BM46&lt;=Thresholds!$D$62,"LM",IF('GNI per capita'!BM46&lt;=Thresholds!$E$62,"UM","H")))</f>
        <v>UM</v>
      </c>
      <c r="BN46" s="42" t="str">
        <f>IF('GNI per capita'!BN46&lt;=Thresholds!$C$63,"L",IF('GNI per capita'!BN46&lt;=Thresholds!$D$63,"LM",IF('GNI per capita'!BN46&lt;=Thresholds!$E$63,"UM","H")))</f>
        <v>UM</v>
      </c>
      <c r="BO46" s="42" t="str">
        <f>IF('GNI per capita'!BO46&lt;=Thresholds!$C$64,"L",IF('GNI per capita'!BO46&lt;=Thresholds!$D$64,"LM",IF('GNI per capita'!BO46&lt;=Thresholds!$E$64,"UM","H")))</f>
        <v>H</v>
      </c>
      <c r="BP46" s="42" t="str">
        <f>IF('GNI per capita'!BP46&lt;=Thresholds!$C$65,"L",IF('GNI per capita'!BP46&lt;=Thresholds!$D$65,"LM",IF('GNI per capita'!BP46&lt;=Thresholds!$E$65,"UM","H")))</f>
        <v>H</v>
      </c>
      <c r="BQ46" s="42" t="str">
        <f>IF('GNI per capita'!BQ46&lt;=Thresholds!$C$66,"L",IF('GNI per capita'!BQ46&lt;=Thresholds!$D$66,"LM",IF('GNI per capita'!BQ46&lt;=Thresholds!$E$66,"UM","H")))</f>
        <v>H</v>
      </c>
      <c r="BR46" s="42" t="str">
        <f>IF('GNI per capita'!BR46&lt;=Thresholds!$C$67,"L",IF('GNI per capita'!BR46&lt;=Thresholds!$D$67,"LM",IF('GNI per capita'!BR46&lt;=Thresholds!$E$67,"UM","H")))</f>
        <v>H</v>
      </c>
      <c r="BS46" s="42" t="str">
        <f>IF('GNI per capita'!BS46&lt;=Thresholds!$C$68,"L",IF('GNI per capita'!BS46&lt;=Thresholds!$D$68,"LM",IF('GNI per capita'!BS46&lt;=Thresholds!$E$68,"UM","H")))</f>
        <v>H</v>
      </c>
    </row>
    <row r="47" spans="1:71" x14ac:dyDescent="0.2">
      <c r="A47" s="2" t="s">
        <v>293</v>
      </c>
      <c r="B47" s="2" t="s">
        <v>294</v>
      </c>
      <c r="C47" s="11" t="s">
        <v>210</v>
      </c>
      <c r="G47" s="2" t="s">
        <v>162</v>
      </c>
      <c r="H47" s="41" t="s">
        <v>75</v>
      </c>
      <c r="I47" s="41" t="s">
        <v>75</v>
      </c>
      <c r="J47" s="41" t="s">
        <v>75</v>
      </c>
      <c r="K47" s="41" t="s">
        <v>75</v>
      </c>
      <c r="L47" s="41" t="s">
        <v>75</v>
      </c>
      <c r="M47" s="41" t="s">
        <v>75</v>
      </c>
      <c r="N47" s="41" t="s">
        <v>75</v>
      </c>
      <c r="O47" s="41" t="s">
        <v>75</v>
      </c>
      <c r="P47" s="41" t="s">
        <v>75</v>
      </c>
      <c r="Q47" s="41" t="s">
        <v>75</v>
      </c>
      <c r="R47" s="41" t="s">
        <v>75</v>
      </c>
      <c r="S47" s="41" t="s">
        <v>75</v>
      </c>
      <c r="T47" s="41" t="s">
        <v>75</v>
      </c>
      <c r="U47" s="41" t="s">
        <v>75</v>
      </c>
      <c r="V47" s="41" t="s">
        <v>75</v>
      </c>
      <c r="W47" s="41" t="s">
        <v>75</v>
      </c>
      <c r="X47" s="41" t="s">
        <v>75</v>
      </c>
      <c r="Y47" s="41" t="s">
        <v>75</v>
      </c>
      <c r="Z47" s="41" t="s">
        <v>75</v>
      </c>
      <c r="AA47" s="41" t="s">
        <v>75</v>
      </c>
      <c r="AB47" s="41" t="s">
        <v>75</v>
      </c>
      <c r="AC47" s="41" t="s">
        <v>75</v>
      </c>
      <c r="AD47" s="41" t="s">
        <v>75</v>
      </c>
      <c r="AE47" s="41" t="s">
        <v>75</v>
      </c>
      <c r="AF47" s="41" t="s">
        <v>75</v>
      </c>
      <c r="AG47" s="41" t="s">
        <v>75</v>
      </c>
      <c r="AH47" s="41" t="s">
        <v>75</v>
      </c>
      <c r="AI47" s="41" t="s">
        <v>75</v>
      </c>
      <c r="AJ47" s="41" t="s">
        <v>75</v>
      </c>
      <c r="AK47" s="41" t="s">
        <v>75</v>
      </c>
      <c r="AL47" s="41" t="s">
        <v>75</v>
      </c>
      <c r="AM47" s="41" t="s">
        <v>210</v>
      </c>
      <c r="AN47" s="41" t="s">
        <v>210</v>
      </c>
      <c r="AO47" s="41" t="s">
        <v>210</v>
      </c>
      <c r="AP47" s="41" t="s">
        <v>210</v>
      </c>
      <c r="AQ47" s="41" t="s">
        <v>210</v>
      </c>
      <c r="AR47" s="41" t="s">
        <v>210</v>
      </c>
      <c r="AS47" s="41" t="s">
        <v>210</v>
      </c>
      <c r="AT47" s="41" t="s">
        <v>210</v>
      </c>
      <c r="AU47" s="42" t="str">
        <f>IF('GNI per capita'!AU47&lt;=Thresholds!$C$44,"L",IF('GNI per capita'!AU47&lt;=Thresholds!$D$44,"LM",IF('GNI per capita'!AU47&lt;=Thresholds!$E$44,"UM","H")))</f>
        <v>LM</v>
      </c>
      <c r="AV47" s="42" t="str">
        <f>IF('GNI per capita'!AV47&lt;=Thresholds!$C$45,"L",IF('GNI per capita'!AV47&lt;=Thresholds!$D$45,"LM",IF('GNI per capita'!AV47&lt;=Thresholds!$E$45,"UM","H")))</f>
        <v>LM</v>
      </c>
      <c r="AW47" s="42" t="str">
        <f>IF('GNI per capita'!AW47&lt;=Thresholds!$C$46,"L",IF('GNI per capita'!AW47&lt;=Thresholds!$D$46,"LM",IF('GNI per capita'!AW47&lt;=Thresholds!$E$46,"UM","H")))</f>
        <v>LM</v>
      </c>
      <c r="AX47" s="42" t="str">
        <f>IF('GNI per capita'!AX47&lt;=Thresholds!$C$47,"L",IF('GNI per capita'!AX47&lt;=Thresholds!$D$47,"LM",IF('GNI per capita'!AX47&lt;=Thresholds!$E$47,"UM","H")))</f>
        <v>LM</v>
      </c>
      <c r="AY47" s="42" t="str">
        <f>IF('GNI per capita'!AY47&lt;=Thresholds!$C$48,"L",IF('GNI per capita'!AY47&lt;=Thresholds!$D$48,"LM",IF('GNI per capita'!AY47&lt;=Thresholds!$E$48,"UM","H")))</f>
        <v>LM</v>
      </c>
      <c r="AZ47" s="42" t="str">
        <f>IF('GNI per capita'!AZ47&lt;=Thresholds!$C$49,"L",IF('GNI per capita'!AZ47&lt;=Thresholds!$D$49,"LM",IF('GNI per capita'!AZ47&lt;=Thresholds!$E$49,"UM","H")))</f>
        <v>LM</v>
      </c>
      <c r="BA47" s="42" t="str">
        <f>IF('GNI per capita'!BA47&lt;=Thresholds!$C$50,"L",IF('GNI per capita'!BA47&lt;=Thresholds!$D$50,"LM",IF('GNI per capita'!BA47&lt;=Thresholds!$E$50,"UM","H")))</f>
        <v>LM</v>
      </c>
      <c r="BB47" s="42" t="str">
        <f>IF('GNI per capita'!BB47&lt;=Thresholds!$C$51,"L",IF('GNI per capita'!BB47&lt;=Thresholds!$D$51,"LM",IF('GNI per capita'!BB47&lt;=Thresholds!$E$51,"UM","H")))</f>
        <v>LM</v>
      </c>
      <c r="BC47" s="42" t="str">
        <f>IF('GNI per capita'!BC47&lt;=Thresholds!$C$52,"L",IF('GNI per capita'!BC47&lt;=Thresholds!$D$52,"LM",IF('GNI per capita'!BC47&lt;=Thresholds!$E$52,"UM","H")))</f>
        <v>LM</v>
      </c>
      <c r="BD47" s="42" t="str">
        <f>IF('GNI per capita'!BD47&lt;=Thresholds!$C$53,"L",IF('GNI per capita'!BD47&lt;=Thresholds!$D$53,"LM",IF('GNI per capita'!BD47&lt;=Thresholds!$E$53,"UM","H")))</f>
        <v>LM</v>
      </c>
      <c r="BE47" s="42" t="str">
        <f>IF('GNI per capita'!BE47&lt;=Thresholds!$C$54,"L",IF('GNI per capita'!BE47&lt;=Thresholds!$D$54,"LM",IF('GNI per capita'!BE47&lt;=Thresholds!$E$54,"UM","H")))</f>
        <v>LM</v>
      </c>
      <c r="BF47" s="42" t="str">
        <f>IF('GNI per capita'!BF47&lt;=Thresholds!$C$55,"L",IF('GNI per capita'!BF47&lt;=Thresholds!$D$55,"LM",IF('GNI per capita'!BF47&lt;=Thresholds!$E$55,"UM","H")))</f>
        <v>LM</v>
      </c>
      <c r="BG47" s="42" t="str">
        <f>IF('GNI per capita'!BG47&lt;=Thresholds!$C$56,"L",IF('GNI per capita'!BG47&lt;=Thresholds!$D$56,"LM",IF('GNI per capita'!BG47&lt;=Thresholds!$E$56,"UM","H")))</f>
        <v>LM</v>
      </c>
      <c r="BH47" s="42" t="str">
        <f>IF('GNI per capita'!BH47&lt;=Thresholds!$C$57,"L",IF('GNI per capita'!BH47&lt;=Thresholds!$D$57,"LM",IF('GNI per capita'!BH47&lt;=Thresholds!$E$57,"UM","H")))</f>
        <v>LM</v>
      </c>
      <c r="BI47" s="42" t="str">
        <f>IF('GNI per capita'!BI47&lt;=Thresholds!$C$58,"L",IF('GNI per capita'!BI47&lt;=Thresholds!$D$58,"LM",IF('GNI per capita'!BI47&lt;=Thresholds!$E$58,"UM","H")))</f>
        <v>LM</v>
      </c>
      <c r="BJ47" s="42" t="str">
        <f>IF('GNI per capita'!BJ47&lt;=Thresholds!$C$59,"L",IF('GNI per capita'!BJ47&lt;=Thresholds!$D$59,"LM",IF('GNI per capita'!BJ47&lt;=Thresholds!$E$59,"UM","H")))</f>
        <v>LM</v>
      </c>
      <c r="BK47" s="42" t="str">
        <f>IF('GNI per capita'!BK47&lt;=Thresholds!$C$60,"L",IF('GNI per capita'!BK47&lt;=Thresholds!$D$60,"LM",IF('GNI per capita'!BK47&lt;=Thresholds!$E$60,"UM","H")))</f>
        <v>LM</v>
      </c>
      <c r="BL47" s="42" t="str">
        <f>IF('GNI per capita'!BL47&lt;=Thresholds!$C$61,"L",IF('GNI per capita'!BL47&lt;=Thresholds!$D$61,"LM",IF('GNI per capita'!BL47&lt;=Thresholds!$E$61,"UM","H")))</f>
        <v>LM</v>
      </c>
      <c r="BM47" s="42" t="str">
        <f>IF('GNI per capita'!BM47&lt;=Thresholds!$C$62,"L",IF('GNI per capita'!BM47&lt;=Thresholds!$D$62,"LM",IF('GNI per capita'!BM47&lt;=Thresholds!$E$62,"UM","H")))</f>
        <v>LM</v>
      </c>
      <c r="BN47" s="42" t="str">
        <f>IF('GNI per capita'!BN47&lt;=Thresholds!$C$63,"L",IF('GNI per capita'!BN47&lt;=Thresholds!$D$63,"LM",IF('GNI per capita'!BN47&lt;=Thresholds!$E$63,"UM","H")))</f>
        <v>LM</v>
      </c>
      <c r="BO47" s="42" t="str">
        <f>IF('GNI per capita'!BO47&lt;=Thresholds!$C$64,"L",IF('GNI per capita'!BO47&lt;=Thresholds!$D$64,"LM",IF('GNI per capita'!BO47&lt;=Thresholds!$E$64,"UM","H")))</f>
        <v>LM</v>
      </c>
      <c r="BP47" s="42" t="str">
        <f>IF('GNI per capita'!BP47&lt;=Thresholds!$C$65,"L",IF('GNI per capita'!BP47&lt;=Thresholds!$D$65,"LM",IF('GNI per capita'!BP47&lt;=Thresholds!$E$65,"UM","H")))</f>
        <v>LM</v>
      </c>
      <c r="BQ47" s="42" t="str">
        <f>IF('GNI per capita'!BQ47&lt;=Thresholds!$C$66,"L",IF('GNI per capita'!BQ47&lt;=Thresholds!$D$66,"LM",IF('GNI per capita'!BQ47&lt;=Thresholds!$E$66,"UM","H")))</f>
        <v>LM</v>
      </c>
      <c r="BR47" s="42" t="str">
        <f>IF('GNI per capita'!BR47&lt;=Thresholds!$C$67,"L",IF('GNI per capita'!BR47&lt;=Thresholds!$D$67,"LM",IF('GNI per capita'!BR47&lt;=Thresholds!$E$67,"UM","H")))</f>
        <v>LM</v>
      </c>
      <c r="BS47" s="42" t="str">
        <f>IF('GNI per capita'!BS47&lt;=Thresholds!$C$68,"L",IF('GNI per capita'!BS47&lt;=Thresholds!$D$68,"LM",IF('GNI per capita'!BS47&lt;=Thresholds!$E$68,"UM","H")))</f>
        <v>LM</v>
      </c>
    </row>
    <row r="48" spans="1:71" x14ac:dyDescent="0.2">
      <c r="A48" s="2" t="s">
        <v>295</v>
      </c>
      <c r="B48" s="2" t="s">
        <v>296</v>
      </c>
      <c r="C48" s="11" t="s">
        <v>75</v>
      </c>
      <c r="G48" s="2" t="s">
        <v>162</v>
      </c>
      <c r="H48" s="41" t="s">
        <v>75</v>
      </c>
      <c r="I48" s="41" t="s">
        <v>75</v>
      </c>
      <c r="J48" s="41" t="s">
        <v>75</v>
      </c>
      <c r="K48" s="41" t="s">
        <v>75</v>
      </c>
      <c r="L48" s="41" t="s">
        <v>75</v>
      </c>
      <c r="M48" s="41" t="s">
        <v>75</v>
      </c>
      <c r="N48" s="41" t="s">
        <v>75</v>
      </c>
      <c r="O48" s="41" t="s">
        <v>75</v>
      </c>
      <c r="P48" s="41" t="s">
        <v>75</v>
      </c>
      <c r="Q48" s="41" t="s">
        <v>75</v>
      </c>
      <c r="R48" s="41" t="s">
        <v>75</v>
      </c>
      <c r="S48" s="41" t="s">
        <v>75</v>
      </c>
      <c r="T48" s="41" t="s">
        <v>75</v>
      </c>
      <c r="U48" s="41" t="s">
        <v>75</v>
      </c>
      <c r="V48" s="41" t="s">
        <v>75</v>
      </c>
      <c r="W48" s="41" t="s">
        <v>75</v>
      </c>
      <c r="X48" s="41" t="s">
        <v>75</v>
      </c>
      <c r="Y48" s="41" t="s">
        <v>75</v>
      </c>
      <c r="Z48" s="41" t="s">
        <v>75</v>
      </c>
      <c r="AA48" s="41" t="s">
        <v>75</v>
      </c>
      <c r="AB48" s="41" t="s">
        <v>75</v>
      </c>
      <c r="AC48" s="41" t="s">
        <v>75</v>
      </c>
      <c r="AD48" s="41" t="s">
        <v>75</v>
      </c>
      <c r="AE48" s="41" t="s">
        <v>75</v>
      </c>
      <c r="AF48" s="41" t="s">
        <v>75</v>
      </c>
      <c r="AG48" s="41" t="s">
        <v>75</v>
      </c>
      <c r="AH48" s="41" t="s">
        <v>75</v>
      </c>
      <c r="AI48" s="41" t="s">
        <v>75</v>
      </c>
      <c r="AJ48" s="41" t="s">
        <v>75</v>
      </c>
      <c r="AK48" s="41" t="s">
        <v>75</v>
      </c>
      <c r="AL48" s="41" t="s">
        <v>75</v>
      </c>
      <c r="AM48" s="41" t="s">
        <v>75</v>
      </c>
      <c r="AN48" s="41" t="s">
        <v>75</v>
      </c>
      <c r="AO48" s="41" t="s">
        <v>75</v>
      </c>
      <c r="AP48" s="41" t="s">
        <v>75</v>
      </c>
      <c r="AQ48" s="41" t="s">
        <v>75</v>
      </c>
      <c r="AR48" s="41" t="s">
        <v>75</v>
      </c>
      <c r="AS48" s="41" t="s">
        <v>75</v>
      </c>
      <c r="AT48" s="41" t="s">
        <v>75</v>
      </c>
      <c r="AU48" s="42" t="str">
        <f>IF('GNI per capita'!AU48&lt;=Thresholds!$C$44,"L",IF('GNI per capita'!AU48&lt;=Thresholds!$D$44,"LM",IF('GNI per capita'!AU48&lt;=Thresholds!$E$44,"UM","H")))</f>
        <v>L</v>
      </c>
      <c r="AV48" s="42" t="str">
        <f>IF('GNI per capita'!AV48&lt;=Thresholds!$C$45,"L",IF('GNI per capita'!AV48&lt;=Thresholds!$D$45,"LM",IF('GNI per capita'!AV48&lt;=Thresholds!$E$45,"UM","H")))</f>
        <v>L</v>
      </c>
      <c r="AW48" s="42" t="str">
        <f>IF('GNI per capita'!AW48&lt;=Thresholds!$C$46,"L",IF('GNI per capita'!AW48&lt;=Thresholds!$D$46,"LM",IF('GNI per capita'!AW48&lt;=Thresholds!$E$46,"UM","H")))</f>
        <v>L</v>
      </c>
      <c r="AX48" s="42" t="str">
        <f>IF('GNI per capita'!AX48&lt;=Thresholds!$C$47,"L",IF('GNI per capita'!AX48&lt;=Thresholds!$D$47,"LM",IF('GNI per capita'!AX48&lt;=Thresholds!$E$47,"UM","H")))</f>
        <v>L</v>
      </c>
      <c r="AY48" s="42" t="str">
        <f>IF('GNI per capita'!AY48&lt;=Thresholds!$C$48,"L",IF('GNI per capita'!AY48&lt;=Thresholds!$D$48,"LM",IF('GNI per capita'!AY48&lt;=Thresholds!$E$48,"UM","H")))</f>
        <v>L</v>
      </c>
      <c r="AZ48" s="42" t="str">
        <f>IF('GNI per capita'!AZ48&lt;=Thresholds!$C$49,"L",IF('GNI per capita'!AZ48&lt;=Thresholds!$D$49,"LM",IF('GNI per capita'!AZ48&lt;=Thresholds!$E$49,"UM","H")))</f>
        <v>L</v>
      </c>
      <c r="BA48" s="42" t="str">
        <f>IF('GNI per capita'!BA48&lt;=Thresholds!$C$50,"L",IF('GNI per capita'!BA48&lt;=Thresholds!$D$50,"LM",IF('GNI per capita'!BA48&lt;=Thresholds!$E$50,"UM","H")))</f>
        <v>L</v>
      </c>
      <c r="BB48" s="42" t="str">
        <f>IF('GNI per capita'!BB48&lt;=Thresholds!$C$51,"L",IF('GNI per capita'!BB48&lt;=Thresholds!$D$51,"LM",IF('GNI per capita'!BB48&lt;=Thresholds!$E$51,"UM","H")))</f>
        <v>L</v>
      </c>
      <c r="BC48" s="42" t="str">
        <f>IF('GNI per capita'!BC48&lt;=Thresholds!$C$52,"L",IF('GNI per capita'!BC48&lt;=Thresholds!$D$52,"LM",IF('GNI per capita'!BC48&lt;=Thresholds!$E$52,"UM","H")))</f>
        <v>L</v>
      </c>
      <c r="BD48" s="42" t="str">
        <f>IF('GNI per capita'!BD48&lt;=Thresholds!$C$53,"L",IF('GNI per capita'!BD48&lt;=Thresholds!$D$53,"LM",IF('GNI per capita'!BD48&lt;=Thresholds!$E$53,"UM","H")))</f>
        <v>L</v>
      </c>
      <c r="BE48" s="42" t="str">
        <f>IF('GNI per capita'!BE48&lt;=Thresholds!$C$54,"L",IF('GNI per capita'!BE48&lt;=Thresholds!$D$54,"LM",IF('GNI per capita'!BE48&lt;=Thresholds!$E$54,"UM","H")))</f>
        <v>L</v>
      </c>
      <c r="BF48" s="42" t="str">
        <f>IF('GNI per capita'!BF48&lt;=Thresholds!$C$55,"L",IF('GNI per capita'!BF48&lt;=Thresholds!$D$55,"LM",IF('GNI per capita'!BF48&lt;=Thresholds!$E$55,"UM","H")))</f>
        <v>L</v>
      </c>
      <c r="BG48" s="42" t="str">
        <f>IF('GNI per capita'!BG48&lt;=Thresholds!$C$56,"L",IF('GNI per capita'!BG48&lt;=Thresholds!$D$56,"LM",IF('GNI per capita'!BG48&lt;=Thresholds!$E$56,"UM","H")))</f>
        <v>L</v>
      </c>
      <c r="BH48" s="42" t="str">
        <f>IF('GNI per capita'!BH48&lt;=Thresholds!$C$57,"L",IF('GNI per capita'!BH48&lt;=Thresholds!$D$57,"LM",IF('GNI per capita'!BH48&lt;=Thresholds!$E$57,"UM","H")))</f>
        <v>L</v>
      </c>
      <c r="BI48" s="42" t="str">
        <f>IF('GNI per capita'!BI48&lt;=Thresholds!$C$58,"L",IF('GNI per capita'!BI48&lt;=Thresholds!$D$58,"LM",IF('GNI per capita'!BI48&lt;=Thresholds!$E$58,"UM","H")))</f>
        <v>L</v>
      </c>
      <c r="BJ48" s="42" t="str">
        <f>IF('GNI per capita'!BJ48&lt;=Thresholds!$C$59,"L",IF('GNI per capita'!BJ48&lt;=Thresholds!$D$59,"LM",IF('GNI per capita'!BJ48&lt;=Thresholds!$E$59,"UM","H")))</f>
        <v>LM</v>
      </c>
      <c r="BK48" s="42" t="str">
        <f>IF('GNI per capita'!BK48&lt;=Thresholds!$C$60,"L",IF('GNI per capita'!BK48&lt;=Thresholds!$D$60,"LM",IF('GNI per capita'!BK48&lt;=Thresholds!$E$60,"UM","H")))</f>
        <v>LM</v>
      </c>
      <c r="BL48" s="42" t="str">
        <f>IF('GNI per capita'!BL48&lt;=Thresholds!$C$61,"L",IF('GNI per capita'!BL48&lt;=Thresholds!$D$61,"LM",IF('GNI per capita'!BL48&lt;=Thresholds!$E$61,"UM","H")))</f>
        <v>LM</v>
      </c>
      <c r="BM48" s="42" t="str">
        <f>IF('GNI per capita'!BM48&lt;=Thresholds!$C$62,"L",IF('GNI per capita'!BM48&lt;=Thresholds!$D$62,"LM",IF('GNI per capita'!BM48&lt;=Thresholds!$E$62,"UM","H")))</f>
        <v>LM</v>
      </c>
      <c r="BN48" s="42" t="str">
        <f>IF('GNI per capita'!BN48&lt;=Thresholds!$C$63,"L",IF('GNI per capita'!BN48&lt;=Thresholds!$D$63,"LM",IF('GNI per capita'!BN48&lt;=Thresholds!$E$63,"UM","H")))</f>
        <v>LM</v>
      </c>
      <c r="BO48" s="42" t="str">
        <f>IF('GNI per capita'!BO48&lt;=Thresholds!$C$64,"L",IF('GNI per capita'!BO48&lt;=Thresholds!$D$64,"LM",IF('GNI per capita'!BO48&lt;=Thresholds!$E$64,"UM","H")))</f>
        <v>LM</v>
      </c>
      <c r="BP48" s="42" t="str">
        <f>IF('GNI per capita'!BP48&lt;=Thresholds!$C$65,"L",IF('GNI per capita'!BP48&lt;=Thresholds!$D$65,"LM",IF('GNI per capita'!BP48&lt;=Thresholds!$E$65,"UM","H")))</f>
        <v>LM</v>
      </c>
      <c r="BQ48" s="42" t="str">
        <f>IF('GNI per capita'!BQ48&lt;=Thresholds!$C$66,"L",IF('GNI per capita'!BQ48&lt;=Thresholds!$D$66,"LM",IF('GNI per capita'!BQ48&lt;=Thresholds!$E$66,"UM","H")))</f>
        <v>LM</v>
      </c>
      <c r="BR48" s="42" t="str">
        <f>IF('GNI per capita'!BR48&lt;=Thresholds!$C$67,"L",IF('GNI per capita'!BR48&lt;=Thresholds!$D$67,"LM",IF('GNI per capita'!BR48&lt;=Thresholds!$E$67,"UM","H")))</f>
        <v>LM</v>
      </c>
      <c r="BS48" s="42" t="str">
        <f>IF('GNI per capita'!BS48&lt;=Thresholds!$C$68,"L",IF('GNI per capita'!BS48&lt;=Thresholds!$D$68,"LM",IF('GNI per capita'!BS48&lt;=Thresholds!$E$68,"UM","H")))</f>
        <v>LM</v>
      </c>
    </row>
    <row r="49" spans="1:71" x14ac:dyDescent="0.2">
      <c r="A49" s="2" t="s">
        <v>297</v>
      </c>
      <c r="B49" s="2" t="s">
        <v>298</v>
      </c>
      <c r="C49" s="11" t="s">
        <v>210</v>
      </c>
      <c r="G49" s="2" t="s">
        <v>162</v>
      </c>
      <c r="H49" s="41" t="s">
        <v>210</v>
      </c>
      <c r="I49" s="41" t="s">
        <v>210</v>
      </c>
      <c r="J49" s="41" t="s">
        <v>210</v>
      </c>
      <c r="K49" s="41" t="s">
        <v>210</v>
      </c>
      <c r="L49" s="41" t="s">
        <v>210</v>
      </c>
      <c r="M49" s="41" t="s">
        <v>210</v>
      </c>
      <c r="N49" s="41" t="s">
        <v>210</v>
      </c>
      <c r="O49" s="41" t="s">
        <v>75</v>
      </c>
      <c r="P49" s="41" t="s">
        <v>75</v>
      </c>
      <c r="Q49" s="41" t="s">
        <v>75</v>
      </c>
      <c r="R49" s="41" t="s">
        <v>75</v>
      </c>
      <c r="S49" s="41" t="s">
        <v>75</v>
      </c>
      <c r="T49" s="41" t="s">
        <v>75</v>
      </c>
      <c r="U49" s="41" t="s">
        <v>75</v>
      </c>
      <c r="V49" s="41" t="s">
        <v>75</v>
      </c>
      <c r="W49" s="41" t="s">
        <v>75</v>
      </c>
      <c r="X49" s="41" t="s">
        <v>75</v>
      </c>
      <c r="Y49" s="41" t="s">
        <v>75</v>
      </c>
      <c r="Z49" s="41" t="s">
        <v>210</v>
      </c>
      <c r="AA49" s="41" t="s">
        <v>210</v>
      </c>
      <c r="AB49" s="41" t="s">
        <v>210</v>
      </c>
      <c r="AC49" s="41" t="s">
        <v>210</v>
      </c>
      <c r="AD49" s="41" t="s">
        <v>210</v>
      </c>
      <c r="AE49" s="41" t="s">
        <v>210</v>
      </c>
      <c r="AF49" s="41" t="s">
        <v>210</v>
      </c>
      <c r="AG49" s="41" t="s">
        <v>210</v>
      </c>
      <c r="AH49" s="41" t="s">
        <v>210</v>
      </c>
      <c r="AI49" s="41" t="s">
        <v>210</v>
      </c>
      <c r="AJ49" s="41" t="s">
        <v>210</v>
      </c>
      <c r="AK49" s="41" t="s">
        <v>210</v>
      </c>
      <c r="AL49" s="41" t="s">
        <v>210</v>
      </c>
      <c r="AM49" s="41" t="s">
        <v>210</v>
      </c>
      <c r="AN49" s="41" t="s">
        <v>210</v>
      </c>
      <c r="AO49" s="41" t="s">
        <v>210</v>
      </c>
      <c r="AP49" s="41" t="s">
        <v>210</v>
      </c>
      <c r="AQ49" s="41" t="s">
        <v>210</v>
      </c>
      <c r="AR49" s="41" t="s">
        <v>210</v>
      </c>
      <c r="AS49" s="41" t="s">
        <v>210</v>
      </c>
      <c r="AT49" s="41" t="s">
        <v>210</v>
      </c>
      <c r="AU49" s="42" t="str">
        <f>IF('GNI per capita'!AU49&lt;=Thresholds!$C$44,"L",IF('GNI per capita'!AU49&lt;=Thresholds!$D$44,"LM",IF('GNI per capita'!AU49&lt;=Thresholds!$E$44,"UM","H")))</f>
        <v>LM</v>
      </c>
      <c r="AV49" s="42" t="str">
        <f>IF('GNI per capita'!AV49&lt;=Thresholds!$C$45,"L",IF('GNI per capita'!AV49&lt;=Thresholds!$D$45,"LM",IF('GNI per capita'!AV49&lt;=Thresholds!$E$45,"UM","H")))</f>
        <v>LM</v>
      </c>
      <c r="AW49" s="42" t="str">
        <f>IF('GNI per capita'!AW49&lt;=Thresholds!$C$46,"L",IF('GNI per capita'!AW49&lt;=Thresholds!$D$46,"LM",IF('GNI per capita'!AW49&lt;=Thresholds!$E$46,"UM","H")))</f>
        <v>LM</v>
      </c>
      <c r="AX49" s="42" t="str">
        <f>IF('GNI per capita'!AX49&lt;=Thresholds!$C$47,"L",IF('GNI per capita'!AX49&lt;=Thresholds!$D$47,"LM",IF('GNI per capita'!AX49&lt;=Thresholds!$E$47,"UM","H")))</f>
        <v>LM</v>
      </c>
      <c r="AY49" s="42" t="str">
        <f>IF('GNI per capita'!AY49&lt;=Thresholds!$C$48,"L",IF('GNI per capita'!AY49&lt;=Thresholds!$D$48,"LM",IF('GNI per capita'!AY49&lt;=Thresholds!$E$48,"UM","H")))</f>
        <v>LM</v>
      </c>
      <c r="AZ49" s="42" t="str">
        <f>IF('GNI per capita'!AZ49&lt;=Thresholds!$C$49,"L",IF('GNI per capita'!AZ49&lt;=Thresholds!$D$49,"LM",IF('GNI per capita'!AZ49&lt;=Thresholds!$E$49,"UM","H")))</f>
        <v>LM</v>
      </c>
      <c r="BA49" s="42" t="str">
        <f>IF('GNI per capita'!BA49&lt;=Thresholds!$C$50,"L",IF('GNI per capita'!BA49&lt;=Thresholds!$D$50,"LM",IF('GNI per capita'!BA49&lt;=Thresholds!$E$50,"UM","H")))</f>
        <v>LM</v>
      </c>
      <c r="BB49" s="42" t="str">
        <f>IF('GNI per capita'!BB49&lt;=Thresholds!$C$51,"L",IF('GNI per capita'!BB49&lt;=Thresholds!$D$51,"LM",IF('GNI per capita'!BB49&lt;=Thresholds!$E$51,"UM","H")))</f>
        <v>LM</v>
      </c>
      <c r="BC49" s="42" t="str">
        <f>IF('GNI per capita'!BC49&lt;=Thresholds!$C$52,"L",IF('GNI per capita'!BC49&lt;=Thresholds!$D$52,"LM",IF('GNI per capita'!BC49&lt;=Thresholds!$E$52,"UM","H")))</f>
        <v>LM</v>
      </c>
      <c r="BD49" s="42" t="str">
        <f>IF('GNI per capita'!BD49&lt;=Thresholds!$C$53,"L",IF('GNI per capita'!BD49&lt;=Thresholds!$D$53,"LM",IF('GNI per capita'!BD49&lt;=Thresholds!$E$53,"UM","H")))</f>
        <v>LM</v>
      </c>
      <c r="BE49" s="42" t="str">
        <f>IF('GNI per capita'!BE49&lt;=Thresholds!$C$54,"L",IF('GNI per capita'!BE49&lt;=Thresholds!$D$54,"LM",IF('GNI per capita'!BE49&lt;=Thresholds!$E$54,"UM","H")))</f>
        <v>LM</v>
      </c>
      <c r="BF49" s="42" t="str">
        <f>IF('GNI per capita'!BF49&lt;=Thresholds!$C$55,"L",IF('GNI per capita'!BF49&lt;=Thresholds!$D$55,"LM",IF('GNI per capita'!BF49&lt;=Thresholds!$E$55,"UM","H")))</f>
        <v>LM</v>
      </c>
      <c r="BG49" s="42" t="str">
        <f>IF('GNI per capita'!BG49&lt;=Thresholds!$C$56,"L",IF('GNI per capita'!BG49&lt;=Thresholds!$D$56,"LM",IF('GNI per capita'!BG49&lt;=Thresholds!$E$56,"UM","H")))</f>
        <v>LM</v>
      </c>
      <c r="BH49" s="42" t="str">
        <f>IF('GNI per capita'!BH49&lt;=Thresholds!$C$57,"L",IF('GNI per capita'!BH49&lt;=Thresholds!$D$57,"LM",IF('GNI per capita'!BH49&lt;=Thresholds!$E$57,"UM","H")))</f>
        <v>LM</v>
      </c>
      <c r="BI49" s="42" t="str">
        <f>IF('GNI per capita'!BI49&lt;=Thresholds!$C$58,"L",IF('GNI per capita'!BI49&lt;=Thresholds!$D$58,"LM",IF('GNI per capita'!BI49&lt;=Thresholds!$E$58,"UM","H")))</f>
        <v>LM</v>
      </c>
      <c r="BJ49" s="42" t="str">
        <f>IF('GNI per capita'!BJ49&lt;=Thresholds!$C$59,"L",IF('GNI per capita'!BJ49&lt;=Thresholds!$D$59,"LM",IF('GNI per capita'!BJ49&lt;=Thresholds!$E$59,"UM","H")))</f>
        <v>LM</v>
      </c>
      <c r="BK49" s="42" t="str">
        <f>IF('GNI per capita'!BK49&lt;=Thresholds!$C$60,"L",IF('GNI per capita'!BK49&lt;=Thresholds!$D$60,"LM",IF('GNI per capita'!BK49&lt;=Thresholds!$E$60,"UM","H")))</f>
        <v>LM</v>
      </c>
      <c r="BL49" s="42" t="str">
        <f>IF('GNI per capita'!BL49&lt;=Thresholds!$C$61,"L",IF('GNI per capita'!BL49&lt;=Thresholds!$D$61,"LM",IF('GNI per capita'!BL49&lt;=Thresholds!$E$61,"UM","H")))</f>
        <v>LM</v>
      </c>
      <c r="BM49" s="42" t="str">
        <f>IF('GNI per capita'!BM49&lt;=Thresholds!$C$62,"L",IF('GNI per capita'!BM49&lt;=Thresholds!$D$62,"LM",IF('GNI per capita'!BM49&lt;=Thresholds!$E$62,"UM","H")))</f>
        <v>LM</v>
      </c>
      <c r="BN49" s="42" t="str">
        <f>IF('GNI per capita'!BN49&lt;=Thresholds!$C$63,"L",IF('GNI per capita'!BN49&lt;=Thresholds!$D$63,"LM",IF('GNI per capita'!BN49&lt;=Thresholds!$E$63,"UM","H")))</f>
        <v>LM</v>
      </c>
      <c r="BO49" s="42" t="str">
        <f>IF('GNI per capita'!BO49&lt;=Thresholds!$C$64,"L",IF('GNI per capita'!BO49&lt;=Thresholds!$D$64,"LM",IF('GNI per capita'!BO49&lt;=Thresholds!$E$64,"UM","H")))</f>
        <v>LM</v>
      </c>
      <c r="BP49" s="42" t="str">
        <f>IF('GNI per capita'!BP49&lt;=Thresholds!$C$65,"L",IF('GNI per capita'!BP49&lt;=Thresholds!$D$65,"LM",IF('GNI per capita'!BP49&lt;=Thresholds!$E$65,"UM","H")))</f>
        <v>LM</v>
      </c>
      <c r="BQ49" s="42" t="str">
        <f>IF('GNI per capita'!BQ49&lt;=Thresholds!$C$66,"L",IF('GNI per capita'!BQ49&lt;=Thresholds!$D$66,"LM",IF('GNI per capita'!BQ49&lt;=Thresholds!$E$66,"UM","H")))</f>
        <v>LM</v>
      </c>
      <c r="BR49" s="42" t="str">
        <f>IF('GNI per capita'!BR49&lt;=Thresholds!$C$67,"L",IF('GNI per capita'!BR49&lt;=Thresholds!$D$67,"LM",IF('GNI per capita'!BR49&lt;=Thresholds!$E$67,"UM","H")))</f>
        <v>LM</v>
      </c>
      <c r="BS49" s="42" t="str">
        <f>IF('GNI per capita'!BS49&lt;=Thresholds!$C$68,"L",IF('GNI per capita'!BS49&lt;=Thresholds!$D$68,"LM",IF('GNI per capita'!BS49&lt;=Thresholds!$E$68,"UM","H")))</f>
        <v>LM</v>
      </c>
    </row>
    <row r="50" spans="1:71" x14ac:dyDescent="0.2">
      <c r="A50" s="2" t="s">
        <v>299</v>
      </c>
      <c r="B50" s="2" t="s">
        <v>300</v>
      </c>
      <c r="C50" s="11" t="s">
        <v>79</v>
      </c>
      <c r="G50" s="2" t="s">
        <v>162</v>
      </c>
      <c r="H50" s="41" t="s">
        <v>210</v>
      </c>
      <c r="I50" s="41" t="s">
        <v>210</v>
      </c>
      <c r="J50" s="41" t="s">
        <v>210</v>
      </c>
      <c r="K50" s="41" t="s">
        <v>210</v>
      </c>
      <c r="L50" s="41" t="s">
        <v>210</v>
      </c>
      <c r="M50" s="41" t="s">
        <v>210</v>
      </c>
      <c r="N50" s="41" t="s">
        <v>210</v>
      </c>
      <c r="O50" s="41" t="s">
        <v>210</v>
      </c>
      <c r="P50" s="41" t="s">
        <v>210</v>
      </c>
      <c r="Q50" s="41" t="s">
        <v>210</v>
      </c>
      <c r="R50" s="41" t="s">
        <v>210</v>
      </c>
      <c r="S50" s="41" t="s">
        <v>210</v>
      </c>
      <c r="T50" s="41" t="s">
        <v>210</v>
      </c>
      <c r="U50" s="41" t="s">
        <v>82</v>
      </c>
      <c r="V50" s="41" t="s">
        <v>82</v>
      </c>
      <c r="W50" s="41" t="s">
        <v>82</v>
      </c>
      <c r="X50" s="41" t="s">
        <v>82</v>
      </c>
      <c r="Y50" s="41" t="s">
        <v>82</v>
      </c>
      <c r="Z50" s="41" t="s">
        <v>82</v>
      </c>
      <c r="AA50" s="41" t="s">
        <v>82</v>
      </c>
      <c r="AB50" s="41" t="s">
        <v>82</v>
      </c>
      <c r="AC50" s="41" t="s">
        <v>82</v>
      </c>
      <c r="AD50" s="41" t="s">
        <v>82</v>
      </c>
      <c r="AE50" s="41" t="s">
        <v>82</v>
      </c>
      <c r="AF50" s="41" t="s">
        <v>82</v>
      </c>
      <c r="AG50" s="41" t="s">
        <v>82</v>
      </c>
      <c r="AH50" s="41" t="s">
        <v>82</v>
      </c>
      <c r="AI50" s="41" t="s">
        <v>82</v>
      </c>
      <c r="AJ50" s="41" t="s">
        <v>82</v>
      </c>
      <c r="AK50" s="41" t="s">
        <v>82</v>
      </c>
      <c r="AL50" s="41" t="s">
        <v>82</v>
      </c>
      <c r="AM50" s="41" t="s">
        <v>82</v>
      </c>
      <c r="AN50" s="41" t="s">
        <v>82</v>
      </c>
      <c r="AO50" s="41" t="s">
        <v>82</v>
      </c>
      <c r="AP50" s="41" t="s">
        <v>82</v>
      </c>
      <c r="AQ50" s="41" t="s">
        <v>82</v>
      </c>
      <c r="AR50" s="41" t="s">
        <v>82</v>
      </c>
      <c r="AS50" s="41" t="s">
        <v>79</v>
      </c>
      <c r="AT50" s="41" t="s">
        <v>79</v>
      </c>
      <c r="AU50" s="42" t="str">
        <f>IF('GNI per capita'!AU50&lt;=Thresholds!$C$44,"L",IF('GNI per capita'!AU50&lt;=Thresholds!$D$44,"LM",IF('GNI per capita'!AU50&lt;=Thresholds!$E$44,"UM","H")))</f>
        <v>H</v>
      </c>
      <c r="AV50" s="42" t="str">
        <f>IF('GNI per capita'!AV50&lt;=Thresholds!$C$45,"L",IF('GNI per capita'!AV50&lt;=Thresholds!$D$45,"LM",IF('GNI per capita'!AV50&lt;=Thresholds!$E$45,"UM","H")))</f>
        <v>H</v>
      </c>
      <c r="AW50" s="42" t="str">
        <f>IF('GNI per capita'!AW50&lt;=Thresholds!$C$46,"L",IF('GNI per capita'!AW50&lt;=Thresholds!$D$46,"LM",IF('GNI per capita'!AW50&lt;=Thresholds!$E$46,"UM","H")))</f>
        <v>H</v>
      </c>
      <c r="AX50" s="42" t="str">
        <f>IF('GNI per capita'!AX50&lt;=Thresholds!$C$47,"L",IF('GNI per capita'!AX50&lt;=Thresholds!$D$47,"LM",IF('GNI per capita'!AX50&lt;=Thresholds!$E$47,"UM","H")))</f>
        <v>H</v>
      </c>
      <c r="AY50" s="42" t="str">
        <f>IF('GNI per capita'!AY50&lt;=Thresholds!$C$48,"L",IF('GNI per capita'!AY50&lt;=Thresholds!$D$48,"LM",IF('GNI per capita'!AY50&lt;=Thresholds!$E$48,"UM","H")))</f>
        <v>H</v>
      </c>
      <c r="AZ50" s="42" t="str">
        <f>IF('GNI per capita'!AZ50&lt;=Thresholds!$C$49,"L",IF('GNI per capita'!AZ50&lt;=Thresholds!$D$49,"LM",IF('GNI per capita'!AZ50&lt;=Thresholds!$E$49,"UM","H")))</f>
        <v>H</v>
      </c>
      <c r="BA50" s="42" t="str">
        <f>IF('GNI per capita'!BA50&lt;=Thresholds!$C$50,"L",IF('GNI per capita'!BA50&lt;=Thresholds!$D$50,"LM",IF('GNI per capita'!BA50&lt;=Thresholds!$E$50,"UM","H")))</f>
        <v>H</v>
      </c>
      <c r="BB50" s="42" t="str">
        <f>IF('GNI per capita'!BB50&lt;=Thresholds!$C$51,"L",IF('GNI per capita'!BB50&lt;=Thresholds!$D$51,"LM",IF('GNI per capita'!BB50&lt;=Thresholds!$E$51,"UM","H")))</f>
        <v>H</v>
      </c>
      <c r="BC50" s="42" t="str">
        <f>IF('GNI per capita'!BC50&lt;=Thresholds!$C$52,"L",IF('GNI per capita'!BC50&lt;=Thresholds!$D$52,"LM",IF('GNI per capita'!BC50&lt;=Thresholds!$E$52,"UM","H")))</f>
        <v>H</v>
      </c>
      <c r="BD50" s="42" t="str">
        <f>IF('GNI per capita'!BD50&lt;=Thresholds!$C$53,"L",IF('GNI per capita'!BD50&lt;=Thresholds!$D$53,"LM",IF('GNI per capita'!BD50&lt;=Thresholds!$E$53,"UM","H")))</f>
        <v>H</v>
      </c>
      <c r="BE50" s="42" t="str">
        <f>IF('GNI per capita'!BE50&lt;=Thresholds!$C$54,"L",IF('GNI per capita'!BE50&lt;=Thresholds!$D$54,"LM",IF('GNI per capita'!BE50&lt;=Thresholds!$E$54,"UM","H")))</f>
        <v>H</v>
      </c>
      <c r="BF50" s="42" t="str">
        <f>IF('GNI per capita'!BF50&lt;=Thresholds!$C$55,"L",IF('GNI per capita'!BF50&lt;=Thresholds!$D$55,"LM",IF('GNI per capita'!BF50&lt;=Thresholds!$E$55,"UM","H")))</f>
        <v>H</v>
      </c>
      <c r="BG50" s="42" t="str">
        <f>IF('GNI per capita'!BG50&lt;=Thresholds!$C$56,"L",IF('GNI per capita'!BG50&lt;=Thresholds!$D$56,"LM",IF('GNI per capita'!BG50&lt;=Thresholds!$E$56,"UM","H")))</f>
        <v>H</v>
      </c>
      <c r="BH50" s="42" t="str">
        <f>IF('GNI per capita'!BH50&lt;=Thresholds!$C$57,"L",IF('GNI per capita'!BH50&lt;=Thresholds!$D$57,"LM",IF('GNI per capita'!BH50&lt;=Thresholds!$E$57,"UM","H")))</f>
        <v>H</v>
      </c>
      <c r="BI50" s="42" t="str">
        <f>IF('GNI per capita'!BI50&lt;=Thresholds!$C$58,"L",IF('GNI per capita'!BI50&lt;=Thresholds!$D$58,"LM",IF('GNI per capita'!BI50&lt;=Thresholds!$E$58,"UM","H")))</f>
        <v>H</v>
      </c>
      <c r="BJ50" s="42" t="str">
        <f>IF('GNI per capita'!BJ50&lt;=Thresholds!$C$59,"L",IF('GNI per capita'!BJ50&lt;=Thresholds!$D$59,"LM",IF('GNI per capita'!BJ50&lt;=Thresholds!$E$59,"UM","H")))</f>
        <v>H</v>
      </c>
      <c r="BK50" s="42" t="str">
        <f>IF('GNI per capita'!BK50&lt;=Thresholds!$C$60,"L",IF('GNI per capita'!BK50&lt;=Thresholds!$D$60,"LM",IF('GNI per capita'!BK50&lt;=Thresholds!$E$60,"UM","H")))</f>
        <v>H</v>
      </c>
      <c r="BL50" s="42" t="str">
        <f>IF('GNI per capita'!BL50&lt;=Thresholds!$C$61,"L",IF('GNI per capita'!BL50&lt;=Thresholds!$D$61,"LM",IF('GNI per capita'!BL50&lt;=Thresholds!$E$61,"UM","H")))</f>
        <v>H</v>
      </c>
      <c r="BM50" s="42" t="str">
        <f>IF('GNI per capita'!BM50&lt;=Thresholds!$C$62,"L",IF('GNI per capita'!BM50&lt;=Thresholds!$D$62,"LM",IF('GNI per capita'!BM50&lt;=Thresholds!$E$62,"UM","H")))</f>
        <v>H</v>
      </c>
      <c r="BN50" s="42" t="str">
        <f>IF('GNI per capita'!BN50&lt;=Thresholds!$C$63,"L",IF('GNI per capita'!BN50&lt;=Thresholds!$D$63,"LM",IF('GNI per capita'!BN50&lt;=Thresholds!$E$63,"UM","H")))</f>
        <v>H</v>
      </c>
      <c r="BO50" s="42" t="str">
        <f>IF('GNI per capita'!BO50&lt;=Thresholds!$C$64,"L",IF('GNI per capita'!BO50&lt;=Thresholds!$D$64,"LM",IF('GNI per capita'!BO50&lt;=Thresholds!$E$64,"UM","H")))</f>
        <v>H</v>
      </c>
      <c r="BP50" s="42" t="str">
        <f>IF('GNI per capita'!BP50&lt;=Thresholds!$C$65,"L",IF('GNI per capita'!BP50&lt;=Thresholds!$D$65,"LM",IF('GNI per capita'!BP50&lt;=Thresholds!$E$65,"UM","H")))</f>
        <v>H</v>
      </c>
      <c r="BQ50" s="42" t="str">
        <f>IF('GNI per capita'!BQ50&lt;=Thresholds!$C$66,"L",IF('GNI per capita'!BQ50&lt;=Thresholds!$D$66,"LM",IF('GNI per capita'!BQ50&lt;=Thresholds!$E$66,"UM","H")))</f>
        <v>H</v>
      </c>
      <c r="BR50" s="42" t="str">
        <f>IF('GNI per capita'!BR50&lt;=Thresholds!$C$67,"L",IF('GNI per capita'!BR50&lt;=Thresholds!$D$67,"LM",IF('GNI per capita'!BR50&lt;=Thresholds!$E$67,"UM","H")))</f>
        <v>H</v>
      </c>
      <c r="BS50" s="42" t="str">
        <f>IF('GNI per capita'!BS50&lt;=Thresholds!$C$68,"L",IF('GNI per capita'!BS50&lt;=Thresholds!$D$68,"LM",IF('GNI per capita'!BS50&lt;=Thresholds!$E$68,"UM","H")))</f>
        <v>H</v>
      </c>
    </row>
    <row r="51" spans="1:71" x14ac:dyDescent="0.2">
      <c r="A51" s="2" t="s">
        <v>301</v>
      </c>
      <c r="B51" s="2" t="s">
        <v>302</v>
      </c>
      <c r="C51" s="11" t="s">
        <v>79</v>
      </c>
      <c r="G51" s="2" t="s">
        <v>303</v>
      </c>
      <c r="H51" s="41"/>
      <c r="I51" s="41"/>
      <c r="J51" s="41"/>
      <c r="K51" s="41"/>
      <c r="L51" s="41"/>
      <c r="M51" s="41" t="s">
        <v>210</v>
      </c>
      <c r="N51" s="41" t="s">
        <v>210</v>
      </c>
      <c r="O51" s="41" t="s">
        <v>210</v>
      </c>
      <c r="P51" s="41" t="s">
        <v>82</v>
      </c>
      <c r="Q51" s="41" t="s">
        <v>82</v>
      </c>
      <c r="R51" s="41" t="s">
        <v>82</v>
      </c>
      <c r="S51" s="41" t="s">
        <v>82</v>
      </c>
      <c r="T51" s="41" t="s">
        <v>82</v>
      </c>
      <c r="U51" s="41" t="s">
        <v>82</v>
      </c>
      <c r="V51" s="41" t="s">
        <v>82</v>
      </c>
      <c r="W51" s="41" t="s">
        <v>82</v>
      </c>
      <c r="X51" s="41" t="s">
        <v>82</v>
      </c>
      <c r="Y51" s="41" t="s">
        <v>82</v>
      </c>
      <c r="Z51" s="41" t="s">
        <v>82</v>
      </c>
      <c r="AA51" s="41" t="s">
        <v>82</v>
      </c>
      <c r="AB51" s="41" t="s">
        <v>82</v>
      </c>
      <c r="AC51" s="41" t="s">
        <v>79</v>
      </c>
      <c r="AD51" s="41" t="s">
        <v>79</v>
      </c>
      <c r="AE51" s="41" t="s">
        <v>79</v>
      </c>
      <c r="AF51" s="41" t="s">
        <v>79</v>
      </c>
      <c r="AG51" s="41" t="s">
        <v>79</v>
      </c>
      <c r="AH51" s="41" t="s">
        <v>79</v>
      </c>
      <c r="AI51" s="41" t="s">
        <v>79</v>
      </c>
      <c r="AJ51" s="41" t="s">
        <v>79</v>
      </c>
      <c r="AK51" s="41" t="s">
        <v>82</v>
      </c>
      <c r="AL51" s="41" t="s">
        <v>79</v>
      </c>
      <c r="AM51" s="41" t="s">
        <v>79</v>
      </c>
      <c r="AN51" s="41" t="s">
        <v>79</v>
      </c>
      <c r="AO51" s="41" t="s">
        <v>79</v>
      </c>
      <c r="AP51" s="41" t="s">
        <v>79</v>
      </c>
      <c r="AQ51" s="41" t="s">
        <v>79</v>
      </c>
      <c r="AR51" s="41" t="s">
        <v>79</v>
      </c>
      <c r="AS51" s="41" t="s">
        <v>79</v>
      </c>
      <c r="AT51" s="41" t="s">
        <v>79</v>
      </c>
      <c r="AU51" s="42" t="str">
        <f>IF('GNI per capita'!AU51&lt;=Thresholds!$C$44,"L",IF('GNI per capita'!AU51&lt;=Thresholds!$D$44,"LM",IF('GNI per capita'!AU51&lt;=Thresholds!$E$44,"UM","H")))</f>
        <v>H</v>
      </c>
      <c r="AV51" s="42" t="str">
        <f>IF('GNI per capita'!AV51&lt;=Thresholds!$C$45,"L",IF('GNI per capita'!AV51&lt;=Thresholds!$D$45,"LM",IF('GNI per capita'!AV51&lt;=Thresholds!$E$45,"UM","H")))</f>
        <v>H</v>
      </c>
      <c r="AW51" s="42" t="str">
        <f>IF('GNI per capita'!AW51&lt;=Thresholds!$C$46,"L",IF('GNI per capita'!AW51&lt;=Thresholds!$D$46,"LM",IF('GNI per capita'!AW51&lt;=Thresholds!$E$46,"UM","H")))</f>
        <v>H</v>
      </c>
      <c r="AX51" s="42" t="str">
        <f>IF('GNI per capita'!AX51&lt;=Thresholds!$C$47,"L",IF('GNI per capita'!AX51&lt;=Thresholds!$D$47,"LM",IF('GNI per capita'!AX51&lt;=Thresholds!$E$47,"UM","H")))</f>
        <v>H</v>
      </c>
      <c r="AY51" s="42" t="str">
        <f>IF('GNI per capita'!AY51&lt;=Thresholds!$C$48,"L",IF('GNI per capita'!AY51&lt;=Thresholds!$D$48,"LM",IF('GNI per capita'!AY51&lt;=Thresholds!$E$48,"UM","H")))</f>
        <v>H</v>
      </c>
      <c r="AZ51" s="42" t="str">
        <f>IF('GNI per capita'!AZ51&lt;=Thresholds!$C$49,"L",IF('GNI per capita'!AZ51&lt;=Thresholds!$D$49,"LM",IF('GNI per capita'!AZ51&lt;=Thresholds!$E$49,"UM","H")))</f>
        <v>H</v>
      </c>
      <c r="BA51" s="42" t="str">
        <f>IF('GNI per capita'!BA51&lt;=Thresholds!$C$50,"L",IF('GNI per capita'!BA51&lt;=Thresholds!$D$50,"LM",IF('GNI per capita'!BA51&lt;=Thresholds!$E$50,"UM","H")))</f>
        <v>H</v>
      </c>
      <c r="BB51" s="42" t="str">
        <f>IF('GNI per capita'!BB51&lt;=Thresholds!$C$51,"L",IF('GNI per capita'!BB51&lt;=Thresholds!$D$51,"LM",IF('GNI per capita'!BB51&lt;=Thresholds!$E$51,"UM","H")))</f>
        <v>H</v>
      </c>
      <c r="BC51" s="42" t="str">
        <f>IF('GNI per capita'!BC51&lt;=Thresholds!$C$52,"L",IF('GNI per capita'!BC51&lt;=Thresholds!$D$52,"LM",IF('GNI per capita'!BC51&lt;=Thresholds!$E$52,"UM","H")))</f>
        <v>H</v>
      </c>
      <c r="BD51" s="42" t="str">
        <f>IF('GNI per capita'!BD51&lt;=Thresholds!$C$53,"L",IF('GNI per capita'!BD51&lt;=Thresholds!$D$53,"LM",IF('GNI per capita'!BD51&lt;=Thresholds!$E$53,"UM","H")))</f>
        <v>H</v>
      </c>
      <c r="BE51" s="42" t="str">
        <f>IF('GNI per capita'!BE51&lt;=Thresholds!$C$54,"L",IF('GNI per capita'!BE51&lt;=Thresholds!$D$54,"LM",IF('GNI per capita'!BE51&lt;=Thresholds!$E$54,"UM","H")))</f>
        <v>H</v>
      </c>
      <c r="BF51" s="42" t="str">
        <f>IF('GNI per capita'!BF51&lt;=Thresholds!$C$55,"L",IF('GNI per capita'!BF51&lt;=Thresholds!$D$55,"LM",IF('GNI per capita'!BF51&lt;=Thresholds!$E$55,"UM","H")))</f>
        <v>H</v>
      </c>
      <c r="BG51" s="42" t="str">
        <f>IF('GNI per capita'!BG51&lt;=Thresholds!$C$56,"L",IF('GNI per capita'!BG51&lt;=Thresholds!$D$56,"LM",IF('GNI per capita'!BG51&lt;=Thresholds!$E$56,"UM","H")))</f>
        <v>H</v>
      </c>
      <c r="BH51" s="42" t="str">
        <f>IF('GNI per capita'!BH51&lt;=Thresholds!$C$57,"L",IF('GNI per capita'!BH51&lt;=Thresholds!$D$57,"LM",IF('GNI per capita'!BH51&lt;=Thresholds!$E$57,"UM","H")))</f>
        <v>H</v>
      </c>
      <c r="BI51" s="42" t="str">
        <f>IF('GNI per capita'!BI51&lt;=Thresholds!$C$58,"L",IF('GNI per capita'!BI51&lt;=Thresholds!$D$58,"LM",IF('GNI per capita'!BI51&lt;=Thresholds!$E$58,"UM","H")))</f>
        <v>H</v>
      </c>
      <c r="BJ51" s="42" t="str">
        <f>IF('GNI per capita'!BJ51&lt;=Thresholds!$C$59,"L",IF('GNI per capita'!BJ51&lt;=Thresholds!$D$59,"LM",IF('GNI per capita'!BJ51&lt;=Thresholds!$E$59,"UM","H")))</f>
        <v>H</v>
      </c>
      <c r="BK51" s="42" t="str">
        <f>IF('GNI per capita'!BK51&lt;=Thresholds!$C$60,"L",IF('GNI per capita'!BK51&lt;=Thresholds!$D$60,"LM",IF('GNI per capita'!BK51&lt;=Thresholds!$E$60,"UM","H")))</f>
        <v>H</v>
      </c>
      <c r="BL51" s="42" t="str">
        <f>IF('GNI per capita'!BL51&lt;=Thresholds!$C$61,"L",IF('GNI per capita'!BL51&lt;=Thresholds!$D$61,"LM",IF('GNI per capita'!BL51&lt;=Thresholds!$E$61,"UM","H")))</f>
        <v>H</v>
      </c>
      <c r="BM51" s="42" t="str">
        <f>IF('GNI per capita'!BM51&lt;=Thresholds!$C$62,"L",IF('GNI per capita'!BM51&lt;=Thresholds!$D$62,"LM",IF('GNI per capita'!BM51&lt;=Thresholds!$E$62,"UM","H")))</f>
        <v>H</v>
      </c>
      <c r="BN51" s="42" t="str">
        <f>IF('GNI per capita'!BN51&lt;=Thresholds!$C$63,"L",IF('GNI per capita'!BN51&lt;=Thresholds!$D$63,"LM",IF('GNI per capita'!BN51&lt;=Thresholds!$E$63,"UM","H")))</f>
        <v>H</v>
      </c>
      <c r="BO51" s="42" t="str">
        <f>IF('GNI per capita'!BO51&lt;=Thresholds!$C$64,"L",IF('GNI per capita'!BO51&lt;=Thresholds!$D$64,"LM",IF('GNI per capita'!BO51&lt;=Thresholds!$E$64,"UM","H")))</f>
        <v>H</v>
      </c>
      <c r="BP51" s="42" t="str">
        <f>IF('GNI per capita'!BP51&lt;=Thresholds!$C$65,"L",IF('GNI per capita'!BP51&lt;=Thresholds!$D$65,"LM",IF('GNI per capita'!BP51&lt;=Thresholds!$E$65,"UM","H")))</f>
        <v>H</v>
      </c>
      <c r="BQ51" s="42" t="str">
        <f>IF('GNI per capita'!BQ51&lt;=Thresholds!$C$66,"L",IF('GNI per capita'!BQ51&lt;=Thresholds!$D$66,"LM",IF('GNI per capita'!BQ51&lt;=Thresholds!$E$66,"UM","H")))</f>
        <v>H</v>
      </c>
      <c r="BR51" s="42" t="str">
        <f>IF('GNI per capita'!BR51&lt;=Thresholds!$C$67,"L",IF('GNI per capita'!BR51&lt;=Thresholds!$D$67,"LM",IF('GNI per capita'!BR51&lt;=Thresholds!$E$67,"UM","H")))</f>
        <v>H</v>
      </c>
      <c r="BS51" s="42" t="str">
        <f>IF('GNI per capita'!BS51&lt;=Thresholds!$C$68,"L",IF('GNI per capita'!BS51&lt;=Thresholds!$D$68,"LM",IF('GNI per capita'!BS51&lt;=Thresholds!$E$68,"UM","H")))</f>
        <v>H</v>
      </c>
    </row>
    <row r="52" spans="1:71" x14ac:dyDescent="0.2">
      <c r="A52" s="2" t="s">
        <v>304</v>
      </c>
      <c r="B52" s="2" t="s">
        <v>305</v>
      </c>
      <c r="C52" s="11" t="s">
        <v>82</v>
      </c>
      <c r="G52" s="28" t="s">
        <v>306</v>
      </c>
      <c r="H52" s="41"/>
      <c r="I52" s="41"/>
      <c r="J52" s="41"/>
      <c r="K52" s="41" t="s">
        <v>210</v>
      </c>
      <c r="L52" s="41" t="s">
        <v>210</v>
      </c>
      <c r="M52" s="41" t="s">
        <v>210</v>
      </c>
      <c r="N52" s="41" t="s">
        <v>210</v>
      </c>
      <c r="O52" s="41" t="s">
        <v>210</v>
      </c>
      <c r="P52" s="41" t="s">
        <v>210</v>
      </c>
      <c r="Q52" s="41" t="s">
        <v>210</v>
      </c>
      <c r="R52" s="41" t="s">
        <v>210</v>
      </c>
      <c r="S52" s="41" t="s">
        <v>210</v>
      </c>
      <c r="T52" s="41" t="s">
        <v>210</v>
      </c>
      <c r="U52" s="41" t="s">
        <v>210</v>
      </c>
      <c r="V52" s="41" t="s">
        <v>210</v>
      </c>
      <c r="W52" s="41" t="s">
        <v>210</v>
      </c>
      <c r="X52" s="41" t="s">
        <v>210</v>
      </c>
      <c r="Y52" s="41" t="s">
        <v>210</v>
      </c>
      <c r="Z52" s="41" t="s">
        <v>210</v>
      </c>
      <c r="AA52" s="41" t="s">
        <v>210</v>
      </c>
      <c r="AB52" s="41" t="s">
        <v>82</v>
      </c>
      <c r="AC52" s="41" t="s">
        <v>82</v>
      </c>
      <c r="AD52" s="41" t="s">
        <v>82</v>
      </c>
      <c r="AE52" s="41" t="s">
        <v>82</v>
      </c>
      <c r="AF52" s="41" t="s">
        <v>82</v>
      </c>
      <c r="AG52" s="41" t="s">
        <v>82</v>
      </c>
      <c r="AH52" s="41" t="s">
        <v>82</v>
      </c>
      <c r="AI52" s="41" t="s">
        <v>82</v>
      </c>
      <c r="AJ52" s="41" t="s">
        <v>82</v>
      </c>
      <c r="AK52" s="41" t="s">
        <v>82</v>
      </c>
      <c r="AL52" s="41" t="s">
        <v>82</v>
      </c>
      <c r="AM52" s="41" t="s">
        <v>82</v>
      </c>
      <c r="AN52" s="41" t="s">
        <v>82</v>
      </c>
      <c r="AO52" s="41" t="s">
        <v>82</v>
      </c>
      <c r="AP52" s="41" t="s">
        <v>82</v>
      </c>
      <c r="AQ52" s="41" t="s">
        <v>82</v>
      </c>
      <c r="AR52" s="41" t="s">
        <v>82</v>
      </c>
      <c r="AS52" s="41" t="s">
        <v>82</v>
      </c>
      <c r="AT52" s="41" t="s">
        <v>82</v>
      </c>
      <c r="AU52" s="42" t="str">
        <f t="shared" ref="AU52:BS52" si="4">$C52</f>
        <v>UM</v>
      </c>
      <c r="AV52" s="42" t="str">
        <f t="shared" si="4"/>
        <v>UM</v>
      </c>
      <c r="AW52" s="42" t="str">
        <f t="shared" si="4"/>
        <v>UM</v>
      </c>
      <c r="AX52" s="42" t="str">
        <f t="shared" si="4"/>
        <v>UM</v>
      </c>
      <c r="AY52" s="42" t="str">
        <f t="shared" si="4"/>
        <v>UM</v>
      </c>
      <c r="AZ52" s="42" t="str">
        <f t="shared" si="4"/>
        <v>UM</v>
      </c>
      <c r="BA52" s="42" t="str">
        <f t="shared" si="4"/>
        <v>UM</v>
      </c>
      <c r="BB52" s="42" t="str">
        <f t="shared" si="4"/>
        <v>UM</v>
      </c>
      <c r="BC52" s="42" t="str">
        <f t="shared" si="4"/>
        <v>UM</v>
      </c>
      <c r="BD52" s="42" t="str">
        <f t="shared" si="4"/>
        <v>UM</v>
      </c>
      <c r="BE52" s="42" t="str">
        <f t="shared" si="4"/>
        <v>UM</v>
      </c>
      <c r="BF52" s="42" t="str">
        <f t="shared" si="4"/>
        <v>UM</v>
      </c>
      <c r="BG52" s="42" t="str">
        <f t="shared" si="4"/>
        <v>UM</v>
      </c>
      <c r="BH52" s="42" t="str">
        <f t="shared" si="4"/>
        <v>UM</v>
      </c>
      <c r="BI52" s="42" t="str">
        <f t="shared" si="4"/>
        <v>UM</v>
      </c>
      <c r="BJ52" s="42" t="str">
        <f t="shared" si="4"/>
        <v>UM</v>
      </c>
      <c r="BK52" s="42" t="str">
        <f t="shared" si="4"/>
        <v>UM</v>
      </c>
      <c r="BL52" s="42" t="str">
        <f t="shared" si="4"/>
        <v>UM</v>
      </c>
      <c r="BM52" s="42" t="str">
        <f t="shared" si="4"/>
        <v>UM</v>
      </c>
      <c r="BN52" s="42" t="str">
        <f t="shared" si="4"/>
        <v>UM</v>
      </c>
      <c r="BO52" s="42" t="str">
        <f t="shared" si="4"/>
        <v>UM</v>
      </c>
      <c r="BP52" s="42" t="str">
        <f t="shared" si="4"/>
        <v>UM</v>
      </c>
      <c r="BQ52" s="42" t="str">
        <f t="shared" si="4"/>
        <v>UM</v>
      </c>
      <c r="BR52" s="42" t="str">
        <f t="shared" si="4"/>
        <v>UM</v>
      </c>
      <c r="BS52" s="42" t="str">
        <f t="shared" si="4"/>
        <v>UM</v>
      </c>
    </row>
    <row r="53" spans="1:71" x14ac:dyDescent="0.2">
      <c r="A53" s="2" t="s">
        <v>307</v>
      </c>
      <c r="B53" s="2" t="s">
        <v>308</v>
      </c>
      <c r="C53" s="11" t="s">
        <v>79</v>
      </c>
      <c r="G53" s="2" t="s">
        <v>162</v>
      </c>
      <c r="H53" s="41"/>
      <c r="I53" s="41"/>
      <c r="J53" s="41"/>
      <c r="K53" s="41"/>
      <c r="L53" s="41"/>
      <c r="M53" s="41"/>
      <c r="N53" s="41"/>
      <c r="O53" s="41"/>
      <c r="P53" s="41"/>
      <c r="Q53" s="41"/>
      <c r="R53" s="41"/>
      <c r="S53" s="41"/>
      <c r="T53" s="41"/>
      <c r="U53" s="41"/>
      <c r="V53" s="41"/>
      <c r="W53" s="41"/>
      <c r="X53" s="41"/>
      <c r="Y53" s="41"/>
      <c r="Z53" s="41"/>
      <c r="AA53" s="41"/>
      <c r="AB53" s="41"/>
      <c r="AC53" s="41"/>
      <c r="AD53" s="41"/>
      <c r="AE53" s="41" t="s">
        <v>79</v>
      </c>
      <c r="AF53" s="41" t="s">
        <v>79</v>
      </c>
      <c r="AG53" s="41" t="s">
        <v>79</v>
      </c>
      <c r="AH53" s="41" t="s">
        <v>79</v>
      </c>
      <c r="AI53" s="41" t="s">
        <v>79</v>
      </c>
      <c r="AJ53" s="41" t="s">
        <v>79</v>
      </c>
      <c r="AK53" s="41" t="s">
        <v>79</v>
      </c>
      <c r="AL53" s="41" t="s">
        <v>79</v>
      </c>
      <c r="AM53" s="41" t="s">
        <v>79</v>
      </c>
      <c r="AN53" s="41" t="s">
        <v>79</v>
      </c>
      <c r="AO53" s="41" t="s">
        <v>79</v>
      </c>
      <c r="AP53" s="41" t="s">
        <v>79</v>
      </c>
      <c r="AQ53" s="41" t="s">
        <v>79</v>
      </c>
      <c r="AR53" s="41" t="s">
        <v>79</v>
      </c>
      <c r="AS53" s="41" t="s">
        <v>79</v>
      </c>
      <c r="AT53" s="41" t="s">
        <v>79</v>
      </c>
      <c r="AU53" s="42" t="str">
        <f>IF('GNI per capita'!AU53&lt;=Thresholds!$C$44,"L",IF('GNI per capita'!AU53&lt;=Thresholds!$D$44,"LM",IF('GNI per capita'!AU53&lt;=Thresholds!$E$44,"UM","H")))</f>
        <v>H</v>
      </c>
      <c r="AV53" s="42" t="str">
        <f>IF('GNI per capita'!AV53&lt;=Thresholds!$C$45,"L",IF('GNI per capita'!AV53&lt;=Thresholds!$D$45,"LM",IF('GNI per capita'!AV53&lt;=Thresholds!$E$45,"UM","H")))</f>
        <v>H</v>
      </c>
      <c r="AW53" s="42" t="str">
        <f>IF('GNI per capita'!AW53&lt;=Thresholds!$C$46,"L",IF('GNI per capita'!AW53&lt;=Thresholds!$D$46,"LM",IF('GNI per capita'!AW53&lt;=Thresholds!$E$46,"UM","H")))</f>
        <v>H</v>
      </c>
      <c r="AX53" s="42" t="str">
        <f>IF('GNI per capita'!AX53&lt;=Thresholds!$C$47,"L",IF('GNI per capita'!AX53&lt;=Thresholds!$D$47,"LM",IF('GNI per capita'!AX53&lt;=Thresholds!$E$47,"UM","H")))</f>
        <v>H</v>
      </c>
      <c r="AY53" s="42" t="str">
        <f>IF('GNI per capita'!AY53&lt;=Thresholds!$C$48,"L",IF('GNI per capita'!AY53&lt;=Thresholds!$D$48,"LM",IF('GNI per capita'!AY53&lt;=Thresholds!$E$48,"UM","H")))</f>
        <v>H</v>
      </c>
      <c r="AZ53" s="42" t="str">
        <f>IF('GNI per capita'!AZ53&lt;=Thresholds!$C$49,"L",IF('GNI per capita'!AZ53&lt;=Thresholds!$D$49,"LM",IF('GNI per capita'!AZ53&lt;=Thresholds!$E$49,"UM","H")))</f>
        <v>H</v>
      </c>
      <c r="BA53" s="42" t="str">
        <f>IF('GNI per capita'!BA53&lt;=Thresholds!$C$50,"L",IF('GNI per capita'!BA53&lt;=Thresholds!$D$50,"LM",IF('GNI per capita'!BA53&lt;=Thresholds!$E$50,"UM","H")))</f>
        <v>H</v>
      </c>
      <c r="BB53" s="42" t="str">
        <f>IF('GNI per capita'!BB53&lt;=Thresholds!$C$51,"L",IF('GNI per capita'!BB53&lt;=Thresholds!$D$51,"LM",IF('GNI per capita'!BB53&lt;=Thresholds!$E$51,"UM","H")))</f>
        <v>H</v>
      </c>
      <c r="BC53" s="42" t="str">
        <f>IF('GNI per capita'!BC53&lt;=Thresholds!$C$52,"L",IF('GNI per capita'!BC53&lt;=Thresholds!$D$52,"LM",IF('GNI per capita'!BC53&lt;=Thresholds!$E$52,"UM","H")))</f>
        <v>H</v>
      </c>
      <c r="BD53" s="42" t="str">
        <f>IF('GNI per capita'!BD53&lt;=Thresholds!$C$53,"L",IF('GNI per capita'!BD53&lt;=Thresholds!$D$53,"LM",IF('GNI per capita'!BD53&lt;=Thresholds!$E$53,"UM","H")))</f>
        <v>H</v>
      </c>
      <c r="BE53" s="42" t="str">
        <f>IF('GNI per capita'!BE53&lt;=Thresholds!$C$54,"L",IF('GNI per capita'!BE53&lt;=Thresholds!$D$54,"LM",IF('GNI per capita'!BE53&lt;=Thresholds!$E$54,"UM","H")))</f>
        <v>H</v>
      </c>
      <c r="BF53" s="42" t="str">
        <f>IF('GNI per capita'!BF53&lt;=Thresholds!$C$55,"L",IF('GNI per capita'!BF53&lt;=Thresholds!$D$55,"LM",IF('GNI per capita'!BF53&lt;=Thresholds!$E$55,"UM","H")))</f>
        <v>H</v>
      </c>
      <c r="BG53" s="42" t="str">
        <f>IF('GNI per capita'!BG53&lt;=Thresholds!$C$56,"L",IF('GNI per capita'!BG53&lt;=Thresholds!$D$56,"LM",IF('GNI per capita'!BG53&lt;=Thresholds!$E$56,"UM","H")))</f>
        <v>H</v>
      </c>
      <c r="BH53" s="42" t="str">
        <f>IF('GNI per capita'!BH53&lt;=Thresholds!$C$57,"L",IF('GNI per capita'!BH53&lt;=Thresholds!$D$57,"LM",IF('GNI per capita'!BH53&lt;=Thresholds!$E$57,"UM","H")))</f>
        <v>H</v>
      </c>
      <c r="BI53" s="42" t="str">
        <f>IF('GNI per capita'!BI53&lt;=Thresholds!$C$58,"L",IF('GNI per capita'!BI53&lt;=Thresholds!$D$58,"LM",IF('GNI per capita'!BI53&lt;=Thresholds!$E$58,"UM","H")))</f>
        <v>H</v>
      </c>
      <c r="BJ53" s="42" t="str">
        <f>IF('GNI per capita'!BJ53&lt;=Thresholds!$C$59,"L",IF('GNI per capita'!BJ53&lt;=Thresholds!$D$59,"LM",IF('GNI per capita'!BJ53&lt;=Thresholds!$E$59,"UM","H")))</f>
        <v>H</v>
      </c>
      <c r="BK53" s="42" t="str">
        <f>IF('GNI per capita'!BK53&lt;=Thresholds!$C$60,"L",IF('GNI per capita'!BK53&lt;=Thresholds!$D$60,"LM",IF('GNI per capita'!BK53&lt;=Thresholds!$E$60,"UM","H")))</f>
        <v>H</v>
      </c>
      <c r="BL53" s="42" t="str">
        <f>IF('GNI per capita'!BL53&lt;=Thresholds!$C$61,"L",IF('GNI per capita'!BL53&lt;=Thresholds!$D$61,"LM",IF('GNI per capita'!BL53&lt;=Thresholds!$E$61,"UM","H")))</f>
        <v>H</v>
      </c>
      <c r="BM53" s="42" t="str">
        <f>IF('GNI per capita'!BM53&lt;=Thresholds!$C$62,"L",IF('GNI per capita'!BM53&lt;=Thresholds!$D$62,"LM",IF('GNI per capita'!BM53&lt;=Thresholds!$E$62,"UM","H")))</f>
        <v>H</v>
      </c>
      <c r="BN53" s="42" t="str">
        <f>IF('GNI per capita'!BN53&lt;=Thresholds!$C$63,"L",IF('GNI per capita'!BN53&lt;=Thresholds!$D$63,"LM",IF('GNI per capita'!BN53&lt;=Thresholds!$E$63,"UM","H")))</f>
        <v>H</v>
      </c>
      <c r="BO53" s="42" t="str">
        <f>IF('GNI per capita'!BO53&lt;=Thresholds!$C$64,"L",IF('GNI per capita'!BO53&lt;=Thresholds!$D$64,"LM",IF('GNI per capita'!BO53&lt;=Thresholds!$E$64,"UM","H")))</f>
        <v>H</v>
      </c>
      <c r="BP53" s="42" t="str">
        <f>IF('GNI per capita'!BP53&lt;=Thresholds!$C$65,"L",IF('GNI per capita'!BP53&lt;=Thresholds!$D$65,"LM",IF('GNI per capita'!BP53&lt;=Thresholds!$E$65,"UM","H")))</f>
        <v>H</v>
      </c>
      <c r="BQ53" s="42" t="str">
        <f>IF('GNI per capita'!BQ53&lt;=Thresholds!$C$66,"L",IF('GNI per capita'!BQ53&lt;=Thresholds!$D$66,"LM",IF('GNI per capita'!BQ53&lt;=Thresholds!$E$66,"UM","H")))</f>
        <v>H</v>
      </c>
      <c r="BR53" s="42" t="str">
        <f>IF('GNI per capita'!BR53&lt;=Thresholds!$C$67,"L",IF('GNI per capita'!BR53&lt;=Thresholds!$D$67,"LM",IF('GNI per capita'!BR53&lt;=Thresholds!$E$67,"UM","H")))</f>
        <v>H</v>
      </c>
      <c r="BS53" s="42" t="str">
        <f>IF('GNI per capita'!BS53&lt;=Thresholds!$C$68,"L",IF('GNI per capita'!BS53&lt;=Thresholds!$D$68,"LM",IF('GNI per capita'!BS53&lt;=Thresholds!$E$68,"UM","H")))</f>
        <v>H</v>
      </c>
    </row>
    <row r="54" spans="1:71" x14ac:dyDescent="0.2">
      <c r="A54" s="2" t="s">
        <v>309</v>
      </c>
      <c r="B54" s="2" t="s">
        <v>310</v>
      </c>
      <c r="C54" s="11" t="s">
        <v>79</v>
      </c>
      <c r="G54" s="2" t="s">
        <v>162</v>
      </c>
      <c r="H54" s="41" t="s">
        <v>82</v>
      </c>
      <c r="I54" s="41" t="s">
        <v>79</v>
      </c>
      <c r="J54" s="41" t="s">
        <v>79</v>
      </c>
      <c r="K54" s="41" t="s">
        <v>79</v>
      </c>
      <c r="L54" s="41" t="s">
        <v>79</v>
      </c>
      <c r="M54" s="41" t="s">
        <v>79</v>
      </c>
      <c r="N54" s="41" t="s">
        <v>79</v>
      </c>
      <c r="O54" s="41" t="s">
        <v>79</v>
      </c>
      <c r="P54" s="41" t="s">
        <v>79</v>
      </c>
      <c r="Q54" s="41" t="s">
        <v>79</v>
      </c>
      <c r="R54" s="41" t="s">
        <v>79</v>
      </c>
      <c r="S54" s="41" t="s">
        <v>79</v>
      </c>
      <c r="T54" s="41" t="s">
        <v>79</v>
      </c>
      <c r="U54" s="41" t="s">
        <v>79</v>
      </c>
      <c r="V54" s="41" t="s">
        <v>79</v>
      </c>
      <c r="W54" s="41" t="s">
        <v>79</v>
      </c>
      <c r="X54" s="41" t="s">
        <v>79</v>
      </c>
      <c r="Y54" s="41" t="s">
        <v>79</v>
      </c>
      <c r="Z54" s="41" t="s">
        <v>79</v>
      </c>
      <c r="AA54" s="41" t="s">
        <v>79</v>
      </c>
      <c r="AB54" s="41" t="s">
        <v>79</v>
      </c>
      <c r="AC54" s="41" t="s">
        <v>79</v>
      </c>
      <c r="AD54" s="41" t="s">
        <v>79</v>
      </c>
      <c r="AE54" s="41" t="s">
        <v>79</v>
      </c>
      <c r="AF54" s="41" t="s">
        <v>79</v>
      </c>
      <c r="AG54" s="41" t="s">
        <v>79</v>
      </c>
      <c r="AH54" s="41" t="s">
        <v>79</v>
      </c>
      <c r="AI54" s="41" t="s">
        <v>79</v>
      </c>
      <c r="AJ54" s="41" t="s">
        <v>79</v>
      </c>
      <c r="AK54" s="41" t="s">
        <v>79</v>
      </c>
      <c r="AL54" s="41" t="s">
        <v>79</v>
      </c>
      <c r="AM54" s="41" t="s">
        <v>79</v>
      </c>
      <c r="AN54" s="41" t="s">
        <v>79</v>
      </c>
      <c r="AO54" s="41" t="s">
        <v>79</v>
      </c>
      <c r="AP54" s="41" t="s">
        <v>79</v>
      </c>
      <c r="AQ54" s="41" t="s">
        <v>79</v>
      </c>
      <c r="AR54" s="41" t="s">
        <v>79</v>
      </c>
      <c r="AS54" s="41" t="s">
        <v>79</v>
      </c>
      <c r="AT54" s="41" t="s">
        <v>79</v>
      </c>
      <c r="AU54" s="42" t="str">
        <f>IF('GNI per capita'!AU54&lt;=Thresholds!$C$44,"L",IF('GNI per capita'!AU54&lt;=Thresholds!$D$44,"LM",IF('GNI per capita'!AU54&lt;=Thresholds!$E$44,"UM","H")))</f>
        <v>H</v>
      </c>
      <c r="AV54" s="42" t="str">
        <f>IF('GNI per capita'!AV54&lt;=Thresholds!$C$45,"L",IF('GNI per capita'!AV54&lt;=Thresholds!$D$45,"LM",IF('GNI per capita'!AV54&lt;=Thresholds!$E$45,"UM","H")))</f>
        <v>H</v>
      </c>
      <c r="AW54" s="42" t="str">
        <f>IF('GNI per capita'!AW54&lt;=Thresholds!$C$46,"L",IF('GNI per capita'!AW54&lt;=Thresholds!$D$46,"LM",IF('GNI per capita'!AW54&lt;=Thresholds!$E$46,"UM","H")))</f>
        <v>H</v>
      </c>
      <c r="AX54" s="42" t="str">
        <f>IF('GNI per capita'!AX54&lt;=Thresholds!$C$47,"L",IF('GNI per capita'!AX54&lt;=Thresholds!$D$47,"LM",IF('GNI per capita'!AX54&lt;=Thresholds!$E$47,"UM","H")))</f>
        <v>H</v>
      </c>
      <c r="AY54" s="42" t="str">
        <f>IF('GNI per capita'!AY54&lt;=Thresholds!$C$48,"L",IF('GNI per capita'!AY54&lt;=Thresholds!$D$48,"LM",IF('GNI per capita'!AY54&lt;=Thresholds!$E$48,"UM","H")))</f>
        <v>H</v>
      </c>
      <c r="AZ54" s="42" t="str">
        <f>IF('GNI per capita'!AZ54&lt;=Thresholds!$C$49,"L",IF('GNI per capita'!AZ54&lt;=Thresholds!$D$49,"LM",IF('GNI per capita'!AZ54&lt;=Thresholds!$E$49,"UM","H")))</f>
        <v>H</v>
      </c>
      <c r="BA54" s="42" t="str">
        <f>IF('GNI per capita'!BA54&lt;=Thresholds!$C$50,"L",IF('GNI per capita'!BA54&lt;=Thresholds!$D$50,"LM",IF('GNI per capita'!BA54&lt;=Thresholds!$E$50,"UM","H")))</f>
        <v>H</v>
      </c>
      <c r="BB54" s="42" t="str">
        <f>IF('GNI per capita'!BB54&lt;=Thresholds!$C$51,"L",IF('GNI per capita'!BB54&lt;=Thresholds!$D$51,"LM",IF('GNI per capita'!BB54&lt;=Thresholds!$E$51,"UM","H")))</f>
        <v>H</v>
      </c>
      <c r="BC54" s="42" t="str">
        <f>IF('GNI per capita'!BC54&lt;=Thresholds!$C$52,"L",IF('GNI per capita'!BC54&lt;=Thresholds!$D$52,"LM",IF('GNI per capita'!BC54&lt;=Thresholds!$E$52,"UM","H")))</f>
        <v>H</v>
      </c>
      <c r="BD54" s="42" t="str">
        <f>IF('GNI per capita'!BD54&lt;=Thresholds!$C$53,"L",IF('GNI per capita'!BD54&lt;=Thresholds!$D$53,"LM",IF('GNI per capita'!BD54&lt;=Thresholds!$E$53,"UM","H")))</f>
        <v>H</v>
      </c>
      <c r="BE54" s="42" t="str">
        <f>IF('GNI per capita'!BE54&lt;=Thresholds!$C$54,"L",IF('GNI per capita'!BE54&lt;=Thresholds!$D$54,"LM",IF('GNI per capita'!BE54&lt;=Thresholds!$E$54,"UM","H")))</f>
        <v>H</v>
      </c>
      <c r="BF54" s="42" t="str">
        <f>IF('GNI per capita'!BF54&lt;=Thresholds!$C$55,"L",IF('GNI per capita'!BF54&lt;=Thresholds!$D$55,"LM",IF('GNI per capita'!BF54&lt;=Thresholds!$E$55,"UM","H")))</f>
        <v>H</v>
      </c>
      <c r="BG54" s="42" t="str">
        <f>IF('GNI per capita'!BG54&lt;=Thresholds!$C$56,"L",IF('GNI per capita'!BG54&lt;=Thresholds!$D$56,"LM",IF('GNI per capita'!BG54&lt;=Thresholds!$E$56,"UM","H")))</f>
        <v>H</v>
      </c>
      <c r="BH54" s="42" t="str">
        <f>IF('GNI per capita'!BH54&lt;=Thresholds!$C$57,"L",IF('GNI per capita'!BH54&lt;=Thresholds!$D$57,"LM",IF('GNI per capita'!BH54&lt;=Thresholds!$E$57,"UM","H")))</f>
        <v>H</v>
      </c>
      <c r="BI54" s="42" t="str">
        <f>IF('GNI per capita'!BI54&lt;=Thresholds!$C$58,"L",IF('GNI per capita'!BI54&lt;=Thresholds!$D$58,"LM",IF('GNI per capita'!BI54&lt;=Thresholds!$E$58,"UM","H")))</f>
        <v>H</v>
      </c>
      <c r="BJ54" s="42" t="str">
        <f>IF('GNI per capita'!BJ54&lt;=Thresholds!$C$59,"L",IF('GNI per capita'!BJ54&lt;=Thresholds!$D$59,"LM",IF('GNI per capita'!BJ54&lt;=Thresholds!$E$59,"UM","H")))</f>
        <v>H</v>
      </c>
      <c r="BK54" s="42" t="str">
        <f>IF('GNI per capita'!BK54&lt;=Thresholds!$C$60,"L",IF('GNI per capita'!BK54&lt;=Thresholds!$D$60,"LM",IF('GNI per capita'!BK54&lt;=Thresholds!$E$60,"UM","H")))</f>
        <v>H</v>
      </c>
      <c r="BL54" s="42" t="str">
        <f>IF('GNI per capita'!BL54&lt;=Thresholds!$C$61,"L",IF('GNI per capita'!BL54&lt;=Thresholds!$D$61,"LM",IF('GNI per capita'!BL54&lt;=Thresholds!$E$61,"UM","H")))</f>
        <v>H</v>
      </c>
      <c r="BM54" s="42" t="str">
        <f>IF('GNI per capita'!BM54&lt;=Thresholds!$C$62,"L",IF('GNI per capita'!BM54&lt;=Thresholds!$D$62,"LM",IF('GNI per capita'!BM54&lt;=Thresholds!$E$62,"UM","H")))</f>
        <v>H</v>
      </c>
      <c r="BN54" s="42" t="str">
        <f>IF('GNI per capita'!BN54&lt;=Thresholds!$C$63,"L",IF('GNI per capita'!BN54&lt;=Thresholds!$D$63,"LM",IF('GNI per capita'!BN54&lt;=Thresholds!$E$63,"UM","H")))</f>
        <v>H</v>
      </c>
      <c r="BO54" s="42" t="str">
        <f>IF('GNI per capita'!BO54&lt;=Thresholds!$C$64,"L",IF('GNI per capita'!BO54&lt;=Thresholds!$D$64,"LM",IF('GNI per capita'!BO54&lt;=Thresholds!$E$64,"UM","H")))</f>
        <v>H</v>
      </c>
      <c r="BP54" s="42" t="str">
        <f>IF('GNI per capita'!BP54&lt;=Thresholds!$C$65,"L",IF('GNI per capita'!BP54&lt;=Thresholds!$D$65,"LM",IF('GNI per capita'!BP54&lt;=Thresholds!$E$65,"UM","H")))</f>
        <v>H</v>
      </c>
      <c r="BQ54" s="42" t="str">
        <f>IF('GNI per capita'!BQ54&lt;=Thresholds!$C$66,"L",IF('GNI per capita'!BQ54&lt;=Thresholds!$D$66,"LM",IF('GNI per capita'!BQ54&lt;=Thresholds!$E$66,"UM","H")))</f>
        <v>H</v>
      </c>
      <c r="BR54" s="42" t="str">
        <f>IF('GNI per capita'!BR54&lt;=Thresholds!$C$67,"L",IF('GNI per capita'!BR54&lt;=Thresholds!$D$67,"LM",IF('GNI per capita'!BR54&lt;=Thresholds!$E$67,"UM","H")))</f>
        <v>H</v>
      </c>
      <c r="BS54" s="42" t="str">
        <f>IF('GNI per capita'!BS54&lt;=Thresholds!$C$68,"L",IF('GNI per capita'!BS54&lt;=Thresholds!$D$68,"LM",IF('GNI per capita'!BS54&lt;=Thresholds!$E$68,"UM","H")))</f>
        <v>H</v>
      </c>
    </row>
    <row r="55" spans="1:71" x14ac:dyDescent="0.2">
      <c r="A55" s="2" t="s">
        <v>311</v>
      </c>
      <c r="B55" s="2" t="s">
        <v>312</v>
      </c>
      <c r="C55" s="11" t="s">
        <v>79</v>
      </c>
      <c r="G55" s="2" t="s">
        <v>162</v>
      </c>
      <c r="H55" s="41"/>
      <c r="I55" s="41"/>
      <c r="J55" s="41"/>
      <c r="K55" s="41"/>
      <c r="L55" s="41"/>
      <c r="M55" s="41" t="s">
        <v>210</v>
      </c>
      <c r="N55" s="41" t="s">
        <v>210</v>
      </c>
      <c r="O55" s="41" t="s">
        <v>82</v>
      </c>
      <c r="P55" s="41" t="s">
        <v>82</v>
      </c>
      <c r="Q55" s="41" t="s">
        <v>82</v>
      </c>
      <c r="R55" s="41" t="s">
        <v>82</v>
      </c>
      <c r="S55" s="41" t="s">
        <v>82</v>
      </c>
      <c r="T55" s="41" t="s">
        <v>82</v>
      </c>
      <c r="U55" s="41" t="s">
        <v>82</v>
      </c>
      <c r="V55" s="41" t="s">
        <v>82</v>
      </c>
      <c r="W55" s="41" t="s">
        <v>82</v>
      </c>
      <c r="X55" s="41" t="s">
        <v>82</v>
      </c>
      <c r="Y55" s="41" t="s">
        <v>82</v>
      </c>
      <c r="Z55" s="41" t="s">
        <v>82</v>
      </c>
      <c r="AA55" s="41" t="s">
        <v>79</v>
      </c>
      <c r="AB55" s="41" t="s">
        <v>79</v>
      </c>
      <c r="AC55" s="41" t="s">
        <v>79</v>
      </c>
      <c r="AD55" s="41" t="s">
        <v>79</v>
      </c>
      <c r="AE55" s="41" t="s">
        <v>79</v>
      </c>
      <c r="AF55" s="41" t="s">
        <v>79</v>
      </c>
      <c r="AG55" s="41" t="s">
        <v>79</v>
      </c>
      <c r="AH55" s="41" t="s">
        <v>79</v>
      </c>
      <c r="AI55" s="41" t="s">
        <v>79</v>
      </c>
      <c r="AJ55" s="41" t="s">
        <v>79</v>
      </c>
      <c r="AK55" s="41" t="s">
        <v>79</v>
      </c>
      <c r="AL55" s="41" t="s">
        <v>79</v>
      </c>
      <c r="AM55" s="41" t="s">
        <v>79</v>
      </c>
      <c r="AN55" s="41" t="s">
        <v>79</v>
      </c>
      <c r="AO55" s="41" t="s">
        <v>79</v>
      </c>
      <c r="AP55" s="41" t="s">
        <v>79</v>
      </c>
      <c r="AQ55" s="41" t="s">
        <v>79</v>
      </c>
      <c r="AR55" s="41" t="s">
        <v>79</v>
      </c>
      <c r="AS55" s="41" t="s">
        <v>79</v>
      </c>
      <c r="AT55" s="41" t="s">
        <v>79</v>
      </c>
      <c r="AU55" s="42" t="str">
        <f>IF('GNI per capita'!AU55&lt;=Thresholds!$C$44,"L",IF('GNI per capita'!AU55&lt;=Thresholds!$D$44,"LM",IF('GNI per capita'!AU55&lt;=Thresholds!$E$44,"UM","H")))</f>
        <v>H</v>
      </c>
      <c r="AV55" s="42" t="str">
        <f>IF('GNI per capita'!AV55&lt;=Thresholds!$C$45,"L",IF('GNI per capita'!AV55&lt;=Thresholds!$D$45,"LM",IF('GNI per capita'!AV55&lt;=Thresholds!$E$45,"UM","H")))</f>
        <v>H</v>
      </c>
      <c r="AW55" s="42" t="str">
        <f>IF('GNI per capita'!AW55&lt;=Thresholds!$C$46,"L",IF('GNI per capita'!AW55&lt;=Thresholds!$D$46,"LM",IF('GNI per capita'!AW55&lt;=Thresholds!$E$46,"UM","H")))</f>
        <v>H</v>
      </c>
      <c r="AX55" s="42" t="str">
        <f>IF('GNI per capita'!AX55&lt;=Thresholds!$C$47,"L",IF('GNI per capita'!AX55&lt;=Thresholds!$D$47,"LM",IF('GNI per capita'!AX55&lt;=Thresholds!$E$47,"UM","H")))</f>
        <v>H</v>
      </c>
      <c r="AY55" s="42" t="str">
        <f>IF('GNI per capita'!AY55&lt;=Thresholds!$C$48,"L",IF('GNI per capita'!AY55&lt;=Thresholds!$D$48,"LM",IF('GNI per capita'!AY55&lt;=Thresholds!$E$48,"UM","H")))</f>
        <v>H</v>
      </c>
      <c r="AZ55" s="42" t="str">
        <f>IF('GNI per capita'!AZ55&lt;=Thresholds!$C$49,"L",IF('GNI per capita'!AZ55&lt;=Thresholds!$D$49,"LM",IF('GNI per capita'!AZ55&lt;=Thresholds!$E$49,"UM","H")))</f>
        <v>H</v>
      </c>
      <c r="BA55" s="42" t="str">
        <f>IF('GNI per capita'!BA55&lt;=Thresholds!$C$50,"L",IF('GNI per capita'!BA55&lt;=Thresholds!$D$50,"LM",IF('GNI per capita'!BA55&lt;=Thresholds!$E$50,"UM","H")))</f>
        <v>H</v>
      </c>
      <c r="BB55" s="42" t="str">
        <f>IF('GNI per capita'!BB55&lt;=Thresholds!$C$51,"L",IF('GNI per capita'!BB55&lt;=Thresholds!$D$51,"LM",IF('GNI per capita'!BB55&lt;=Thresholds!$E$51,"UM","H")))</f>
        <v>H</v>
      </c>
      <c r="BC55" s="42" t="str">
        <f>IF('GNI per capita'!BC55&lt;=Thresholds!$C$52,"L",IF('GNI per capita'!BC55&lt;=Thresholds!$D$52,"LM",IF('GNI per capita'!BC55&lt;=Thresholds!$E$52,"UM","H")))</f>
        <v>H</v>
      </c>
      <c r="BD55" s="42" t="str">
        <f>IF('GNI per capita'!BD55&lt;=Thresholds!$C$53,"L",IF('GNI per capita'!BD55&lt;=Thresholds!$D$53,"LM",IF('GNI per capita'!BD55&lt;=Thresholds!$E$53,"UM","H")))</f>
        <v>H</v>
      </c>
      <c r="BE55" s="42" t="str">
        <f>IF('GNI per capita'!BE55&lt;=Thresholds!$C$54,"L",IF('GNI per capita'!BE55&lt;=Thresholds!$D$54,"LM",IF('GNI per capita'!BE55&lt;=Thresholds!$E$54,"UM","H")))</f>
        <v>H</v>
      </c>
      <c r="BF55" s="42" t="str">
        <f>IF('GNI per capita'!BF55&lt;=Thresholds!$C$55,"L",IF('GNI per capita'!BF55&lt;=Thresholds!$D$55,"LM",IF('GNI per capita'!BF55&lt;=Thresholds!$E$55,"UM","H")))</f>
        <v>H</v>
      </c>
      <c r="BG55" s="42" t="str">
        <f>IF('GNI per capita'!BG55&lt;=Thresholds!$C$56,"L",IF('GNI per capita'!BG55&lt;=Thresholds!$D$56,"LM",IF('GNI per capita'!BG55&lt;=Thresholds!$E$56,"UM","H")))</f>
        <v>H</v>
      </c>
      <c r="BH55" s="42" t="str">
        <f>IF('GNI per capita'!BH55&lt;=Thresholds!$C$57,"L",IF('GNI per capita'!BH55&lt;=Thresholds!$D$57,"LM",IF('GNI per capita'!BH55&lt;=Thresholds!$E$57,"UM","H")))</f>
        <v>H</v>
      </c>
      <c r="BI55" s="42" t="str">
        <f>IF('GNI per capita'!BI55&lt;=Thresholds!$C$58,"L",IF('GNI per capita'!BI55&lt;=Thresholds!$D$58,"LM",IF('GNI per capita'!BI55&lt;=Thresholds!$E$58,"UM","H")))</f>
        <v>H</v>
      </c>
      <c r="BJ55" s="42" t="str">
        <f>IF('GNI per capita'!BJ55&lt;=Thresholds!$C$59,"L",IF('GNI per capita'!BJ55&lt;=Thresholds!$D$59,"LM",IF('GNI per capita'!BJ55&lt;=Thresholds!$E$59,"UM","H")))</f>
        <v>H</v>
      </c>
      <c r="BK55" s="42" t="str">
        <f>IF('GNI per capita'!BK55&lt;=Thresholds!$C$60,"L",IF('GNI per capita'!BK55&lt;=Thresholds!$D$60,"LM",IF('GNI per capita'!BK55&lt;=Thresholds!$E$60,"UM","H")))</f>
        <v>H</v>
      </c>
      <c r="BL55" s="42" t="str">
        <f>IF('GNI per capita'!BL55&lt;=Thresholds!$C$61,"L",IF('GNI per capita'!BL55&lt;=Thresholds!$D$61,"LM",IF('GNI per capita'!BL55&lt;=Thresholds!$E$61,"UM","H")))</f>
        <v>H</v>
      </c>
      <c r="BM55" s="42" t="str">
        <f>IF('GNI per capita'!BM55&lt;=Thresholds!$C$62,"L",IF('GNI per capita'!BM55&lt;=Thresholds!$D$62,"LM",IF('GNI per capita'!BM55&lt;=Thresholds!$E$62,"UM","H")))</f>
        <v>H</v>
      </c>
      <c r="BN55" s="42" t="str">
        <f>IF('GNI per capita'!BN55&lt;=Thresholds!$C$63,"L",IF('GNI per capita'!BN55&lt;=Thresholds!$D$63,"LM",IF('GNI per capita'!BN55&lt;=Thresholds!$E$63,"UM","H")))</f>
        <v>H</v>
      </c>
      <c r="BO55" s="42" t="str">
        <f>IF('GNI per capita'!BO55&lt;=Thresholds!$C$64,"L",IF('GNI per capita'!BO55&lt;=Thresholds!$D$64,"LM",IF('GNI per capita'!BO55&lt;=Thresholds!$E$64,"UM","H")))</f>
        <v>H</v>
      </c>
      <c r="BP55" s="42" t="str">
        <f>IF('GNI per capita'!BP55&lt;=Thresholds!$C$65,"L",IF('GNI per capita'!BP55&lt;=Thresholds!$D$65,"LM",IF('GNI per capita'!BP55&lt;=Thresholds!$E$65,"UM","H")))</f>
        <v>H</v>
      </c>
      <c r="BQ55" s="42" t="str">
        <f>IF('GNI per capita'!BQ55&lt;=Thresholds!$C$66,"L",IF('GNI per capita'!BQ55&lt;=Thresholds!$D$66,"LM",IF('GNI per capita'!BQ55&lt;=Thresholds!$E$66,"UM","H")))</f>
        <v>H</v>
      </c>
      <c r="BR55" s="42" t="str">
        <f>IF('GNI per capita'!BR55&lt;=Thresholds!$C$67,"L",IF('GNI per capita'!BR55&lt;=Thresholds!$D$67,"LM",IF('GNI per capita'!BR55&lt;=Thresholds!$E$67,"UM","H")))</f>
        <v>H</v>
      </c>
      <c r="BS55" s="42" t="str">
        <f>IF('GNI per capita'!BS55&lt;=Thresholds!$C$68,"L",IF('GNI per capita'!BS55&lt;=Thresholds!$D$68,"LM",IF('GNI per capita'!BS55&lt;=Thresholds!$E$68,"UM","H")))</f>
        <v>H</v>
      </c>
    </row>
    <row r="56" spans="1:71" x14ac:dyDescent="0.2">
      <c r="A56" s="2" t="s">
        <v>313</v>
      </c>
      <c r="B56" s="2" t="s">
        <v>314</v>
      </c>
      <c r="C56" s="11" t="s">
        <v>210</v>
      </c>
      <c r="G56" s="2" t="s">
        <v>162</v>
      </c>
      <c r="H56" s="41" t="s">
        <v>210</v>
      </c>
      <c r="I56" s="41" t="s">
        <v>210</v>
      </c>
      <c r="J56" s="41" t="s">
        <v>210</v>
      </c>
      <c r="K56" s="41" t="s">
        <v>210</v>
      </c>
      <c r="L56" s="41" t="s">
        <v>210</v>
      </c>
      <c r="M56" s="41" t="s">
        <v>210</v>
      </c>
      <c r="N56" s="41" t="s">
        <v>75</v>
      </c>
      <c r="O56" s="41" t="s">
        <v>75</v>
      </c>
      <c r="P56" s="41" t="s">
        <v>75</v>
      </c>
      <c r="Q56" s="41" t="s">
        <v>75</v>
      </c>
      <c r="R56" s="41" t="s">
        <v>75</v>
      </c>
      <c r="S56" s="41" t="s">
        <v>75</v>
      </c>
      <c r="T56" s="41" t="s">
        <v>75</v>
      </c>
      <c r="U56" s="41" t="s">
        <v>75</v>
      </c>
      <c r="V56" s="41" t="s">
        <v>75</v>
      </c>
      <c r="W56" s="41" t="s">
        <v>75</v>
      </c>
      <c r="X56" s="41" t="s">
        <v>75</v>
      </c>
      <c r="Y56" s="41" t="s">
        <v>75</v>
      </c>
      <c r="Z56" s="41" t="s">
        <v>75</v>
      </c>
      <c r="AA56" s="41" t="s">
        <v>75</v>
      </c>
      <c r="AB56" s="41" t="s">
        <v>75</v>
      </c>
      <c r="AC56" s="41" t="s">
        <v>210</v>
      </c>
      <c r="AD56" s="41" t="s">
        <v>210</v>
      </c>
      <c r="AE56" s="41" t="s">
        <v>210</v>
      </c>
      <c r="AF56" s="41" t="s">
        <v>210</v>
      </c>
      <c r="AG56" s="41" t="s">
        <v>210</v>
      </c>
      <c r="AH56" s="41" t="s">
        <v>210</v>
      </c>
      <c r="AI56" s="41" t="s">
        <v>210</v>
      </c>
      <c r="AJ56" s="41" t="s">
        <v>210</v>
      </c>
      <c r="AK56" s="41" t="s">
        <v>210</v>
      </c>
      <c r="AL56" s="41" t="s">
        <v>210</v>
      </c>
      <c r="AM56" s="41" t="s">
        <v>210</v>
      </c>
      <c r="AN56" s="41" t="s">
        <v>210</v>
      </c>
      <c r="AO56" s="41" t="s">
        <v>210</v>
      </c>
      <c r="AP56" s="41" t="s">
        <v>210</v>
      </c>
      <c r="AQ56" s="41" t="s">
        <v>210</v>
      </c>
      <c r="AR56" s="41" t="s">
        <v>210</v>
      </c>
      <c r="AS56" s="41" t="s">
        <v>210</v>
      </c>
      <c r="AT56" s="41" t="s">
        <v>210</v>
      </c>
      <c r="AU56" s="42" t="str">
        <f>IF('GNI per capita'!AU56&lt;=Thresholds!$C$44,"L",IF('GNI per capita'!AU56&lt;=Thresholds!$D$44,"LM",IF('GNI per capita'!AU56&lt;=Thresholds!$E$44,"UM","H")))</f>
        <v>LM</v>
      </c>
      <c r="AV56" s="42" t="str">
        <f>IF('GNI per capita'!AV56&lt;=Thresholds!$C$45,"L",IF('GNI per capita'!AV56&lt;=Thresholds!$D$45,"LM",IF('GNI per capita'!AV56&lt;=Thresholds!$E$45,"UM","H")))</f>
        <v>LM</v>
      </c>
      <c r="AW56" s="42" t="str">
        <f>IF('GNI per capita'!AW56&lt;=Thresholds!$C$46,"L",IF('GNI per capita'!AW56&lt;=Thresholds!$D$46,"LM",IF('GNI per capita'!AW56&lt;=Thresholds!$E$46,"UM","H")))</f>
        <v>LM</v>
      </c>
      <c r="AX56" s="42" t="str">
        <f>IF('GNI per capita'!AX56&lt;=Thresholds!$C$47,"L",IF('GNI per capita'!AX56&lt;=Thresholds!$D$47,"LM",IF('GNI per capita'!AX56&lt;=Thresholds!$E$47,"UM","H")))</f>
        <v>LM</v>
      </c>
      <c r="AY56" s="42" t="str">
        <f>IF('GNI per capita'!AY56&lt;=Thresholds!$C$48,"L",IF('GNI per capita'!AY56&lt;=Thresholds!$D$48,"LM",IF('GNI per capita'!AY56&lt;=Thresholds!$E$48,"UM","H")))</f>
        <v>LM</v>
      </c>
      <c r="AZ56" s="42" t="str">
        <f>IF('GNI per capita'!AZ56&lt;=Thresholds!$C$49,"L",IF('GNI per capita'!AZ56&lt;=Thresholds!$D$49,"LM",IF('GNI per capita'!AZ56&lt;=Thresholds!$E$49,"UM","H")))</f>
        <v>LM</v>
      </c>
      <c r="BA56" s="42" t="str">
        <f>IF('GNI per capita'!BA56&lt;=Thresholds!$C$50,"L",IF('GNI per capita'!BA56&lt;=Thresholds!$D$50,"LM",IF('GNI per capita'!BA56&lt;=Thresholds!$E$50,"UM","H")))</f>
        <v>LM</v>
      </c>
      <c r="BB56" s="42" t="str">
        <f>IF('GNI per capita'!BB56&lt;=Thresholds!$C$51,"L",IF('GNI per capita'!BB56&lt;=Thresholds!$D$51,"LM",IF('GNI per capita'!BB56&lt;=Thresholds!$E$51,"UM","H")))</f>
        <v>LM</v>
      </c>
      <c r="BC56" s="42" t="str">
        <f>IF('GNI per capita'!BC56&lt;=Thresholds!$C$52,"L",IF('GNI per capita'!BC56&lt;=Thresholds!$D$52,"LM",IF('GNI per capita'!BC56&lt;=Thresholds!$E$52,"UM","H")))</f>
        <v>LM</v>
      </c>
      <c r="BD56" s="42" t="str">
        <f>IF('GNI per capita'!BD56&lt;=Thresholds!$C$53,"L",IF('GNI per capita'!BD56&lt;=Thresholds!$D$53,"LM",IF('GNI per capita'!BD56&lt;=Thresholds!$E$53,"UM","H")))</f>
        <v>LM</v>
      </c>
      <c r="BE56" s="42" t="str">
        <f>IF('GNI per capita'!BE56&lt;=Thresholds!$C$54,"L",IF('GNI per capita'!BE56&lt;=Thresholds!$D$54,"LM",IF('GNI per capita'!BE56&lt;=Thresholds!$E$54,"UM","H")))</f>
        <v>LM</v>
      </c>
      <c r="BF56" s="42" t="str">
        <f>IF('GNI per capita'!BF56&lt;=Thresholds!$C$55,"L",IF('GNI per capita'!BF56&lt;=Thresholds!$D$55,"LM",IF('GNI per capita'!BF56&lt;=Thresholds!$E$55,"UM","H")))</f>
        <v>LM</v>
      </c>
      <c r="BG56" s="42" t="str">
        <f>IF('GNI per capita'!BG56&lt;=Thresholds!$C$56,"L",IF('GNI per capita'!BG56&lt;=Thresholds!$D$56,"LM",IF('GNI per capita'!BG56&lt;=Thresholds!$E$56,"UM","H")))</f>
        <v>LM</v>
      </c>
      <c r="BH56" s="42" t="str">
        <f>IF('GNI per capita'!BH56&lt;=Thresholds!$C$57,"L",IF('GNI per capita'!BH56&lt;=Thresholds!$D$57,"LM",IF('GNI per capita'!BH56&lt;=Thresholds!$E$57,"UM","H")))</f>
        <v>LM</v>
      </c>
      <c r="BI56" s="42" t="str">
        <f>IF('GNI per capita'!BI56&lt;=Thresholds!$C$58,"L",IF('GNI per capita'!BI56&lt;=Thresholds!$D$58,"LM",IF('GNI per capita'!BI56&lt;=Thresholds!$E$58,"UM","H")))</f>
        <v>LM</v>
      </c>
      <c r="BJ56" s="42" t="str">
        <f>IF('GNI per capita'!BJ56&lt;=Thresholds!$C$59,"L",IF('GNI per capita'!BJ56&lt;=Thresholds!$D$59,"LM",IF('GNI per capita'!BJ56&lt;=Thresholds!$E$59,"UM","H")))</f>
        <v>LM</v>
      </c>
      <c r="BK56" s="42" t="str">
        <f>IF('GNI per capita'!BK56&lt;=Thresholds!$C$60,"L",IF('GNI per capita'!BK56&lt;=Thresholds!$D$60,"LM",IF('GNI per capita'!BK56&lt;=Thresholds!$E$60,"UM","H")))</f>
        <v>LM</v>
      </c>
      <c r="BL56" s="42" t="str">
        <f>IF('GNI per capita'!BL56&lt;=Thresholds!$C$61,"L",IF('GNI per capita'!BL56&lt;=Thresholds!$D$61,"LM",IF('GNI per capita'!BL56&lt;=Thresholds!$E$61,"UM","H")))</f>
        <v>UM</v>
      </c>
      <c r="BM56" s="42" t="str">
        <f>IF('GNI per capita'!BM56&lt;=Thresholds!$C$62,"L",IF('GNI per capita'!BM56&lt;=Thresholds!$D$62,"LM",IF('GNI per capita'!BM56&lt;=Thresholds!$E$62,"UM","H")))</f>
        <v>UM</v>
      </c>
      <c r="BN56" s="42" t="str">
        <f>IF('GNI per capita'!BN56&lt;=Thresholds!$C$63,"L",IF('GNI per capita'!BN56&lt;=Thresholds!$D$63,"LM",IF('GNI per capita'!BN56&lt;=Thresholds!$E$63,"UM","H")))</f>
        <v>UM</v>
      </c>
      <c r="BO56" s="42" t="str">
        <f>IF('GNI per capita'!BO56&lt;=Thresholds!$C$64,"L",IF('GNI per capita'!BO56&lt;=Thresholds!$D$64,"LM",IF('GNI per capita'!BO56&lt;=Thresholds!$E$64,"UM","H")))</f>
        <v>UM</v>
      </c>
      <c r="BP56" s="42" t="str">
        <f>IF('GNI per capita'!BP56&lt;=Thresholds!$C$65,"L",IF('GNI per capita'!BP56&lt;=Thresholds!$D$65,"LM",IF('GNI per capita'!BP56&lt;=Thresholds!$E$65,"UM","H")))</f>
        <v>UM</v>
      </c>
      <c r="BQ56" s="42" t="str">
        <f>IF('GNI per capita'!BQ56&lt;=Thresholds!$C$66,"L",IF('GNI per capita'!BQ56&lt;=Thresholds!$D$66,"LM",IF('GNI per capita'!BQ56&lt;=Thresholds!$E$66,"UM","H")))</f>
        <v>UM</v>
      </c>
      <c r="BR56" s="42" t="str">
        <f>IF('GNI per capita'!BR56&lt;=Thresholds!$C$67,"L",IF('GNI per capita'!BR56&lt;=Thresholds!$D$67,"LM",IF('GNI per capita'!BR56&lt;=Thresholds!$E$67,"UM","H")))</f>
        <v>UM</v>
      </c>
      <c r="BS56" s="42" t="str">
        <f>IF('GNI per capita'!BS56&lt;=Thresholds!$C$68,"L",IF('GNI per capita'!BS56&lt;=Thresholds!$D$68,"LM",IF('GNI per capita'!BS56&lt;=Thresholds!$E$68,"UM","H")))</f>
        <v>UM</v>
      </c>
    </row>
    <row r="57" spans="1:71" x14ac:dyDescent="0.2">
      <c r="A57" s="2" t="s">
        <v>315</v>
      </c>
      <c r="B57" s="2" t="s">
        <v>316</v>
      </c>
      <c r="C57" s="11" t="s">
        <v>79</v>
      </c>
      <c r="G57" s="2" t="s">
        <v>162</v>
      </c>
      <c r="H57" s="41" t="s">
        <v>79</v>
      </c>
      <c r="I57" s="41" t="s">
        <v>79</v>
      </c>
      <c r="J57" s="41" t="s">
        <v>79</v>
      </c>
      <c r="K57" s="41" t="s">
        <v>79</v>
      </c>
      <c r="L57" s="41" t="s">
        <v>79</v>
      </c>
      <c r="M57" s="41" t="s">
        <v>79</v>
      </c>
      <c r="N57" s="41" t="s">
        <v>79</v>
      </c>
      <c r="O57" s="41" t="s">
        <v>79</v>
      </c>
      <c r="P57" s="41" t="s">
        <v>79</v>
      </c>
      <c r="Q57" s="41" t="s">
        <v>79</v>
      </c>
      <c r="R57" s="41" t="s">
        <v>79</v>
      </c>
      <c r="S57" s="41" t="s">
        <v>79</v>
      </c>
      <c r="T57" s="41" t="s">
        <v>79</v>
      </c>
      <c r="U57" s="41" t="s">
        <v>79</v>
      </c>
      <c r="V57" s="41" t="s">
        <v>79</v>
      </c>
      <c r="W57" s="41" t="s">
        <v>79</v>
      </c>
      <c r="X57" s="41" t="s">
        <v>79</v>
      </c>
      <c r="Y57" s="41" t="s">
        <v>79</v>
      </c>
      <c r="Z57" s="41" t="s">
        <v>79</v>
      </c>
      <c r="AA57" s="41" t="s">
        <v>79</v>
      </c>
      <c r="AB57" s="41" t="s">
        <v>79</v>
      </c>
      <c r="AC57" s="41" t="s">
        <v>79</v>
      </c>
      <c r="AD57" s="41" t="s">
        <v>79</v>
      </c>
      <c r="AE57" s="41" t="s">
        <v>79</v>
      </c>
      <c r="AF57" s="41" t="s">
        <v>79</v>
      </c>
      <c r="AG57" s="41" t="s">
        <v>79</v>
      </c>
      <c r="AH57" s="41" t="s">
        <v>79</v>
      </c>
      <c r="AI57" s="41" t="s">
        <v>79</v>
      </c>
      <c r="AJ57" s="41" t="s">
        <v>79</v>
      </c>
      <c r="AK57" s="41" t="s">
        <v>79</v>
      </c>
      <c r="AL57" s="41" t="s">
        <v>79</v>
      </c>
      <c r="AM57" s="41" t="s">
        <v>79</v>
      </c>
      <c r="AN57" s="41" t="s">
        <v>79</v>
      </c>
      <c r="AO57" s="41" t="s">
        <v>79</v>
      </c>
      <c r="AP57" s="41" t="s">
        <v>79</v>
      </c>
      <c r="AQ57" s="41" t="s">
        <v>79</v>
      </c>
      <c r="AR57" s="41" t="s">
        <v>79</v>
      </c>
      <c r="AS57" s="41" t="s">
        <v>79</v>
      </c>
      <c r="AT57" s="41" t="s">
        <v>79</v>
      </c>
      <c r="AU57" s="42" t="str">
        <f>IF('GNI per capita'!AU57&lt;=Thresholds!$C$44,"L",IF('GNI per capita'!AU57&lt;=Thresholds!$D$44,"LM",IF('GNI per capita'!AU57&lt;=Thresholds!$E$44,"UM","H")))</f>
        <v>H</v>
      </c>
      <c r="AV57" s="42" t="str">
        <f>IF('GNI per capita'!AV57&lt;=Thresholds!$C$45,"L",IF('GNI per capita'!AV57&lt;=Thresholds!$D$45,"LM",IF('GNI per capita'!AV57&lt;=Thresholds!$E$45,"UM","H")))</f>
        <v>H</v>
      </c>
      <c r="AW57" s="42" t="str">
        <f>IF('GNI per capita'!AW57&lt;=Thresholds!$C$46,"L",IF('GNI per capita'!AW57&lt;=Thresholds!$D$46,"LM",IF('GNI per capita'!AW57&lt;=Thresholds!$E$46,"UM","H")))</f>
        <v>H</v>
      </c>
      <c r="AX57" s="42" t="str">
        <f>IF('GNI per capita'!AX57&lt;=Thresholds!$C$47,"L",IF('GNI per capita'!AX57&lt;=Thresholds!$D$47,"LM",IF('GNI per capita'!AX57&lt;=Thresholds!$E$47,"UM","H")))</f>
        <v>H</v>
      </c>
      <c r="AY57" s="42" t="str">
        <f>IF('GNI per capita'!AY57&lt;=Thresholds!$C$48,"L",IF('GNI per capita'!AY57&lt;=Thresholds!$D$48,"LM",IF('GNI per capita'!AY57&lt;=Thresholds!$E$48,"UM","H")))</f>
        <v>H</v>
      </c>
      <c r="AZ57" s="42" t="str">
        <f>IF('GNI per capita'!AZ57&lt;=Thresholds!$C$49,"L",IF('GNI per capita'!AZ57&lt;=Thresholds!$D$49,"LM",IF('GNI per capita'!AZ57&lt;=Thresholds!$E$49,"UM","H")))</f>
        <v>H</v>
      </c>
      <c r="BA57" s="42" t="str">
        <f>IF('GNI per capita'!BA57&lt;=Thresholds!$C$50,"L",IF('GNI per capita'!BA57&lt;=Thresholds!$D$50,"LM",IF('GNI per capita'!BA57&lt;=Thresholds!$E$50,"UM","H")))</f>
        <v>H</v>
      </c>
      <c r="BB57" s="42" t="str">
        <f>IF('GNI per capita'!BB57&lt;=Thresholds!$C$51,"L",IF('GNI per capita'!BB57&lt;=Thresholds!$D$51,"LM",IF('GNI per capita'!BB57&lt;=Thresholds!$E$51,"UM","H")))</f>
        <v>H</v>
      </c>
      <c r="BC57" s="42" t="str">
        <f>IF('GNI per capita'!BC57&lt;=Thresholds!$C$52,"L",IF('GNI per capita'!BC57&lt;=Thresholds!$D$52,"LM",IF('GNI per capita'!BC57&lt;=Thresholds!$E$52,"UM","H")))</f>
        <v>H</v>
      </c>
      <c r="BD57" s="42" t="str">
        <f>IF('GNI per capita'!BD57&lt;=Thresholds!$C$53,"L",IF('GNI per capita'!BD57&lt;=Thresholds!$D$53,"LM",IF('GNI per capita'!BD57&lt;=Thresholds!$E$53,"UM","H")))</f>
        <v>H</v>
      </c>
      <c r="BE57" s="42" t="str">
        <f>IF('GNI per capita'!BE57&lt;=Thresholds!$C$54,"L",IF('GNI per capita'!BE57&lt;=Thresholds!$D$54,"LM",IF('GNI per capita'!BE57&lt;=Thresholds!$E$54,"UM","H")))</f>
        <v>H</v>
      </c>
      <c r="BF57" s="42" t="str">
        <f>IF('GNI per capita'!BF57&lt;=Thresholds!$C$55,"L",IF('GNI per capita'!BF57&lt;=Thresholds!$D$55,"LM",IF('GNI per capita'!BF57&lt;=Thresholds!$E$55,"UM","H")))</f>
        <v>H</v>
      </c>
      <c r="BG57" s="42" t="str">
        <f>IF('GNI per capita'!BG57&lt;=Thresholds!$C$56,"L",IF('GNI per capita'!BG57&lt;=Thresholds!$D$56,"LM",IF('GNI per capita'!BG57&lt;=Thresholds!$E$56,"UM","H")))</f>
        <v>H</v>
      </c>
      <c r="BH57" s="42" t="str">
        <f>IF('GNI per capita'!BH57&lt;=Thresholds!$C$57,"L",IF('GNI per capita'!BH57&lt;=Thresholds!$D$57,"LM",IF('GNI per capita'!BH57&lt;=Thresholds!$E$57,"UM","H")))</f>
        <v>H</v>
      </c>
      <c r="BI57" s="42" t="str">
        <f>IF('GNI per capita'!BI57&lt;=Thresholds!$C$58,"L",IF('GNI per capita'!BI57&lt;=Thresholds!$D$58,"LM",IF('GNI per capita'!BI57&lt;=Thresholds!$E$58,"UM","H")))</f>
        <v>H</v>
      </c>
      <c r="BJ57" s="42" t="str">
        <f>IF('GNI per capita'!BJ57&lt;=Thresholds!$C$59,"L",IF('GNI per capita'!BJ57&lt;=Thresholds!$D$59,"LM",IF('GNI per capita'!BJ57&lt;=Thresholds!$E$59,"UM","H")))</f>
        <v>H</v>
      </c>
      <c r="BK57" s="42" t="str">
        <f>IF('GNI per capita'!BK57&lt;=Thresholds!$C$60,"L",IF('GNI per capita'!BK57&lt;=Thresholds!$D$60,"LM",IF('GNI per capita'!BK57&lt;=Thresholds!$E$60,"UM","H")))</f>
        <v>H</v>
      </c>
      <c r="BL57" s="42" t="str">
        <f>IF('GNI per capita'!BL57&lt;=Thresholds!$C$61,"L",IF('GNI per capita'!BL57&lt;=Thresholds!$D$61,"LM",IF('GNI per capita'!BL57&lt;=Thresholds!$E$61,"UM","H")))</f>
        <v>H</v>
      </c>
      <c r="BM57" s="42" t="str">
        <f>IF('GNI per capita'!BM57&lt;=Thresholds!$C$62,"L",IF('GNI per capita'!BM57&lt;=Thresholds!$D$62,"LM",IF('GNI per capita'!BM57&lt;=Thresholds!$E$62,"UM","H")))</f>
        <v>H</v>
      </c>
      <c r="BN57" s="42" t="str">
        <f>IF('GNI per capita'!BN57&lt;=Thresholds!$C$63,"L",IF('GNI per capita'!BN57&lt;=Thresholds!$D$63,"LM",IF('GNI per capita'!BN57&lt;=Thresholds!$E$63,"UM","H")))</f>
        <v>H</v>
      </c>
      <c r="BO57" s="42" t="str">
        <f>IF('GNI per capita'!BO57&lt;=Thresholds!$C$64,"L",IF('GNI per capita'!BO57&lt;=Thresholds!$D$64,"LM",IF('GNI per capita'!BO57&lt;=Thresholds!$E$64,"UM","H")))</f>
        <v>H</v>
      </c>
      <c r="BP57" s="42" t="str">
        <f>IF('GNI per capita'!BP57&lt;=Thresholds!$C$65,"L",IF('GNI per capita'!BP57&lt;=Thresholds!$D$65,"LM",IF('GNI per capita'!BP57&lt;=Thresholds!$E$65,"UM","H")))</f>
        <v>H</v>
      </c>
      <c r="BQ57" s="42" t="str">
        <f>IF('GNI per capita'!BQ57&lt;=Thresholds!$C$66,"L",IF('GNI per capita'!BQ57&lt;=Thresholds!$D$66,"LM",IF('GNI per capita'!BQ57&lt;=Thresholds!$E$66,"UM","H")))</f>
        <v>H</v>
      </c>
      <c r="BR57" s="42" t="str">
        <f>IF('GNI per capita'!BR57&lt;=Thresholds!$C$67,"L",IF('GNI per capita'!BR57&lt;=Thresholds!$D$67,"LM",IF('GNI per capita'!BR57&lt;=Thresholds!$E$67,"UM","H")))</f>
        <v>H</v>
      </c>
      <c r="BS57" s="42" t="str">
        <f>IF('GNI per capita'!BS57&lt;=Thresholds!$C$68,"L",IF('GNI per capita'!BS57&lt;=Thresholds!$D$68,"LM",IF('GNI per capita'!BS57&lt;=Thresholds!$E$68,"UM","H")))</f>
        <v>H</v>
      </c>
    </row>
    <row r="58" spans="1:71" x14ac:dyDescent="0.2">
      <c r="A58" s="2" t="s">
        <v>317</v>
      </c>
      <c r="B58" s="2" t="s">
        <v>318</v>
      </c>
      <c r="C58" s="11" t="s">
        <v>210</v>
      </c>
      <c r="G58" s="2" t="s">
        <v>162</v>
      </c>
      <c r="H58" s="41"/>
      <c r="I58" s="41"/>
      <c r="J58" s="41"/>
      <c r="K58" s="41" t="s">
        <v>210</v>
      </c>
      <c r="L58" s="41" t="s">
        <v>210</v>
      </c>
      <c r="M58" s="41" t="s">
        <v>210</v>
      </c>
      <c r="N58" s="41" t="s">
        <v>210</v>
      </c>
      <c r="O58" s="41" t="s">
        <v>210</v>
      </c>
      <c r="P58" s="41" t="s">
        <v>210</v>
      </c>
      <c r="Q58" s="41" t="s">
        <v>210</v>
      </c>
      <c r="R58" s="41" t="s">
        <v>210</v>
      </c>
      <c r="S58" s="41" t="s">
        <v>210</v>
      </c>
      <c r="T58" s="41" t="s">
        <v>210</v>
      </c>
      <c r="U58" s="41" t="s">
        <v>210</v>
      </c>
      <c r="V58" s="41" t="s">
        <v>210</v>
      </c>
      <c r="W58" s="41" t="s">
        <v>210</v>
      </c>
      <c r="X58" s="41" t="s">
        <v>210</v>
      </c>
      <c r="Y58" s="41" t="s">
        <v>210</v>
      </c>
      <c r="Z58" s="41" t="s">
        <v>210</v>
      </c>
      <c r="AA58" s="41" t="s">
        <v>210</v>
      </c>
      <c r="AB58" s="41" t="s">
        <v>210</v>
      </c>
      <c r="AC58" s="41" t="s">
        <v>210</v>
      </c>
      <c r="AD58" s="41" t="s">
        <v>210</v>
      </c>
      <c r="AE58" s="41" t="s">
        <v>210</v>
      </c>
      <c r="AF58" s="41" t="s">
        <v>210</v>
      </c>
      <c r="AG58" s="41" t="s">
        <v>210</v>
      </c>
      <c r="AH58" s="41" t="s">
        <v>210</v>
      </c>
      <c r="AI58" s="41" t="s">
        <v>210</v>
      </c>
      <c r="AJ58" s="41" t="s">
        <v>210</v>
      </c>
      <c r="AK58" s="41" t="s">
        <v>210</v>
      </c>
      <c r="AL58" s="41" t="s">
        <v>210</v>
      </c>
      <c r="AM58" s="41" t="s">
        <v>210</v>
      </c>
      <c r="AN58" s="41" t="s">
        <v>210</v>
      </c>
      <c r="AO58" s="41" t="s">
        <v>210</v>
      </c>
      <c r="AP58" s="41" t="s">
        <v>210</v>
      </c>
      <c r="AQ58" s="41" t="s">
        <v>210</v>
      </c>
      <c r="AR58" s="41" t="s">
        <v>210</v>
      </c>
      <c r="AS58" s="41" t="s">
        <v>210</v>
      </c>
      <c r="AT58" s="41" t="s">
        <v>210</v>
      </c>
      <c r="AU58" s="42" t="str">
        <f>IF('GNI per capita'!AU58&lt;=Thresholds!$C$44,"L",IF('GNI per capita'!AU58&lt;=Thresholds!$D$44,"LM",IF('GNI per capita'!AU58&lt;=Thresholds!$E$44,"UM","H")))</f>
        <v>LM</v>
      </c>
      <c r="AV58" s="42" t="str">
        <f>IF('GNI per capita'!AV58&lt;=Thresholds!$C$45,"L",IF('GNI per capita'!AV58&lt;=Thresholds!$D$45,"LM",IF('GNI per capita'!AV58&lt;=Thresholds!$E$45,"UM","H")))</f>
        <v>LM</v>
      </c>
      <c r="AW58" s="42" t="str">
        <f>IF('GNI per capita'!AW58&lt;=Thresholds!$C$46,"L",IF('GNI per capita'!AW58&lt;=Thresholds!$D$46,"LM",IF('GNI per capita'!AW58&lt;=Thresholds!$E$46,"UM","H")))</f>
        <v>LM</v>
      </c>
      <c r="AX58" s="42" t="str">
        <f>IF('GNI per capita'!AX58&lt;=Thresholds!$C$47,"L",IF('GNI per capita'!AX58&lt;=Thresholds!$D$47,"LM",IF('GNI per capita'!AX58&lt;=Thresholds!$E$47,"UM","H")))</f>
        <v>UM</v>
      </c>
      <c r="AY58" s="42" t="str">
        <f>IF('GNI per capita'!AY58&lt;=Thresholds!$C$48,"L",IF('GNI per capita'!AY58&lt;=Thresholds!$D$48,"LM",IF('GNI per capita'!AY58&lt;=Thresholds!$E$48,"UM","H")))</f>
        <v>UM</v>
      </c>
      <c r="AZ58" s="42" t="str">
        <f>IF('GNI per capita'!AZ58&lt;=Thresholds!$C$49,"L",IF('GNI per capita'!AZ58&lt;=Thresholds!$D$49,"LM",IF('GNI per capita'!AZ58&lt;=Thresholds!$E$49,"UM","H")))</f>
        <v>UM</v>
      </c>
      <c r="BA58" s="42" t="str">
        <f>IF('GNI per capita'!BA58&lt;=Thresholds!$C$50,"L",IF('GNI per capita'!BA58&lt;=Thresholds!$D$50,"LM",IF('GNI per capita'!BA58&lt;=Thresholds!$E$50,"UM","H")))</f>
        <v>UM</v>
      </c>
      <c r="BB58" s="42" t="str">
        <f>IF('GNI per capita'!BB58&lt;=Thresholds!$C$51,"L",IF('GNI per capita'!BB58&lt;=Thresholds!$D$51,"LM",IF('GNI per capita'!BB58&lt;=Thresholds!$E$51,"UM","H")))</f>
        <v>UM</v>
      </c>
      <c r="BC58" s="42" t="str">
        <f>IF('GNI per capita'!BC58&lt;=Thresholds!$C$52,"L",IF('GNI per capita'!BC58&lt;=Thresholds!$D$52,"LM",IF('GNI per capita'!BC58&lt;=Thresholds!$E$52,"UM","H")))</f>
        <v>UM</v>
      </c>
      <c r="BD58" s="42" t="str">
        <f>IF('GNI per capita'!BD58&lt;=Thresholds!$C$53,"L",IF('GNI per capita'!BD58&lt;=Thresholds!$D$53,"LM",IF('GNI per capita'!BD58&lt;=Thresholds!$E$53,"UM","H")))</f>
        <v>UM</v>
      </c>
      <c r="BE58" s="42" t="str">
        <f>IF('GNI per capita'!BE58&lt;=Thresholds!$C$54,"L",IF('GNI per capita'!BE58&lt;=Thresholds!$D$54,"LM",IF('GNI per capita'!BE58&lt;=Thresholds!$E$54,"UM","H")))</f>
        <v>UM</v>
      </c>
      <c r="BF58" s="42" t="str">
        <f>IF('GNI per capita'!BF58&lt;=Thresholds!$C$55,"L",IF('GNI per capita'!BF58&lt;=Thresholds!$D$55,"LM",IF('GNI per capita'!BF58&lt;=Thresholds!$E$55,"UM","H")))</f>
        <v>UM</v>
      </c>
      <c r="BG58" s="42" t="str">
        <f>IF('GNI per capita'!BG58&lt;=Thresholds!$C$56,"L",IF('GNI per capita'!BG58&lt;=Thresholds!$D$56,"LM",IF('GNI per capita'!BG58&lt;=Thresholds!$E$56,"UM","H")))</f>
        <v>UM</v>
      </c>
      <c r="BH58" s="42" t="str">
        <f>IF('GNI per capita'!BH58&lt;=Thresholds!$C$57,"L",IF('GNI per capita'!BH58&lt;=Thresholds!$D$57,"LM",IF('GNI per capita'!BH58&lt;=Thresholds!$E$57,"UM","H")))</f>
        <v>UM</v>
      </c>
      <c r="BI58" s="42" t="str">
        <f>IF('GNI per capita'!BI58&lt;=Thresholds!$C$58,"L",IF('GNI per capita'!BI58&lt;=Thresholds!$D$58,"LM",IF('GNI per capita'!BI58&lt;=Thresholds!$E$58,"UM","H")))</f>
        <v>UM</v>
      </c>
      <c r="BJ58" s="42" t="str">
        <f>IF('GNI per capita'!BJ58&lt;=Thresholds!$C$59,"L",IF('GNI per capita'!BJ58&lt;=Thresholds!$D$59,"LM",IF('GNI per capita'!BJ58&lt;=Thresholds!$E$59,"UM","H")))</f>
        <v>UM</v>
      </c>
      <c r="BK58" s="42" t="str">
        <f>IF('GNI per capita'!BK58&lt;=Thresholds!$C$60,"L",IF('GNI per capita'!BK58&lt;=Thresholds!$D$60,"LM",IF('GNI per capita'!BK58&lt;=Thresholds!$E$60,"UM","H")))</f>
        <v>UM</v>
      </c>
      <c r="BL58" s="42" t="str">
        <f>IF('GNI per capita'!BL58&lt;=Thresholds!$C$61,"L",IF('GNI per capita'!BL58&lt;=Thresholds!$D$61,"LM",IF('GNI per capita'!BL58&lt;=Thresholds!$E$61,"UM","H")))</f>
        <v>UM</v>
      </c>
      <c r="BM58" s="42" t="str">
        <f>IF('GNI per capita'!BM58&lt;=Thresholds!$C$62,"L",IF('GNI per capita'!BM58&lt;=Thresholds!$D$62,"LM",IF('GNI per capita'!BM58&lt;=Thresholds!$E$62,"UM","H")))</f>
        <v>UM</v>
      </c>
      <c r="BN58" s="42" t="str">
        <f>IF('GNI per capita'!BN58&lt;=Thresholds!$C$63,"L",IF('GNI per capita'!BN58&lt;=Thresholds!$D$63,"LM",IF('GNI per capita'!BN58&lt;=Thresholds!$E$63,"UM","H")))</f>
        <v>UM</v>
      </c>
      <c r="BO58" s="42" t="str">
        <f>IF('GNI per capita'!BO58&lt;=Thresholds!$C$64,"L",IF('GNI per capita'!BO58&lt;=Thresholds!$D$64,"LM",IF('GNI per capita'!BO58&lt;=Thresholds!$E$64,"UM","H")))</f>
        <v>UM</v>
      </c>
      <c r="BP58" s="42" t="str">
        <f>IF('GNI per capita'!BP58&lt;=Thresholds!$C$65,"L",IF('GNI per capita'!BP58&lt;=Thresholds!$D$65,"LM",IF('GNI per capita'!BP58&lt;=Thresholds!$E$65,"UM","H")))</f>
        <v>UM</v>
      </c>
      <c r="BQ58" s="42" t="str">
        <f>IF('GNI per capita'!BQ58&lt;=Thresholds!$C$66,"L",IF('GNI per capita'!BQ58&lt;=Thresholds!$D$66,"LM",IF('GNI per capita'!BQ58&lt;=Thresholds!$E$66,"UM","H")))</f>
        <v>UM</v>
      </c>
      <c r="BR58" s="42" t="str">
        <f>IF('GNI per capita'!BR58&lt;=Thresholds!$C$67,"L",IF('GNI per capita'!BR58&lt;=Thresholds!$D$67,"LM",IF('GNI per capita'!BR58&lt;=Thresholds!$E$67,"UM","H")))</f>
        <v>UM</v>
      </c>
      <c r="BS58" s="42" t="str">
        <f>IF('GNI per capita'!BS58&lt;=Thresholds!$C$68,"L",IF('GNI per capita'!BS58&lt;=Thresholds!$D$68,"LM",IF('GNI per capita'!BS58&lt;=Thresholds!$E$68,"UM","H")))</f>
        <v>UM</v>
      </c>
    </row>
    <row r="59" spans="1:71" x14ac:dyDescent="0.2">
      <c r="A59" s="2" t="s">
        <v>319</v>
      </c>
      <c r="B59" s="2" t="s">
        <v>320</v>
      </c>
      <c r="C59" s="11" t="s">
        <v>82</v>
      </c>
      <c r="G59" s="2" t="s">
        <v>162</v>
      </c>
      <c r="H59" s="41" t="s">
        <v>210</v>
      </c>
      <c r="I59" s="41" t="s">
        <v>210</v>
      </c>
      <c r="J59" s="41" t="s">
        <v>210</v>
      </c>
      <c r="K59" s="41" t="s">
        <v>210</v>
      </c>
      <c r="L59" s="41" t="s">
        <v>210</v>
      </c>
      <c r="M59" s="41" t="s">
        <v>210</v>
      </c>
      <c r="N59" s="41" t="s">
        <v>210</v>
      </c>
      <c r="O59" s="41" t="s">
        <v>210</v>
      </c>
      <c r="P59" s="41" t="s">
        <v>210</v>
      </c>
      <c r="Q59" s="41" t="s">
        <v>210</v>
      </c>
      <c r="R59" s="41" t="s">
        <v>210</v>
      </c>
      <c r="S59" s="41" t="s">
        <v>210</v>
      </c>
      <c r="T59" s="41" t="s">
        <v>82</v>
      </c>
      <c r="U59" s="41" t="s">
        <v>82</v>
      </c>
      <c r="V59" s="41" t="s">
        <v>82</v>
      </c>
      <c r="W59" s="41" t="s">
        <v>82</v>
      </c>
      <c r="X59" s="41" t="s">
        <v>82</v>
      </c>
      <c r="Y59" s="41" t="s">
        <v>82</v>
      </c>
      <c r="Z59" s="41" t="s">
        <v>82</v>
      </c>
      <c r="AA59" s="41" t="s">
        <v>82</v>
      </c>
      <c r="AB59" s="41" t="s">
        <v>82</v>
      </c>
      <c r="AC59" s="41" t="s">
        <v>82</v>
      </c>
      <c r="AD59" s="41" t="s">
        <v>82</v>
      </c>
      <c r="AE59" s="41" t="s">
        <v>82</v>
      </c>
      <c r="AF59" s="41" t="s">
        <v>82</v>
      </c>
      <c r="AG59" s="41" t="s">
        <v>82</v>
      </c>
      <c r="AH59" s="41" t="s">
        <v>82</v>
      </c>
      <c r="AI59" s="41" t="s">
        <v>82</v>
      </c>
      <c r="AJ59" s="41" t="s">
        <v>82</v>
      </c>
      <c r="AK59" s="41" t="s">
        <v>82</v>
      </c>
      <c r="AL59" s="41" t="s">
        <v>82</v>
      </c>
      <c r="AM59" s="41" t="s">
        <v>82</v>
      </c>
      <c r="AN59" s="41" t="s">
        <v>82</v>
      </c>
      <c r="AO59" s="41" t="s">
        <v>82</v>
      </c>
      <c r="AP59" s="41" t="s">
        <v>82</v>
      </c>
      <c r="AQ59" s="41" t="s">
        <v>82</v>
      </c>
      <c r="AR59" s="41" t="s">
        <v>82</v>
      </c>
      <c r="AS59" s="41" t="s">
        <v>82</v>
      </c>
      <c r="AT59" s="41" t="s">
        <v>82</v>
      </c>
      <c r="AU59" s="42" t="str">
        <f>IF('GNI per capita'!AU59&lt;=Thresholds!$C$44,"L",IF('GNI per capita'!AU59&lt;=Thresholds!$D$44,"LM",IF('GNI per capita'!AU59&lt;=Thresholds!$E$44,"UM","H")))</f>
        <v>UM</v>
      </c>
      <c r="AV59" s="42" t="str">
        <f>IF('GNI per capita'!AV59&lt;=Thresholds!$C$45,"L",IF('GNI per capita'!AV59&lt;=Thresholds!$D$45,"LM",IF('GNI per capita'!AV59&lt;=Thresholds!$E$45,"UM","H")))</f>
        <v>UM</v>
      </c>
      <c r="AW59" s="42" t="str">
        <f>IF('GNI per capita'!AW59&lt;=Thresholds!$C$46,"L",IF('GNI per capita'!AW59&lt;=Thresholds!$D$46,"LM",IF('GNI per capita'!AW59&lt;=Thresholds!$E$46,"UM","H")))</f>
        <v>UM</v>
      </c>
      <c r="AX59" s="42" t="str">
        <f>IF('GNI per capita'!AX59&lt;=Thresholds!$C$47,"L",IF('GNI per capita'!AX59&lt;=Thresholds!$D$47,"LM",IF('GNI per capita'!AX59&lt;=Thresholds!$E$47,"UM","H")))</f>
        <v>UM</v>
      </c>
      <c r="AY59" s="42" t="str">
        <f>IF('GNI per capita'!AY59&lt;=Thresholds!$C$48,"L",IF('GNI per capita'!AY59&lt;=Thresholds!$D$48,"LM",IF('GNI per capita'!AY59&lt;=Thresholds!$E$48,"UM","H")))</f>
        <v>UM</v>
      </c>
      <c r="AZ59" s="42" t="str">
        <f>IF('GNI per capita'!AZ59&lt;=Thresholds!$C$49,"L",IF('GNI per capita'!AZ59&lt;=Thresholds!$D$49,"LM",IF('GNI per capita'!AZ59&lt;=Thresholds!$E$49,"UM","H")))</f>
        <v>UM</v>
      </c>
      <c r="BA59" s="42" t="str">
        <f>IF('GNI per capita'!BA59&lt;=Thresholds!$C$50,"L",IF('GNI per capita'!BA59&lt;=Thresholds!$D$50,"LM",IF('GNI per capita'!BA59&lt;=Thresholds!$E$50,"UM","H")))</f>
        <v>UM</v>
      </c>
      <c r="BB59" s="42" t="str">
        <f>IF('GNI per capita'!BB59&lt;=Thresholds!$C$51,"L",IF('GNI per capita'!BB59&lt;=Thresholds!$D$51,"LM",IF('GNI per capita'!BB59&lt;=Thresholds!$E$51,"UM","H")))</f>
        <v>H</v>
      </c>
      <c r="BC59" s="42" t="str">
        <f>IF('GNI per capita'!BC59&lt;=Thresholds!$C$52,"L",IF('GNI per capita'!BC59&lt;=Thresholds!$D$52,"LM",IF('GNI per capita'!BC59&lt;=Thresholds!$E$52,"UM","H")))</f>
        <v>H</v>
      </c>
      <c r="BD59" s="42" t="str">
        <f>IF('GNI per capita'!BD59&lt;=Thresholds!$C$53,"L",IF('GNI per capita'!BD59&lt;=Thresholds!$D$53,"LM",IF('GNI per capita'!BD59&lt;=Thresholds!$E$53,"UM","H")))</f>
        <v>H</v>
      </c>
      <c r="BE59" s="42" t="str">
        <f>IF('GNI per capita'!BE59&lt;=Thresholds!$C$54,"L",IF('GNI per capita'!BE59&lt;=Thresholds!$D$54,"LM",IF('GNI per capita'!BE59&lt;=Thresholds!$E$54,"UM","H")))</f>
        <v>H</v>
      </c>
      <c r="BF59" s="42" t="str">
        <f>IF('GNI per capita'!BF59&lt;=Thresholds!$C$55,"L",IF('GNI per capita'!BF59&lt;=Thresholds!$D$55,"LM",IF('GNI per capita'!BF59&lt;=Thresholds!$E$55,"UM","H")))</f>
        <v>H</v>
      </c>
      <c r="BG59" s="42" t="str">
        <f>IF('GNI per capita'!BG59&lt;=Thresholds!$C$56,"L",IF('GNI per capita'!BG59&lt;=Thresholds!$D$56,"LM",IF('GNI per capita'!BG59&lt;=Thresholds!$E$56,"UM","H")))</f>
        <v>H</v>
      </c>
      <c r="BH59" s="42" t="str">
        <f>IF('GNI per capita'!BH59&lt;=Thresholds!$C$57,"L",IF('GNI per capita'!BH59&lt;=Thresholds!$D$57,"LM",IF('GNI per capita'!BH59&lt;=Thresholds!$E$57,"UM","H")))</f>
        <v>H</v>
      </c>
      <c r="BI59" s="42" t="str">
        <f>IF('GNI per capita'!BI59&lt;=Thresholds!$C$58,"L",IF('GNI per capita'!BI59&lt;=Thresholds!$D$58,"LM",IF('GNI per capita'!BI59&lt;=Thresholds!$E$58,"UM","H")))</f>
        <v>H</v>
      </c>
      <c r="BJ59" s="42" t="str">
        <f>IF('GNI per capita'!BJ59&lt;=Thresholds!$C$59,"L",IF('GNI per capita'!BJ59&lt;=Thresholds!$D$59,"LM",IF('GNI per capita'!BJ59&lt;=Thresholds!$E$59,"UM","H")))</f>
        <v>H</v>
      </c>
      <c r="BK59" s="42" t="str">
        <f>IF('GNI per capita'!BK59&lt;=Thresholds!$C$60,"L",IF('GNI per capita'!BK59&lt;=Thresholds!$D$60,"LM",IF('GNI per capita'!BK59&lt;=Thresholds!$E$60,"UM","H")))</f>
        <v>H</v>
      </c>
      <c r="BL59" s="42" t="str">
        <f>IF('GNI per capita'!BL59&lt;=Thresholds!$C$61,"L",IF('GNI per capita'!BL59&lt;=Thresholds!$D$61,"LM",IF('GNI per capita'!BL59&lt;=Thresholds!$E$61,"UM","H")))</f>
        <v>H</v>
      </c>
      <c r="BM59" s="42" t="str">
        <f>IF('GNI per capita'!BM59&lt;=Thresholds!$C$62,"L",IF('GNI per capita'!BM59&lt;=Thresholds!$D$62,"LM",IF('GNI per capita'!BM59&lt;=Thresholds!$E$62,"UM","H")))</f>
        <v>H</v>
      </c>
      <c r="BN59" s="42" t="str">
        <f>IF('GNI per capita'!BN59&lt;=Thresholds!$C$63,"L",IF('GNI per capita'!BN59&lt;=Thresholds!$D$63,"LM",IF('GNI per capita'!BN59&lt;=Thresholds!$E$63,"UM","H")))</f>
        <v>H</v>
      </c>
      <c r="BO59" s="42" t="str">
        <f>IF('GNI per capita'!BO59&lt;=Thresholds!$C$64,"L",IF('GNI per capita'!BO59&lt;=Thresholds!$D$64,"LM",IF('GNI per capita'!BO59&lt;=Thresholds!$E$64,"UM","H")))</f>
        <v>H</v>
      </c>
      <c r="BP59" s="42" t="str">
        <f>IF('GNI per capita'!BP59&lt;=Thresholds!$C$65,"L",IF('GNI per capita'!BP59&lt;=Thresholds!$D$65,"LM",IF('GNI per capita'!BP59&lt;=Thresholds!$E$65,"UM","H")))</f>
        <v>H</v>
      </c>
      <c r="BQ59" s="42" t="str">
        <f>IF('GNI per capita'!BQ59&lt;=Thresholds!$C$66,"L",IF('GNI per capita'!BQ59&lt;=Thresholds!$D$66,"LM",IF('GNI per capita'!BQ59&lt;=Thresholds!$E$66,"UM","H")))</f>
        <v>H</v>
      </c>
      <c r="BR59" s="42" t="str">
        <f>IF('GNI per capita'!BR59&lt;=Thresholds!$C$67,"L",IF('GNI per capita'!BR59&lt;=Thresholds!$D$67,"LM",IF('GNI per capita'!BR59&lt;=Thresholds!$E$67,"UM","H")))</f>
        <v>H</v>
      </c>
      <c r="BS59" s="42" t="str">
        <f>IF('GNI per capita'!BS59&lt;=Thresholds!$C$68,"L",IF('GNI per capita'!BS59&lt;=Thresholds!$D$68,"LM",IF('GNI per capita'!BS59&lt;=Thresholds!$E$68,"UM","H")))</f>
        <v>H</v>
      </c>
    </row>
    <row r="60" spans="1:71" x14ac:dyDescent="0.2">
      <c r="A60" s="2" t="s">
        <v>321</v>
      </c>
      <c r="B60" s="2" t="s">
        <v>322</v>
      </c>
      <c r="C60" s="11" t="s">
        <v>82</v>
      </c>
      <c r="G60" s="2" t="s">
        <v>162</v>
      </c>
      <c r="H60" s="41" t="s">
        <v>210</v>
      </c>
      <c r="I60" s="41" t="s">
        <v>210</v>
      </c>
      <c r="J60" s="41" t="s">
        <v>210</v>
      </c>
      <c r="K60" s="41" t="s">
        <v>210</v>
      </c>
      <c r="L60" s="41" t="s">
        <v>210</v>
      </c>
      <c r="M60" s="41" t="s">
        <v>210</v>
      </c>
      <c r="N60" s="41" t="s">
        <v>210</v>
      </c>
      <c r="O60" s="41" t="s">
        <v>210</v>
      </c>
      <c r="P60" s="41" t="s">
        <v>210</v>
      </c>
      <c r="Q60" s="41" t="s">
        <v>210</v>
      </c>
      <c r="R60" s="41" t="s">
        <v>210</v>
      </c>
      <c r="S60" s="41" t="s">
        <v>210</v>
      </c>
      <c r="T60" s="41" t="s">
        <v>210</v>
      </c>
      <c r="U60" s="41" t="s">
        <v>210</v>
      </c>
      <c r="V60" s="41" t="s">
        <v>210</v>
      </c>
      <c r="W60" s="41" t="s">
        <v>210</v>
      </c>
      <c r="X60" s="41" t="s">
        <v>210</v>
      </c>
      <c r="Y60" s="41" t="s">
        <v>210</v>
      </c>
      <c r="Z60" s="41" t="s">
        <v>210</v>
      </c>
      <c r="AA60" s="41" t="s">
        <v>210</v>
      </c>
      <c r="AB60" s="41" t="s">
        <v>210</v>
      </c>
      <c r="AC60" s="41" t="s">
        <v>82</v>
      </c>
      <c r="AD60" s="41" t="s">
        <v>82</v>
      </c>
      <c r="AE60" s="41" t="s">
        <v>82</v>
      </c>
      <c r="AF60" s="41" t="s">
        <v>82</v>
      </c>
      <c r="AG60" s="41" t="s">
        <v>82</v>
      </c>
      <c r="AH60" s="41" t="s">
        <v>82</v>
      </c>
      <c r="AI60" s="41" t="s">
        <v>82</v>
      </c>
      <c r="AJ60" s="41" t="s">
        <v>82</v>
      </c>
      <c r="AK60" s="41" t="s">
        <v>82</v>
      </c>
      <c r="AL60" s="41" t="s">
        <v>82</v>
      </c>
      <c r="AM60" s="41" t="s">
        <v>82</v>
      </c>
      <c r="AN60" s="41" t="s">
        <v>82</v>
      </c>
      <c r="AO60" s="41" t="s">
        <v>82</v>
      </c>
      <c r="AP60" s="41" t="s">
        <v>82</v>
      </c>
      <c r="AQ60" s="41" t="s">
        <v>82</v>
      </c>
      <c r="AR60" s="41" t="s">
        <v>82</v>
      </c>
      <c r="AS60" s="41" t="s">
        <v>82</v>
      </c>
      <c r="AT60" s="41" t="s">
        <v>82</v>
      </c>
      <c r="AU60" s="42" t="str">
        <f>IF('GNI per capita'!AU60&lt;=Thresholds!$C$44,"L",IF('GNI per capita'!AU60&lt;=Thresholds!$D$44,"LM",IF('GNI per capita'!AU60&lt;=Thresholds!$E$44,"UM","H")))</f>
        <v>UM</v>
      </c>
      <c r="AV60" s="42" t="str">
        <f>IF('GNI per capita'!AV60&lt;=Thresholds!$C$45,"L",IF('GNI per capita'!AV60&lt;=Thresholds!$D$45,"LM",IF('GNI per capita'!AV60&lt;=Thresholds!$E$45,"UM","H")))</f>
        <v>UM</v>
      </c>
      <c r="AW60" s="42" t="str">
        <f>IF('GNI per capita'!AW60&lt;=Thresholds!$C$46,"L",IF('GNI per capita'!AW60&lt;=Thresholds!$D$46,"LM",IF('GNI per capita'!AW60&lt;=Thresholds!$E$46,"UM","H")))</f>
        <v>UM</v>
      </c>
      <c r="AX60" s="42" t="str">
        <f>IF('GNI per capita'!AX60&lt;=Thresholds!$C$47,"L",IF('GNI per capita'!AX60&lt;=Thresholds!$D$47,"LM",IF('GNI per capita'!AX60&lt;=Thresholds!$E$47,"UM","H")))</f>
        <v>UM</v>
      </c>
      <c r="AY60" s="42" t="str">
        <f>IF('GNI per capita'!AY60&lt;=Thresholds!$C$48,"L",IF('GNI per capita'!AY60&lt;=Thresholds!$D$48,"LM",IF('GNI per capita'!AY60&lt;=Thresholds!$E$48,"UM","H")))</f>
        <v>UM</v>
      </c>
      <c r="AZ60" s="42" t="str">
        <f>IF('GNI per capita'!AZ60&lt;=Thresholds!$C$49,"L",IF('GNI per capita'!AZ60&lt;=Thresholds!$D$49,"LM",IF('GNI per capita'!AZ60&lt;=Thresholds!$E$49,"UM","H")))</f>
        <v>UM</v>
      </c>
      <c r="BA60" s="42" t="str">
        <f>IF('GNI per capita'!BA60&lt;=Thresholds!$C$50,"L",IF('GNI per capita'!BA60&lt;=Thresholds!$D$50,"LM",IF('GNI per capita'!BA60&lt;=Thresholds!$E$50,"UM","H")))</f>
        <v>UM</v>
      </c>
      <c r="BB60" s="42" t="str">
        <f>IF('GNI per capita'!BB60&lt;=Thresholds!$C$51,"L",IF('GNI per capita'!BB60&lt;=Thresholds!$D$51,"LM",IF('GNI per capita'!BB60&lt;=Thresholds!$E$51,"UM","H")))</f>
        <v>H</v>
      </c>
      <c r="BC60" s="42" t="str">
        <f>IF('GNI per capita'!BC60&lt;=Thresholds!$C$52,"L",IF('GNI per capita'!BC60&lt;=Thresholds!$D$52,"LM",IF('GNI per capita'!BC60&lt;=Thresholds!$E$52,"UM","H")))</f>
        <v>H</v>
      </c>
      <c r="BD60" s="42" t="str">
        <f>IF('GNI per capita'!BD60&lt;=Thresholds!$C$53,"L",IF('GNI per capita'!BD60&lt;=Thresholds!$D$53,"LM",IF('GNI per capita'!BD60&lt;=Thresholds!$E$53,"UM","H")))</f>
        <v>H</v>
      </c>
      <c r="BE60" s="42" t="str">
        <f>IF('GNI per capita'!BE60&lt;=Thresholds!$C$54,"L",IF('GNI per capita'!BE60&lt;=Thresholds!$D$54,"LM",IF('GNI per capita'!BE60&lt;=Thresholds!$E$54,"UM","H")))</f>
        <v>H</v>
      </c>
      <c r="BF60" s="42" t="str">
        <f>IF('GNI per capita'!BF60&lt;=Thresholds!$C$55,"L",IF('GNI per capita'!BF60&lt;=Thresholds!$D$55,"LM",IF('GNI per capita'!BF60&lt;=Thresholds!$E$55,"UM","H")))</f>
        <v>H</v>
      </c>
      <c r="BG60" s="42" t="str">
        <f>IF('GNI per capita'!BG60&lt;=Thresholds!$C$56,"L",IF('GNI per capita'!BG60&lt;=Thresholds!$D$56,"LM",IF('GNI per capita'!BG60&lt;=Thresholds!$E$56,"UM","H")))</f>
        <v>H</v>
      </c>
      <c r="BH60" s="42" t="str">
        <f>IF('GNI per capita'!BH60&lt;=Thresholds!$C$57,"L",IF('GNI per capita'!BH60&lt;=Thresholds!$D$57,"LM",IF('GNI per capita'!BH60&lt;=Thresholds!$E$57,"UM","H")))</f>
        <v>H</v>
      </c>
      <c r="BI60" s="42" t="str">
        <f>IF('GNI per capita'!BI60&lt;=Thresholds!$C$58,"L",IF('GNI per capita'!BI60&lt;=Thresholds!$D$58,"LM",IF('GNI per capita'!BI60&lt;=Thresholds!$E$58,"UM","H")))</f>
        <v>H</v>
      </c>
      <c r="BJ60" s="42" t="str">
        <f>IF('GNI per capita'!BJ60&lt;=Thresholds!$C$59,"L",IF('GNI per capita'!BJ60&lt;=Thresholds!$D$59,"LM",IF('GNI per capita'!BJ60&lt;=Thresholds!$E$59,"UM","H")))</f>
        <v>H</v>
      </c>
      <c r="BK60" s="42" t="str">
        <f>IF('GNI per capita'!BK60&lt;=Thresholds!$C$60,"L",IF('GNI per capita'!BK60&lt;=Thresholds!$D$60,"LM",IF('GNI per capita'!BK60&lt;=Thresholds!$E$60,"UM","H")))</f>
        <v>H</v>
      </c>
      <c r="BL60" s="42" t="str">
        <f>IF('GNI per capita'!BL60&lt;=Thresholds!$C$61,"L",IF('GNI per capita'!BL60&lt;=Thresholds!$D$61,"LM",IF('GNI per capita'!BL60&lt;=Thresholds!$E$61,"UM","H")))</f>
        <v>H</v>
      </c>
      <c r="BM60" s="42" t="str">
        <f>IF('GNI per capita'!BM60&lt;=Thresholds!$C$62,"L",IF('GNI per capita'!BM60&lt;=Thresholds!$D$62,"LM",IF('GNI per capita'!BM60&lt;=Thresholds!$E$62,"UM","H")))</f>
        <v>H</v>
      </c>
      <c r="BN60" s="42" t="str">
        <f>IF('GNI per capita'!BN60&lt;=Thresholds!$C$63,"L",IF('GNI per capita'!BN60&lt;=Thresholds!$D$63,"LM",IF('GNI per capita'!BN60&lt;=Thresholds!$E$63,"UM","H")))</f>
        <v>H</v>
      </c>
      <c r="BO60" s="42" t="str">
        <f>IF('GNI per capita'!BO60&lt;=Thresholds!$C$64,"L",IF('GNI per capita'!BO60&lt;=Thresholds!$D$64,"LM",IF('GNI per capita'!BO60&lt;=Thresholds!$E$64,"UM","H")))</f>
        <v>H</v>
      </c>
      <c r="BP60" s="42" t="str">
        <f>IF('GNI per capita'!BP60&lt;=Thresholds!$C$65,"L",IF('GNI per capita'!BP60&lt;=Thresholds!$D$65,"LM",IF('GNI per capita'!BP60&lt;=Thresholds!$E$65,"UM","H")))</f>
        <v>H</v>
      </c>
      <c r="BQ60" s="42" t="str">
        <f>IF('GNI per capita'!BQ60&lt;=Thresholds!$C$66,"L",IF('GNI per capita'!BQ60&lt;=Thresholds!$D$66,"LM",IF('GNI per capita'!BQ60&lt;=Thresholds!$E$66,"UM","H")))</f>
        <v>H</v>
      </c>
      <c r="BR60" s="42" t="str">
        <f>IF('GNI per capita'!BR60&lt;=Thresholds!$C$67,"L",IF('GNI per capita'!BR60&lt;=Thresholds!$D$67,"LM",IF('GNI per capita'!BR60&lt;=Thresholds!$E$67,"UM","H")))</f>
        <v>H</v>
      </c>
      <c r="BS60" s="42" t="str">
        <f>IF('GNI per capita'!BS60&lt;=Thresholds!$C$68,"L",IF('GNI per capita'!BS60&lt;=Thresholds!$D$68,"LM",IF('GNI per capita'!BS60&lt;=Thresholds!$E$68,"UM","H")))</f>
        <v>H</v>
      </c>
    </row>
    <row r="61" spans="1:71" x14ac:dyDescent="0.2">
      <c r="A61" s="2" t="s">
        <v>323</v>
      </c>
      <c r="B61" s="2" t="s">
        <v>324</v>
      </c>
      <c r="C61" s="11" t="s">
        <v>82</v>
      </c>
      <c r="G61" s="2" t="s">
        <v>162</v>
      </c>
      <c r="H61" s="41" t="s">
        <v>210</v>
      </c>
      <c r="I61" s="41" t="s">
        <v>210</v>
      </c>
      <c r="J61" s="41" t="s">
        <v>210</v>
      </c>
      <c r="K61" s="41" t="s">
        <v>210</v>
      </c>
      <c r="L61" s="41" t="s">
        <v>210</v>
      </c>
      <c r="M61" s="41" t="s">
        <v>210</v>
      </c>
      <c r="N61" s="41" t="s">
        <v>210</v>
      </c>
      <c r="O61" s="41" t="s">
        <v>210</v>
      </c>
      <c r="P61" s="41" t="s">
        <v>210</v>
      </c>
      <c r="Q61" s="41" t="s">
        <v>210</v>
      </c>
      <c r="R61" s="41" t="s">
        <v>210</v>
      </c>
      <c r="S61" s="41" t="s">
        <v>210</v>
      </c>
      <c r="T61" s="41" t="s">
        <v>210</v>
      </c>
      <c r="U61" s="41" t="s">
        <v>210</v>
      </c>
      <c r="V61" s="41" t="s">
        <v>210</v>
      </c>
      <c r="W61" s="41" t="s">
        <v>210</v>
      </c>
      <c r="X61" s="41" t="s">
        <v>210</v>
      </c>
      <c r="Y61" s="41" t="s">
        <v>210</v>
      </c>
      <c r="Z61" s="41" t="s">
        <v>210</v>
      </c>
      <c r="AA61" s="41" t="s">
        <v>210</v>
      </c>
      <c r="AB61" s="41" t="s">
        <v>210</v>
      </c>
      <c r="AC61" s="41" t="s">
        <v>210</v>
      </c>
      <c r="AD61" s="41" t="s">
        <v>210</v>
      </c>
      <c r="AE61" s="41" t="s">
        <v>82</v>
      </c>
      <c r="AF61" s="41" t="s">
        <v>82</v>
      </c>
      <c r="AG61" s="41" t="s">
        <v>82</v>
      </c>
      <c r="AH61" s="41" t="s">
        <v>82</v>
      </c>
      <c r="AI61" s="41" t="s">
        <v>82</v>
      </c>
      <c r="AJ61" s="41" t="s">
        <v>82</v>
      </c>
      <c r="AK61" s="41" t="s">
        <v>82</v>
      </c>
      <c r="AL61" s="41" t="s">
        <v>82</v>
      </c>
      <c r="AM61" s="41" t="s">
        <v>82</v>
      </c>
      <c r="AN61" s="41" t="s">
        <v>82</v>
      </c>
      <c r="AO61" s="41" t="s">
        <v>82</v>
      </c>
      <c r="AP61" s="41" t="s">
        <v>82</v>
      </c>
      <c r="AQ61" s="41" t="s">
        <v>82</v>
      </c>
      <c r="AR61" s="41" t="s">
        <v>82</v>
      </c>
      <c r="AS61" s="41" t="s">
        <v>82</v>
      </c>
      <c r="AT61" s="41" t="s">
        <v>82</v>
      </c>
      <c r="AU61" s="42" t="str">
        <f>IF('GNI per capita'!AU61&lt;=Thresholds!$C$44,"L",IF('GNI per capita'!AU61&lt;=Thresholds!$D$44,"LM",IF('GNI per capita'!AU61&lt;=Thresholds!$E$44,"UM","H")))</f>
        <v>UM</v>
      </c>
      <c r="AV61" s="42" t="str">
        <f>IF('GNI per capita'!AV61&lt;=Thresholds!$C$45,"L",IF('GNI per capita'!AV61&lt;=Thresholds!$D$45,"LM",IF('GNI per capita'!AV61&lt;=Thresholds!$E$45,"UM","H")))</f>
        <v>UM</v>
      </c>
      <c r="AW61" s="42" t="str">
        <f>IF('GNI per capita'!AW61&lt;=Thresholds!$C$46,"L",IF('GNI per capita'!AW61&lt;=Thresholds!$D$46,"LM",IF('GNI per capita'!AW61&lt;=Thresholds!$E$46,"UM","H")))</f>
        <v>UM</v>
      </c>
      <c r="AX61" s="42" t="str">
        <f>IF('GNI per capita'!AX61&lt;=Thresholds!$C$47,"L",IF('GNI per capita'!AX61&lt;=Thresholds!$D$47,"LM",IF('GNI per capita'!AX61&lt;=Thresholds!$E$47,"UM","H")))</f>
        <v>UM</v>
      </c>
      <c r="AY61" s="42" t="str">
        <f>IF('GNI per capita'!AY61&lt;=Thresholds!$C$48,"L",IF('GNI per capita'!AY61&lt;=Thresholds!$D$48,"LM",IF('GNI per capita'!AY61&lt;=Thresholds!$E$48,"UM","H")))</f>
        <v>UM</v>
      </c>
      <c r="AZ61" s="42" t="str">
        <f>IF('GNI per capita'!AZ61&lt;=Thresholds!$C$49,"L",IF('GNI per capita'!AZ61&lt;=Thresholds!$D$49,"LM",IF('GNI per capita'!AZ61&lt;=Thresholds!$E$49,"UM","H")))</f>
        <v>UM</v>
      </c>
      <c r="BA61" s="42" t="str">
        <f>IF('GNI per capita'!BA61&lt;=Thresholds!$C$50,"L",IF('GNI per capita'!BA61&lt;=Thresholds!$D$50,"LM",IF('GNI per capita'!BA61&lt;=Thresholds!$E$50,"UM","H")))</f>
        <v>UM</v>
      </c>
      <c r="BB61" s="42" t="str">
        <f>IF('GNI per capita'!BB61&lt;=Thresholds!$C$51,"L",IF('GNI per capita'!BB61&lt;=Thresholds!$D$51,"LM",IF('GNI per capita'!BB61&lt;=Thresholds!$E$51,"UM","H")))</f>
        <v>UM</v>
      </c>
      <c r="BC61" s="42" t="str">
        <f>IF('GNI per capita'!BC61&lt;=Thresholds!$C$52,"L",IF('GNI per capita'!BC61&lt;=Thresholds!$D$52,"LM",IF('GNI per capita'!BC61&lt;=Thresholds!$E$52,"UM","H")))</f>
        <v>UM</v>
      </c>
      <c r="BD61" s="42" t="str">
        <f>IF('GNI per capita'!BD61&lt;=Thresholds!$C$53,"L",IF('GNI per capita'!BD61&lt;=Thresholds!$D$53,"LM",IF('GNI per capita'!BD61&lt;=Thresholds!$E$53,"UM","H")))</f>
        <v>UM</v>
      </c>
      <c r="BE61" s="42" t="str">
        <f>IF('GNI per capita'!BE61&lt;=Thresholds!$C$54,"L",IF('GNI per capita'!BE61&lt;=Thresholds!$D$54,"LM",IF('GNI per capita'!BE61&lt;=Thresholds!$E$54,"UM","H")))</f>
        <v>UM</v>
      </c>
      <c r="BF61" s="42" t="str">
        <f>IF('GNI per capita'!BF61&lt;=Thresholds!$C$55,"L",IF('GNI per capita'!BF61&lt;=Thresholds!$D$55,"LM",IF('GNI per capita'!BF61&lt;=Thresholds!$E$55,"UM","H")))</f>
        <v>UM</v>
      </c>
      <c r="BG61" s="42" t="str">
        <f>IF('GNI per capita'!BG61&lt;=Thresholds!$C$56,"L",IF('GNI per capita'!BG61&lt;=Thresholds!$D$56,"LM",IF('GNI per capita'!BG61&lt;=Thresholds!$E$56,"UM","H")))</f>
        <v>UM</v>
      </c>
      <c r="BH61" s="42" t="str">
        <f>IF('GNI per capita'!BH61&lt;=Thresholds!$C$57,"L",IF('GNI per capita'!BH61&lt;=Thresholds!$D$57,"LM",IF('GNI per capita'!BH61&lt;=Thresholds!$E$57,"UM","H")))</f>
        <v>UM</v>
      </c>
      <c r="BI61" s="42" t="str">
        <f>IF('GNI per capita'!BI61&lt;=Thresholds!$C$58,"L",IF('GNI per capita'!BI61&lt;=Thresholds!$D$58,"LM",IF('GNI per capita'!BI61&lt;=Thresholds!$E$58,"UM","H")))</f>
        <v>UM</v>
      </c>
      <c r="BJ61" s="42" t="str">
        <f>IF('GNI per capita'!BJ61&lt;=Thresholds!$C$59,"L",IF('GNI per capita'!BJ61&lt;=Thresholds!$D$59,"LM",IF('GNI per capita'!BJ61&lt;=Thresholds!$E$59,"UM","H")))</f>
        <v>UM</v>
      </c>
      <c r="BK61" s="42" t="str">
        <f>IF('GNI per capita'!BK61&lt;=Thresholds!$C$60,"L",IF('GNI per capita'!BK61&lt;=Thresholds!$D$60,"LM",IF('GNI per capita'!BK61&lt;=Thresholds!$E$60,"UM","H")))</f>
        <v>UM</v>
      </c>
      <c r="BL61" s="42" t="str">
        <f>IF('GNI per capita'!BL61&lt;=Thresholds!$C$61,"L",IF('GNI per capita'!BL61&lt;=Thresholds!$D$61,"LM",IF('GNI per capita'!BL61&lt;=Thresholds!$E$61,"UM","H")))</f>
        <v>UM</v>
      </c>
      <c r="BM61" s="42" t="str">
        <f>IF('GNI per capita'!BM61&lt;=Thresholds!$C$62,"L",IF('GNI per capita'!BM61&lt;=Thresholds!$D$62,"LM",IF('GNI per capita'!BM61&lt;=Thresholds!$E$62,"UM","H")))</f>
        <v>UM</v>
      </c>
      <c r="BN61" s="42" t="str">
        <f>IF('GNI per capita'!BN61&lt;=Thresholds!$C$63,"L",IF('GNI per capita'!BN61&lt;=Thresholds!$D$63,"LM",IF('GNI per capita'!BN61&lt;=Thresholds!$E$63,"UM","H")))</f>
        <v>UM</v>
      </c>
      <c r="BO61" s="42" t="str">
        <f>IF('GNI per capita'!BO61&lt;=Thresholds!$C$64,"L",IF('GNI per capita'!BO61&lt;=Thresholds!$D$64,"LM",IF('GNI per capita'!BO61&lt;=Thresholds!$E$64,"UM","H")))</f>
        <v>UM</v>
      </c>
      <c r="BP61" s="42" t="str">
        <f>IF('GNI per capita'!BP61&lt;=Thresholds!$C$65,"L",IF('GNI per capita'!BP61&lt;=Thresholds!$D$65,"LM",IF('GNI per capita'!BP61&lt;=Thresholds!$E$65,"UM","H")))</f>
        <v>UM</v>
      </c>
      <c r="BQ61" s="42" t="str">
        <f>IF('GNI per capita'!BQ61&lt;=Thresholds!$C$66,"L",IF('GNI per capita'!BQ61&lt;=Thresholds!$D$66,"LM",IF('GNI per capita'!BQ61&lt;=Thresholds!$E$66,"UM","H")))</f>
        <v>UM</v>
      </c>
      <c r="BR61" s="42" t="str">
        <f>IF('GNI per capita'!BR61&lt;=Thresholds!$C$67,"L",IF('GNI per capita'!BR61&lt;=Thresholds!$D$67,"LM",IF('GNI per capita'!BR61&lt;=Thresholds!$E$67,"UM","H")))</f>
        <v>UM</v>
      </c>
      <c r="BS61" s="42" t="str">
        <f>IF('GNI per capita'!BS61&lt;=Thresholds!$C$68,"L",IF('GNI per capita'!BS61&lt;=Thresholds!$D$68,"LM",IF('GNI per capita'!BS61&lt;=Thresholds!$E$68,"UM","H")))</f>
        <v>UM</v>
      </c>
    </row>
    <row r="62" spans="1:71" x14ac:dyDescent="0.2">
      <c r="A62" s="2" t="s">
        <v>325</v>
      </c>
      <c r="B62" s="2" t="s">
        <v>326</v>
      </c>
      <c r="C62" s="11" t="s">
        <v>210</v>
      </c>
      <c r="G62" s="2" t="s">
        <v>327</v>
      </c>
      <c r="H62" s="41" t="s">
        <v>210</v>
      </c>
      <c r="I62" s="41" t="s">
        <v>210</v>
      </c>
      <c r="J62" s="41" t="s">
        <v>210</v>
      </c>
      <c r="K62" s="41" t="s">
        <v>75</v>
      </c>
      <c r="L62" s="41" t="s">
        <v>75</v>
      </c>
      <c r="M62" s="41" t="s">
        <v>75</v>
      </c>
      <c r="N62" s="41" t="s">
        <v>75</v>
      </c>
      <c r="O62" s="41" t="s">
        <v>75</v>
      </c>
      <c r="P62" s="41" t="s">
        <v>210</v>
      </c>
      <c r="Q62" s="41" t="s">
        <v>210</v>
      </c>
      <c r="R62" s="41" t="s">
        <v>210</v>
      </c>
      <c r="S62" s="41" t="s">
        <v>210</v>
      </c>
      <c r="T62" s="41" t="s">
        <v>210</v>
      </c>
      <c r="U62" s="41" t="s">
        <v>210</v>
      </c>
      <c r="V62" s="41" t="s">
        <v>210</v>
      </c>
      <c r="W62" s="41" t="s">
        <v>210</v>
      </c>
      <c r="X62" s="41" t="s">
        <v>210</v>
      </c>
      <c r="Y62" s="41" t="s">
        <v>210</v>
      </c>
      <c r="Z62" s="41" t="s">
        <v>210</v>
      </c>
      <c r="AA62" s="41" t="s">
        <v>210</v>
      </c>
      <c r="AB62" s="41" t="s">
        <v>210</v>
      </c>
      <c r="AC62" s="41" t="s">
        <v>210</v>
      </c>
      <c r="AD62" s="41" t="s">
        <v>210</v>
      </c>
      <c r="AE62" s="41" t="s">
        <v>210</v>
      </c>
      <c r="AF62" s="41" t="s">
        <v>210</v>
      </c>
      <c r="AG62" s="41" t="s">
        <v>210</v>
      </c>
      <c r="AH62" s="41" t="s">
        <v>210</v>
      </c>
      <c r="AI62" s="41" t="s">
        <v>210</v>
      </c>
      <c r="AJ62" s="41" t="s">
        <v>210</v>
      </c>
      <c r="AK62" s="41" t="s">
        <v>210</v>
      </c>
      <c r="AL62" s="41" t="s">
        <v>210</v>
      </c>
      <c r="AM62" s="41" t="s">
        <v>210</v>
      </c>
      <c r="AN62" s="41" t="s">
        <v>210</v>
      </c>
      <c r="AO62" s="41" t="s">
        <v>210</v>
      </c>
      <c r="AP62" s="41" t="s">
        <v>210</v>
      </c>
      <c r="AQ62" s="41" t="s">
        <v>210</v>
      </c>
      <c r="AR62" s="41" t="s">
        <v>210</v>
      </c>
      <c r="AS62" s="41" t="s">
        <v>210</v>
      </c>
      <c r="AT62" s="41" t="s">
        <v>210</v>
      </c>
      <c r="AU62" s="42" t="str">
        <f>IF('GNI per capita'!AU62&lt;=Thresholds!$C$44,"L",IF('GNI per capita'!AU62&lt;=Thresholds!$D$44,"LM",IF('GNI per capita'!AU62&lt;=Thresholds!$E$44,"UM","H")))</f>
        <v>LM</v>
      </c>
      <c r="AV62" s="42" t="str">
        <f>IF('GNI per capita'!AV62&lt;=Thresholds!$C$45,"L",IF('GNI per capita'!AV62&lt;=Thresholds!$D$45,"LM",IF('GNI per capita'!AV62&lt;=Thresholds!$E$45,"UM","H")))</f>
        <v>LM</v>
      </c>
      <c r="AW62" s="42" t="str">
        <f>IF('GNI per capita'!AW62&lt;=Thresholds!$C$46,"L",IF('GNI per capita'!AW62&lt;=Thresholds!$D$46,"LM",IF('GNI per capita'!AW62&lt;=Thresholds!$E$46,"UM","H")))</f>
        <v>LM</v>
      </c>
      <c r="AX62" s="42" t="str">
        <f>IF('GNI per capita'!AX62&lt;=Thresholds!$C$47,"L",IF('GNI per capita'!AX62&lt;=Thresholds!$D$47,"LM",IF('GNI per capita'!AX62&lt;=Thresholds!$E$47,"UM","H")))</f>
        <v>LM</v>
      </c>
      <c r="AY62" s="42" t="str">
        <f>IF('GNI per capita'!AY62&lt;=Thresholds!$C$48,"L",IF('GNI per capita'!AY62&lt;=Thresholds!$D$48,"LM",IF('GNI per capita'!AY62&lt;=Thresholds!$E$48,"UM","H")))</f>
        <v>LM</v>
      </c>
      <c r="AZ62" s="42" t="str">
        <f>IF('GNI per capita'!AZ62&lt;=Thresholds!$C$49,"L",IF('GNI per capita'!AZ62&lt;=Thresholds!$D$49,"LM",IF('GNI per capita'!AZ62&lt;=Thresholds!$E$49,"UM","H")))</f>
        <v>LM</v>
      </c>
      <c r="BA62" s="42" t="str">
        <f>IF('GNI per capita'!BA62&lt;=Thresholds!$C$50,"L",IF('GNI per capita'!BA62&lt;=Thresholds!$D$50,"LM",IF('GNI per capita'!BA62&lt;=Thresholds!$E$50,"UM","H")))</f>
        <v>LM</v>
      </c>
      <c r="BB62" s="42" t="str">
        <f>IF('GNI per capita'!BB62&lt;=Thresholds!$C$51,"L",IF('GNI per capita'!BB62&lt;=Thresholds!$D$51,"LM",IF('GNI per capita'!BB62&lt;=Thresholds!$E$51,"UM","H")))</f>
        <v>LM</v>
      </c>
      <c r="BC62" s="42" t="str">
        <f>IF('GNI per capita'!BC62&lt;=Thresholds!$C$52,"L",IF('GNI per capita'!BC62&lt;=Thresholds!$D$52,"LM",IF('GNI per capita'!BC62&lt;=Thresholds!$E$52,"UM","H")))</f>
        <v>LM</v>
      </c>
      <c r="BD62" s="42" t="str">
        <f>IF('GNI per capita'!BD62&lt;=Thresholds!$C$53,"L",IF('GNI per capita'!BD62&lt;=Thresholds!$D$53,"LM",IF('GNI per capita'!BD62&lt;=Thresholds!$E$53,"UM","H")))</f>
        <v>LM</v>
      </c>
      <c r="BE62" s="42" t="str">
        <f>IF('GNI per capita'!BE62&lt;=Thresholds!$C$54,"L",IF('GNI per capita'!BE62&lt;=Thresholds!$D$54,"LM",IF('GNI per capita'!BE62&lt;=Thresholds!$E$54,"UM","H")))</f>
        <v>LM</v>
      </c>
      <c r="BF62" s="42" t="str">
        <f>IF('GNI per capita'!BF62&lt;=Thresholds!$C$55,"L",IF('GNI per capita'!BF62&lt;=Thresholds!$D$55,"LM",IF('GNI per capita'!BF62&lt;=Thresholds!$E$55,"UM","H")))</f>
        <v>LM</v>
      </c>
      <c r="BG62" s="42" t="str">
        <f>IF('GNI per capita'!BG62&lt;=Thresholds!$C$56,"L",IF('GNI per capita'!BG62&lt;=Thresholds!$D$56,"LM",IF('GNI per capita'!BG62&lt;=Thresholds!$E$56,"UM","H")))</f>
        <v>LM</v>
      </c>
      <c r="BH62" s="42" t="str">
        <f>IF('GNI per capita'!BH62&lt;=Thresholds!$C$57,"L",IF('GNI per capita'!BH62&lt;=Thresholds!$D$57,"LM",IF('GNI per capita'!BH62&lt;=Thresholds!$E$57,"UM","H")))</f>
        <v>LM</v>
      </c>
      <c r="BI62" s="42" t="str">
        <f>IF('GNI per capita'!BI62&lt;=Thresholds!$C$58,"L",IF('GNI per capita'!BI62&lt;=Thresholds!$D$58,"LM",IF('GNI per capita'!BI62&lt;=Thresholds!$E$58,"UM","H")))</f>
        <v>LM</v>
      </c>
      <c r="BJ62" s="42" t="str">
        <f>IF('GNI per capita'!BJ62&lt;=Thresholds!$C$59,"L",IF('GNI per capita'!BJ62&lt;=Thresholds!$D$59,"LM",IF('GNI per capita'!BJ62&lt;=Thresholds!$E$59,"UM","H")))</f>
        <v>LM</v>
      </c>
      <c r="BK62" s="42" t="str">
        <f>IF('GNI per capita'!BK62&lt;=Thresholds!$C$60,"L",IF('GNI per capita'!BK62&lt;=Thresholds!$D$60,"LM",IF('GNI per capita'!BK62&lt;=Thresholds!$E$60,"UM","H")))</f>
        <v>LM</v>
      </c>
      <c r="BL62" s="42" t="str">
        <f>IF('GNI per capita'!BL62&lt;=Thresholds!$C$61,"L",IF('GNI per capita'!BL62&lt;=Thresholds!$D$61,"LM",IF('GNI per capita'!BL62&lt;=Thresholds!$E$61,"UM","H")))</f>
        <v>LM</v>
      </c>
      <c r="BM62" s="42" t="str">
        <f>IF('GNI per capita'!BM62&lt;=Thresholds!$C$62,"L",IF('GNI per capita'!BM62&lt;=Thresholds!$D$62,"LM",IF('GNI per capita'!BM62&lt;=Thresholds!$E$62,"UM","H")))</f>
        <v>LM</v>
      </c>
      <c r="BN62" s="42" t="str">
        <f>IF('GNI per capita'!BN62&lt;=Thresholds!$C$63,"L",IF('GNI per capita'!BN62&lt;=Thresholds!$D$63,"LM",IF('GNI per capita'!BN62&lt;=Thresholds!$E$63,"UM","H")))</f>
        <v>LM</v>
      </c>
      <c r="BO62" s="42" t="str">
        <f>IF('GNI per capita'!BO62&lt;=Thresholds!$C$64,"L",IF('GNI per capita'!BO62&lt;=Thresholds!$D$64,"LM",IF('GNI per capita'!BO62&lt;=Thresholds!$E$64,"UM","H")))</f>
        <v>LM</v>
      </c>
      <c r="BP62" s="42" t="str">
        <f>IF('GNI per capita'!BP62&lt;=Thresholds!$C$65,"L",IF('GNI per capita'!BP62&lt;=Thresholds!$D$65,"LM",IF('GNI per capita'!BP62&lt;=Thresholds!$E$65,"UM","H")))</f>
        <v>LM</v>
      </c>
      <c r="BQ62" s="42" t="str">
        <f>IF('GNI per capita'!BQ62&lt;=Thresholds!$C$66,"L",IF('GNI per capita'!BQ62&lt;=Thresholds!$D$66,"LM",IF('GNI per capita'!BQ62&lt;=Thresholds!$E$66,"UM","H")))</f>
        <v>LM</v>
      </c>
      <c r="BR62" s="42" t="str">
        <f>IF('GNI per capita'!BR62&lt;=Thresholds!$C$67,"L",IF('GNI per capita'!BR62&lt;=Thresholds!$D$67,"LM",IF('GNI per capita'!BR62&lt;=Thresholds!$E$67,"UM","H")))</f>
        <v>LM</v>
      </c>
      <c r="BS62" s="42" t="str">
        <f>IF('GNI per capita'!BS62&lt;=Thresholds!$C$68,"L",IF('GNI per capita'!BS62&lt;=Thresholds!$D$68,"LM",IF('GNI per capita'!BS62&lt;=Thresholds!$E$68,"UM","H")))</f>
        <v>LM</v>
      </c>
    </row>
    <row r="63" spans="1:71" x14ac:dyDescent="0.2">
      <c r="A63" s="2" t="s">
        <v>328</v>
      </c>
      <c r="B63" s="2" t="s">
        <v>329</v>
      </c>
      <c r="C63" s="11" t="s">
        <v>82</v>
      </c>
      <c r="G63" s="2" t="s">
        <v>162</v>
      </c>
      <c r="H63" s="41" t="s">
        <v>210</v>
      </c>
      <c r="I63" s="41" t="s">
        <v>210</v>
      </c>
      <c r="J63" s="41" t="s">
        <v>210</v>
      </c>
      <c r="K63" s="41" t="s">
        <v>210</v>
      </c>
      <c r="L63" s="41" t="s">
        <v>210</v>
      </c>
      <c r="M63" s="41" t="s">
        <v>210</v>
      </c>
      <c r="N63" s="41" t="s">
        <v>210</v>
      </c>
      <c r="O63" s="41" t="s">
        <v>210</v>
      </c>
      <c r="P63" s="41" t="s">
        <v>210</v>
      </c>
      <c r="Q63" s="41" t="s">
        <v>210</v>
      </c>
      <c r="R63" s="41" t="s">
        <v>210</v>
      </c>
      <c r="S63" s="41" t="s">
        <v>210</v>
      </c>
      <c r="T63" s="41" t="s">
        <v>210</v>
      </c>
      <c r="U63" s="41" t="s">
        <v>210</v>
      </c>
      <c r="V63" s="41" t="s">
        <v>210</v>
      </c>
      <c r="W63" s="41" t="s">
        <v>210</v>
      </c>
      <c r="X63" s="41" t="s">
        <v>210</v>
      </c>
      <c r="Y63" s="41" t="s">
        <v>210</v>
      </c>
      <c r="Z63" s="41" t="s">
        <v>210</v>
      </c>
      <c r="AA63" s="41" t="s">
        <v>210</v>
      </c>
      <c r="AB63" s="41" t="s">
        <v>210</v>
      </c>
      <c r="AC63" s="41" t="s">
        <v>210</v>
      </c>
      <c r="AD63" s="41" t="s">
        <v>210</v>
      </c>
      <c r="AE63" s="41" t="s">
        <v>210</v>
      </c>
      <c r="AF63" s="41" t="s">
        <v>210</v>
      </c>
      <c r="AG63" s="41" t="s">
        <v>210</v>
      </c>
      <c r="AH63" s="41" t="s">
        <v>210</v>
      </c>
      <c r="AI63" s="41" t="s">
        <v>210</v>
      </c>
      <c r="AJ63" s="41" t="s">
        <v>210</v>
      </c>
      <c r="AK63" s="41" t="s">
        <v>210</v>
      </c>
      <c r="AL63" s="41" t="s">
        <v>210</v>
      </c>
      <c r="AM63" s="41" t="s">
        <v>210</v>
      </c>
      <c r="AN63" s="41" t="s">
        <v>210</v>
      </c>
      <c r="AO63" s="41" t="s">
        <v>210</v>
      </c>
      <c r="AP63" s="41" t="s">
        <v>210</v>
      </c>
      <c r="AQ63" s="41" t="s">
        <v>82</v>
      </c>
      <c r="AR63" s="41" t="s">
        <v>82</v>
      </c>
      <c r="AS63" s="41" t="s">
        <v>82</v>
      </c>
      <c r="AT63" s="41" t="s">
        <v>82</v>
      </c>
      <c r="AU63" s="42" t="str">
        <f>IF('GNI per capita'!AU63&lt;=Thresholds!$C$44,"L",IF('GNI per capita'!AU63&lt;=Thresholds!$D$44,"LM",IF('GNI per capita'!AU63&lt;=Thresholds!$E$44,"UM","H")))</f>
        <v>UM</v>
      </c>
      <c r="AV63" s="42" t="str">
        <f>IF('GNI per capita'!AV63&lt;=Thresholds!$C$45,"L",IF('GNI per capita'!AV63&lt;=Thresholds!$D$45,"LM",IF('GNI per capita'!AV63&lt;=Thresholds!$E$45,"UM","H")))</f>
        <v>UM</v>
      </c>
      <c r="AW63" s="42" t="str">
        <f>IF('GNI per capita'!AW63&lt;=Thresholds!$C$46,"L",IF('GNI per capita'!AW63&lt;=Thresholds!$D$46,"LM",IF('GNI per capita'!AW63&lt;=Thresholds!$E$46,"UM","H")))</f>
        <v>UM</v>
      </c>
      <c r="AX63" s="42" t="str">
        <f>IF('GNI per capita'!AX63&lt;=Thresholds!$C$47,"L",IF('GNI per capita'!AX63&lt;=Thresholds!$D$47,"LM",IF('GNI per capita'!AX63&lt;=Thresholds!$E$47,"UM","H")))</f>
        <v>UM</v>
      </c>
      <c r="AY63" s="42" t="str">
        <f>IF('GNI per capita'!AY63&lt;=Thresholds!$C$48,"L",IF('GNI per capita'!AY63&lt;=Thresholds!$D$48,"LM",IF('GNI per capita'!AY63&lt;=Thresholds!$E$48,"UM","H")))</f>
        <v>UM</v>
      </c>
      <c r="AZ63" s="42" t="str">
        <f>IF('GNI per capita'!AZ63&lt;=Thresholds!$C$49,"L",IF('GNI per capita'!AZ63&lt;=Thresholds!$D$49,"LM",IF('GNI per capita'!AZ63&lt;=Thresholds!$E$49,"UM","H")))</f>
        <v>UM</v>
      </c>
      <c r="BA63" s="42" t="str">
        <f>IF('GNI per capita'!BA63&lt;=Thresholds!$C$50,"L",IF('GNI per capita'!BA63&lt;=Thresholds!$D$50,"LM",IF('GNI per capita'!BA63&lt;=Thresholds!$E$50,"UM","H")))</f>
        <v>UM</v>
      </c>
      <c r="BB63" s="42" t="str">
        <f>IF('GNI per capita'!BB63&lt;=Thresholds!$C$51,"L",IF('GNI per capita'!BB63&lt;=Thresholds!$D$51,"LM",IF('GNI per capita'!BB63&lt;=Thresholds!$E$51,"UM","H")))</f>
        <v>UM</v>
      </c>
      <c r="BC63" s="42" t="str">
        <f>IF('GNI per capita'!BC63&lt;=Thresholds!$C$52,"L",IF('GNI per capita'!BC63&lt;=Thresholds!$D$52,"LM",IF('GNI per capita'!BC63&lt;=Thresholds!$E$52,"UM","H")))</f>
        <v>UM</v>
      </c>
      <c r="BD63" s="42" t="str">
        <f>IF('GNI per capita'!BD63&lt;=Thresholds!$C$53,"L",IF('GNI per capita'!BD63&lt;=Thresholds!$D$53,"LM",IF('GNI per capita'!BD63&lt;=Thresholds!$E$53,"UM","H")))</f>
        <v>UM</v>
      </c>
      <c r="BE63" s="42" t="str">
        <f>IF('GNI per capita'!BE63&lt;=Thresholds!$C$54,"L",IF('GNI per capita'!BE63&lt;=Thresholds!$D$54,"LM",IF('GNI per capita'!BE63&lt;=Thresholds!$E$54,"UM","H")))</f>
        <v>UM</v>
      </c>
      <c r="BF63" s="42" t="str">
        <f>IF('GNI per capita'!BF63&lt;=Thresholds!$C$55,"L",IF('GNI per capita'!BF63&lt;=Thresholds!$D$55,"LM",IF('GNI per capita'!BF63&lt;=Thresholds!$E$55,"UM","H")))</f>
        <v>UM</v>
      </c>
      <c r="BG63" s="42" t="str">
        <f>IF('GNI per capita'!BG63&lt;=Thresholds!$C$56,"L",IF('GNI per capita'!BG63&lt;=Thresholds!$D$56,"LM",IF('GNI per capita'!BG63&lt;=Thresholds!$E$56,"UM","H")))</f>
        <v>UM</v>
      </c>
      <c r="BH63" s="42" t="str">
        <f>IF('GNI per capita'!BH63&lt;=Thresholds!$C$57,"L",IF('GNI per capita'!BH63&lt;=Thresholds!$D$57,"LM",IF('GNI per capita'!BH63&lt;=Thresholds!$E$57,"UM","H")))</f>
        <v>UM</v>
      </c>
      <c r="BI63" s="42" t="str">
        <f>IF('GNI per capita'!BI63&lt;=Thresholds!$C$58,"L",IF('GNI per capita'!BI63&lt;=Thresholds!$D$58,"LM",IF('GNI per capita'!BI63&lt;=Thresholds!$E$58,"UM","H")))</f>
        <v>UM</v>
      </c>
      <c r="BJ63" s="42" t="str">
        <f>IF('GNI per capita'!BJ63&lt;=Thresholds!$C$59,"L",IF('GNI per capita'!BJ63&lt;=Thresholds!$D$59,"LM",IF('GNI per capita'!BJ63&lt;=Thresholds!$E$59,"UM","H")))</f>
        <v>UM</v>
      </c>
      <c r="BK63" s="42" t="str">
        <f>IF('GNI per capita'!BK63&lt;=Thresholds!$C$60,"L",IF('GNI per capita'!BK63&lt;=Thresholds!$D$60,"LM",IF('GNI per capita'!BK63&lt;=Thresholds!$E$60,"UM","H")))</f>
        <v>UM</v>
      </c>
      <c r="BL63" s="42" t="str">
        <f>IF('GNI per capita'!BL63&lt;=Thresholds!$C$61,"L",IF('GNI per capita'!BL63&lt;=Thresholds!$D$61,"LM",IF('GNI per capita'!BL63&lt;=Thresholds!$E$61,"UM","H")))</f>
        <v>UM</v>
      </c>
      <c r="BM63" s="42" t="str">
        <f>IF('GNI per capita'!BM63&lt;=Thresholds!$C$62,"L",IF('GNI per capita'!BM63&lt;=Thresholds!$D$62,"LM",IF('GNI per capita'!BM63&lt;=Thresholds!$E$62,"UM","H")))</f>
        <v>UM</v>
      </c>
      <c r="BN63" s="42" t="str">
        <f>IF('GNI per capita'!BN63&lt;=Thresholds!$C$63,"L",IF('GNI per capita'!BN63&lt;=Thresholds!$D$63,"LM",IF('GNI per capita'!BN63&lt;=Thresholds!$E$63,"UM","H")))</f>
        <v>UM</v>
      </c>
      <c r="BO63" s="42" t="str">
        <f>IF('GNI per capita'!BO63&lt;=Thresholds!$C$64,"L",IF('GNI per capita'!BO63&lt;=Thresholds!$D$64,"LM",IF('GNI per capita'!BO63&lt;=Thresholds!$E$64,"UM","H")))</f>
        <v>UM</v>
      </c>
      <c r="BP63" s="42" t="str">
        <f>IF('GNI per capita'!BP63&lt;=Thresholds!$C$65,"L",IF('GNI per capita'!BP63&lt;=Thresholds!$D$65,"LM",IF('GNI per capita'!BP63&lt;=Thresholds!$E$65,"UM","H")))</f>
        <v>UM</v>
      </c>
      <c r="BQ63" s="42" t="str">
        <f>IF('GNI per capita'!BQ63&lt;=Thresholds!$C$66,"L",IF('GNI per capita'!BQ63&lt;=Thresholds!$D$66,"LM",IF('GNI per capita'!BQ63&lt;=Thresholds!$E$66,"UM","H")))</f>
        <v>UM</v>
      </c>
      <c r="BR63" s="42" t="str">
        <f>IF('GNI per capita'!BR63&lt;=Thresholds!$C$67,"L",IF('GNI per capita'!BR63&lt;=Thresholds!$D$67,"LM",IF('GNI per capita'!BR63&lt;=Thresholds!$E$67,"UM","H")))</f>
        <v>UM</v>
      </c>
      <c r="BS63" s="42" t="str">
        <f>IF('GNI per capita'!BS63&lt;=Thresholds!$C$68,"L",IF('GNI per capita'!BS63&lt;=Thresholds!$D$68,"LM",IF('GNI per capita'!BS63&lt;=Thresholds!$E$68,"UM","H")))</f>
        <v>UM</v>
      </c>
    </row>
    <row r="64" spans="1:71" x14ac:dyDescent="0.2">
      <c r="A64" s="2" t="s">
        <v>330</v>
      </c>
      <c r="B64" s="2" t="s">
        <v>331</v>
      </c>
      <c r="C64" s="11" t="s">
        <v>82</v>
      </c>
      <c r="G64" s="2" t="s">
        <v>332</v>
      </c>
      <c r="H64" s="41" t="s">
        <v>75</v>
      </c>
      <c r="I64" s="41" t="s">
        <v>75</v>
      </c>
      <c r="J64" s="41" t="s">
        <v>75</v>
      </c>
      <c r="K64" s="41" t="s">
        <v>75</v>
      </c>
      <c r="L64" s="41" t="s">
        <v>75</v>
      </c>
      <c r="M64" s="41" t="s">
        <v>75</v>
      </c>
      <c r="N64" s="41" t="s">
        <v>75</v>
      </c>
      <c r="O64" s="41" t="s">
        <v>75</v>
      </c>
      <c r="P64" s="41" t="s">
        <v>75</v>
      </c>
      <c r="Q64" s="41" t="s">
        <v>75</v>
      </c>
      <c r="R64" s="41" t="s">
        <v>210</v>
      </c>
      <c r="S64" s="41" t="s">
        <v>210</v>
      </c>
      <c r="T64" s="41" t="s">
        <v>210</v>
      </c>
      <c r="U64" s="41" t="s">
        <v>210</v>
      </c>
      <c r="V64" s="41" t="s">
        <v>75</v>
      </c>
      <c r="W64" s="41" t="s">
        <v>75</v>
      </c>
      <c r="X64" s="41" t="s">
        <v>75</v>
      </c>
      <c r="Y64" s="41" t="s">
        <v>82</v>
      </c>
      <c r="Z64" s="41" t="s">
        <v>82</v>
      </c>
      <c r="AA64" s="41" t="s">
        <v>82</v>
      </c>
      <c r="AB64" s="41" t="s">
        <v>79</v>
      </c>
      <c r="AC64" s="41" t="s">
        <v>79</v>
      </c>
      <c r="AD64" s="41" t="s">
        <v>79</v>
      </c>
      <c r="AE64" s="41" t="s">
        <v>79</v>
      </c>
      <c r="AF64" s="41" t="s">
        <v>79</v>
      </c>
      <c r="AG64" s="41" t="s">
        <v>79</v>
      </c>
      <c r="AH64" s="41" t="s">
        <v>79</v>
      </c>
      <c r="AI64" s="41" t="s">
        <v>79</v>
      </c>
      <c r="AJ64" s="41" t="s">
        <v>82</v>
      </c>
      <c r="AK64" s="41" t="s">
        <v>82</v>
      </c>
      <c r="AL64" s="41" t="s">
        <v>82</v>
      </c>
      <c r="AM64" s="41" t="s">
        <v>82</v>
      </c>
      <c r="AN64" s="41" t="s">
        <v>82</v>
      </c>
      <c r="AO64" s="41" t="s">
        <v>82</v>
      </c>
      <c r="AP64" s="41" t="s">
        <v>82</v>
      </c>
      <c r="AQ64" s="41" t="s">
        <v>82</v>
      </c>
      <c r="AR64" s="41" t="s">
        <v>82</v>
      </c>
      <c r="AS64" s="41" t="s">
        <v>82</v>
      </c>
      <c r="AT64" s="41" t="s">
        <v>82</v>
      </c>
      <c r="AU64" s="42" t="str">
        <f>IF('GNI per capita'!AU64&lt;=Thresholds!$C$44,"L",IF('GNI per capita'!AU64&lt;=Thresholds!$D$44,"LM",IF('GNI per capita'!AU64&lt;=Thresholds!$E$44,"UM","H")))</f>
        <v>UM</v>
      </c>
      <c r="AV64" s="42" t="str">
        <f>IF('GNI per capita'!AV64&lt;=Thresholds!$C$45,"L",IF('GNI per capita'!AV64&lt;=Thresholds!$D$45,"LM",IF('GNI per capita'!AV64&lt;=Thresholds!$E$45,"UM","H")))</f>
        <v>UM</v>
      </c>
      <c r="AW64" s="42" t="str">
        <f>IF('GNI per capita'!AW64&lt;=Thresholds!$C$46,"L",IF('GNI per capita'!AW64&lt;=Thresholds!$D$46,"LM",IF('GNI per capita'!AW64&lt;=Thresholds!$E$46,"UM","H")))</f>
        <v>UM</v>
      </c>
      <c r="AX64" s="42" t="str">
        <f>IF('GNI per capita'!AX64&lt;=Thresholds!$C$47,"L",IF('GNI per capita'!AX64&lt;=Thresholds!$D$47,"LM",IF('GNI per capita'!AX64&lt;=Thresholds!$E$47,"UM","H")))</f>
        <v>UM</v>
      </c>
      <c r="AY64" s="42" t="str">
        <f>IF('GNI per capita'!AY64&lt;=Thresholds!$C$48,"L",IF('GNI per capita'!AY64&lt;=Thresholds!$D$48,"LM",IF('GNI per capita'!AY64&lt;=Thresholds!$E$48,"UM","H")))</f>
        <v>UM</v>
      </c>
      <c r="AZ64" s="42" t="str">
        <f>IF('GNI per capita'!AZ64&lt;=Thresholds!$C$49,"L",IF('GNI per capita'!AZ64&lt;=Thresholds!$D$49,"LM",IF('GNI per capita'!AZ64&lt;=Thresholds!$E$49,"UM","H")))</f>
        <v>UM</v>
      </c>
      <c r="BA64" s="42" t="str">
        <f>IF('GNI per capita'!BA64&lt;=Thresholds!$C$50,"L",IF('GNI per capita'!BA64&lt;=Thresholds!$D$50,"LM",IF('GNI per capita'!BA64&lt;=Thresholds!$E$50,"UM","H")))</f>
        <v>UM</v>
      </c>
      <c r="BB64" s="42" t="str">
        <f>IF('GNI per capita'!BB64&lt;=Thresholds!$C$51,"L",IF('GNI per capita'!BB64&lt;=Thresholds!$D$51,"LM",IF('GNI per capita'!BB64&lt;=Thresholds!$E$51,"UM","H")))</f>
        <v>UM</v>
      </c>
      <c r="BC64" s="42" t="str">
        <f>IF('GNI per capita'!BC64&lt;=Thresholds!$C$52,"L",IF('GNI per capita'!BC64&lt;=Thresholds!$D$52,"LM",IF('GNI per capita'!BC64&lt;=Thresholds!$E$52,"UM","H")))</f>
        <v>UM</v>
      </c>
      <c r="BD64" s="42" t="str">
        <f>IF('GNI per capita'!BD64&lt;=Thresholds!$C$53,"L",IF('GNI per capita'!BD64&lt;=Thresholds!$D$53,"LM",IF('GNI per capita'!BD64&lt;=Thresholds!$E$53,"UM","H")))</f>
        <v>UM</v>
      </c>
      <c r="BE64" s="42" t="str">
        <f>IF('GNI per capita'!BE64&lt;=Thresholds!$C$54,"L",IF('GNI per capita'!BE64&lt;=Thresholds!$D$54,"LM",IF('GNI per capita'!BE64&lt;=Thresholds!$E$54,"UM","H")))</f>
        <v>UM</v>
      </c>
      <c r="BF64" s="42" t="str">
        <f>IF('GNI per capita'!BF64&lt;=Thresholds!$C$55,"L",IF('GNI per capita'!BF64&lt;=Thresholds!$D$55,"LM",IF('GNI per capita'!BF64&lt;=Thresholds!$E$55,"UM","H")))</f>
        <v>UM</v>
      </c>
      <c r="BG64" s="42" t="str">
        <f>IF('GNI per capita'!BG64&lt;=Thresholds!$C$56,"L",IF('GNI per capita'!BG64&lt;=Thresholds!$D$56,"LM",IF('GNI per capita'!BG64&lt;=Thresholds!$E$56,"UM","H")))</f>
        <v>UM</v>
      </c>
      <c r="BH64" s="42" t="str">
        <f>IF('GNI per capita'!BH64&lt;=Thresholds!$C$57,"L",IF('GNI per capita'!BH64&lt;=Thresholds!$D$57,"LM",IF('GNI per capita'!BH64&lt;=Thresholds!$E$57,"UM","H")))</f>
        <v>UM</v>
      </c>
      <c r="BI64" s="42" t="str">
        <f>IF('GNI per capita'!BI64&lt;=Thresholds!$C$58,"L",IF('GNI per capita'!BI64&lt;=Thresholds!$D$58,"LM",IF('GNI per capita'!BI64&lt;=Thresholds!$E$58,"UM","H")))</f>
        <v>UM</v>
      </c>
      <c r="BJ64" s="42" t="str">
        <f>IF('GNI per capita'!BJ64&lt;=Thresholds!$C$59,"L",IF('GNI per capita'!BJ64&lt;=Thresholds!$D$59,"LM",IF('GNI per capita'!BJ64&lt;=Thresholds!$E$59,"UM","H")))</f>
        <v>UM</v>
      </c>
      <c r="BK64" s="42" t="str">
        <f>IF('GNI per capita'!BK64&lt;=Thresholds!$C$60,"L",IF('GNI per capita'!BK64&lt;=Thresholds!$D$60,"LM",IF('GNI per capita'!BK64&lt;=Thresholds!$E$60,"UM","H")))</f>
        <v>UM</v>
      </c>
      <c r="BL64" s="42" t="str">
        <f>IF('GNI per capita'!BL64&lt;=Thresholds!$C$61,"L",IF('GNI per capita'!BL64&lt;=Thresholds!$D$61,"LM",IF('GNI per capita'!BL64&lt;=Thresholds!$E$61,"UM","H")))</f>
        <v>UM</v>
      </c>
      <c r="BM64" s="42" t="str">
        <f>IF('GNI per capita'!BM64&lt;=Thresholds!$C$62,"L",IF('GNI per capita'!BM64&lt;=Thresholds!$D$62,"LM",IF('GNI per capita'!BM64&lt;=Thresholds!$E$62,"UM","H")))</f>
        <v>UM</v>
      </c>
      <c r="BN64" s="42" t="str">
        <f>IF('GNI per capita'!BN64&lt;=Thresholds!$C$63,"L",IF('GNI per capita'!BN64&lt;=Thresholds!$D$63,"LM",IF('GNI per capita'!BN64&lt;=Thresholds!$E$63,"UM","H")))</f>
        <v>UM</v>
      </c>
      <c r="BO64" s="42" t="str">
        <f>IF('GNI per capita'!BO64&lt;=Thresholds!$C$64,"L",IF('GNI per capita'!BO64&lt;=Thresholds!$D$64,"LM",IF('GNI per capita'!BO64&lt;=Thresholds!$E$64,"UM","H")))</f>
        <v>UM</v>
      </c>
      <c r="BP64" s="42" t="str">
        <f>IF('GNI per capita'!BP64&lt;=Thresholds!$C$65,"L",IF('GNI per capita'!BP64&lt;=Thresholds!$D$65,"LM",IF('GNI per capita'!BP64&lt;=Thresholds!$E$65,"UM","H")))</f>
        <v>UM</v>
      </c>
      <c r="BQ64" s="42" t="str">
        <f>IF('GNI per capita'!BQ64&lt;=Thresholds!$C$66,"L",IF('GNI per capita'!BQ64&lt;=Thresholds!$D$66,"LM",IF('GNI per capita'!BQ64&lt;=Thresholds!$E$66,"UM","H")))</f>
        <v>UM</v>
      </c>
      <c r="BR64" s="42" t="str">
        <f>IF('GNI per capita'!BR64&lt;=Thresholds!$C$67,"L",IF('GNI per capita'!BR64&lt;=Thresholds!$D$67,"LM",IF('GNI per capita'!BR64&lt;=Thresholds!$E$67,"UM","H")))</f>
        <v>UM</v>
      </c>
      <c r="BS64" s="42" t="str">
        <f>IF('GNI per capita'!BS64&lt;=Thresholds!$C$68,"L",IF('GNI per capita'!BS64&lt;=Thresholds!$D$68,"LM",IF('GNI per capita'!BS64&lt;=Thresholds!$E$68,"UM","H")))</f>
        <v>UM</v>
      </c>
    </row>
    <row r="65" spans="1:71" x14ac:dyDescent="0.2">
      <c r="A65" s="2" t="s">
        <v>333</v>
      </c>
      <c r="B65" s="2" t="s">
        <v>334</v>
      </c>
      <c r="C65" s="11" t="s">
        <v>75</v>
      </c>
      <c r="G65" s="28" t="s">
        <v>204</v>
      </c>
      <c r="H65" s="41"/>
      <c r="I65" s="41"/>
      <c r="J65" s="41"/>
      <c r="K65" s="41"/>
      <c r="L65" s="41"/>
      <c r="M65" s="41" t="s">
        <v>75</v>
      </c>
      <c r="N65" s="41" t="s">
        <v>75</v>
      </c>
      <c r="O65" s="41" t="s">
        <v>75</v>
      </c>
      <c r="P65" s="41" t="s">
        <v>75</v>
      </c>
      <c r="Q65" s="41" t="s">
        <v>75</v>
      </c>
      <c r="R65" s="41" t="s">
        <v>75</v>
      </c>
      <c r="S65" s="41" t="s">
        <v>75</v>
      </c>
      <c r="T65" s="41" t="s">
        <v>75</v>
      </c>
      <c r="U65" s="41" t="s">
        <v>75</v>
      </c>
      <c r="V65" s="41" t="s">
        <v>75</v>
      </c>
      <c r="W65" s="41" t="s">
        <v>75</v>
      </c>
      <c r="X65" s="41" t="s">
        <v>75</v>
      </c>
      <c r="Y65" s="41" t="s">
        <v>75</v>
      </c>
      <c r="Z65" s="41" t="s">
        <v>75</v>
      </c>
      <c r="AA65" s="41" t="s">
        <v>75</v>
      </c>
      <c r="AB65" s="41" t="s">
        <v>75</v>
      </c>
      <c r="AC65" s="41" t="s">
        <v>75</v>
      </c>
      <c r="AD65" s="41" t="s">
        <v>75</v>
      </c>
      <c r="AE65" s="41" t="s">
        <v>75</v>
      </c>
      <c r="AF65" s="41" t="s">
        <v>75</v>
      </c>
      <c r="AG65" s="41" t="s">
        <v>75</v>
      </c>
      <c r="AH65" s="41" t="s">
        <v>75</v>
      </c>
      <c r="AI65" s="41" t="s">
        <v>75</v>
      </c>
      <c r="AJ65" s="41" t="s">
        <v>75</v>
      </c>
      <c r="AK65" s="41" t="s">
        <v>75</v>
      </c>
      <c r="AL65" s="41" t="s">
        <v>75</v>
      </c>
      <c r="AM65" s="41" t="s">
        <v>75</v>
      </c>
      <c r="AN65" s="41" t="s">
        <v>75</v>
      </c>
      <c r="AO65" s="41" t="s">
        <v>75</v>
      </c>
      <c r="AP65" s="41" t="s">
        <v>75</v>
      </c>
      <c r="AQ65" s="41" t="s">
        <v>75</v>
      </c>
      <c r="AR65" s="41" t="s">
        <v>75</v>
      </c>
      <c r="AS65" s="41" t="s">
        <v>75</v>
      </c>
      <c r="AT65" s="41" t="s">
        <v>75</v>
      </c>
      <c r="AU65" s="42" t="str">
        <f t="shared" ref="AU65:BS65" si="5">$C65</f>
        <v>L</v>
      </c>
      <c r="AV65" s="42" t="str">
        <f t="shared" si="5"/>
        <v>L</v>
      </c>
      <c r="AW65" s="42" t="str">
        <f t="shared" si="5"/>
        <v>L</v>
      </c>
      <c r="AX65" s="42" t="str">
        <f t="shared" si="5"/>
        <v>L</v>
      </c>
      <c r="AY65" s="42" t="str">
        <f t="shared" si="5"/>
        <v>L</v>
      </c>
      <c r="AZ65" s="42" t="str">
        <f t="shared" si="5"/>
        <v>L</v>
      </c>
      <c r="BA65" s="42" t="str">
        <f t="shared" si="5"/>
        <v>L</v>
      </c>
      <c r="BB65" s="42" t="str">
        <f t="shared" si="5"/>
        <v>L</v>
      </c>
      <c r="BC65" s="42" t="str">
        <f t="shared" si="5"/>
        <v>L</v>
      </c>
      <c r="BD65" s="42" t="str">
        <f t="shared" si="5"/>
        <v>L</v>
      </c>
      <c r="BE65" s="42" t="str">
        <f t="shared" si="5"/>
        <v>L</v>
      </c>
      <c r="BF65" s="42" t="str">
        <f t="shared" si="5"/>
        <v>L</v>
      </c>
      <c r="BG65" s="42" t="str">
        <f t="shared" si="5"/>
        <v>L</v>
      </c>
      <c r="BH65" s="42" t="str">
        <f t="shared" si="5"/>
        <v>L</v>
      </c>
      <c r="BI65" s="42" t="str">
        <f t="shared" si="5"/>
        <v>L</v>
      </c>
      <c r="BJ65" s="42" t="str">
        <f t="shared" si="5"/>
        <v>L</v>
      </c>
      <c r="BK65" s="42" t="str">
        <f t="shared" si="5"/>
        <v>L</v>
      </c>
      <c r="BL65" s="42" t="str">
        <f t="shared" si="5"/>
        <v>L</v>
      </c>
      <c r="BM65" s="42" t="str">
        <f t="shared" si="5"/>
        <v>L</v>
      </c>
      <c r="BN65" s="42" t="str">
        <f t="shared" si="5"/>
        <v>L</v>
      </c>
      <c r="BO65" s="42" t="str">
        <f t="shared" si="5"/>
        <v>L</v>
      </c>
      <c r="BP65" s="42" t="str">
        <f t="shared" si="5"/>
        <v>L</v>
      </c>
      <c r="BQ65" s="42" t="str">
        <f t="shared" si="5"/>
        <v>L</v>
      </c>
      <c r="BR65" s="42" t="str">
        <f t="shared" si="5"/>
        <v>L</v>
      </c>
      <c r="BS65" s="42" t="str">
        <f t="shared" si="5"/>
        <v>L</v>
      </c>
    </row>
    <row r="66" spans="1:71" x14ac:dyDescent="0.2">
      <c r="A66" s="2" t="s">
        <v>335</v>
      </c>
      <c r="B66" s="2" t="s">
        <v>336</v>
      </c>
      <c r="C66" s="11" t="s">
        <v>79</v>
      </c>
      <c r="G66" s="2" t="s">
        <v>162</v>
      </c>
      <c r="H66" s="41"/>
      <c r="I66" s="41"/>
      <c r="J66" s="41"/>
      <c r="K66" s="41"/>
      <c r="L66" s="41" t="s">
        <v>82</v>
      </c>
      <c r="M66" s="41" t="s">
        <v>82</v>
      </c>
      <c r="N66" s="41" t="s">
        <v>82</v>
      </c>
      <c r="O66" s="41" t="s">
        <v>210</v>
      </c>
      <c r="P66" s="41" t="s">
        <v>210</v>
      </c>
      <c r="Q66" s="41" t="s">
        <v>210</v>
      </c>
      <c r="R66" s="41" t="s">
        <v>82</v>
      </c>
      <c r="S66" s="41" t="s">
        <v>82</v>
      </c>
      <c r="T66" s="41" t="s">
        <v>82</v>
      </c>
      <c r="U66" s="41" t="s">
        <v>82</v>
      </c>
      <c r="V66" s="41" t="s">
        <v>82</v>
      </c>
      <c r="W66" s="41" t="s">
        <v>82</v>
      </c>
      <c r="X66" s="41" t="s">
        <v>82</v>
      </c>
      <c r="Y66" s="41" t="s">
        <v>82</v>
      </c>
      <c r="Z66" s="41" t="s">
        <v>82</v>
      </c>
      <c r="AA66" s="41" t="s">
        <v>79</v>
      </c>
      <c r="AB66" s="41" t="s">
        <v>79</v>
      </c>
      <c r="AC66" s="41" t="s">
        <v>79</v>
      </c>
      <c r="AD66" s="41" t="s">
        <v>79</v>
      </c>
      <c r="AE66" s="41" t="s">
        <v>79</v>
      </c>
      <c r="AF66" s="41" t="s">
        <v>79</v>
      </c>
      <c r="AG66" s="41" t="s">
        <v>79</v>
      </c>
      <c r="AH66" s="41" t="s">
        <v>79</v>
      </c>
      <c r="AI66" s="41" t="s">
        <v>79</v>
      </c>
      <c r="AJ66" s="41" t="s">
        <v>79</v>
      </c>
      <c r="AK66" s="41" t="s">
        <v>79</v>
      </c>
      <c r="AL66" s="41" t="s">
        <v>79</v>
      </c>
      <c r="AM66" s="41" t="s">
        <v>79</v>
      </c>
      <c r="AN66" s="41" t="s">
        <v>79</v>
      </c>
      <c r="AO66" s="41" t="s">
        <v>79</v>
      </c>
      <c r="AP66" s="41" t="s">
        <v>79</v>
      </c>
      <c r="AQ66" s="41" t="s">
        <v>79</v>
      </c>
      <c r="AR66" s="41" t="s">
        <v>79</v>
      </c>
      <c r="AS66" s="41" t="s">
        <v>79</v>
      </c>
      <c r="AT66" s="41" t="s">
        <v>79</v>
      </c>
      <c r="AU66" s="42" t="str">
        <f>IF('GNI per capita'!AU66&lt;=Thresholds!$C$44,"L",IF('GNI per capita'!AU66&lt;=Thresholds!$D$44,"LM",IF('GNI per capita'!AU66&lt;=Thresholds!$E$44,"UM","H")))</f>
        <v>H</v>
      </c>
      <c r="AV66" s="42" t="str">
        <f>IF('GNI per capita'!AV66&lt;=Thresholds!$C$45,"L",IF('GNI per capita'!AV66&lt;=Thresholds!$D$45,"LM",IF('GNI per capita'!AV66&lt;=Thresholds!$E$45,"UM","H")))</f>
        <v>H</v>
      </c>
      <c r="AW66" s="42" t="str">
        <f>IF('GNI per capita'!AW66&lt;=Thresholds!$C$46,"L",IF('GNI per capita'!AW66&lt;=Thresholds!$D$46,"LM",IF('GNI per capita'!AW66&lt;=Thresholds!$E$46,"UM","H")))</f>
        <v>H</v>
      </c>
      <c r="AX66" s="42" t="str">
        <f>IF('GNI per capita'!AX66&lt;=Thresholds!$C$47,"L",IF('GNI per capita'!AX66&lt;=Thresholds!$D$47,"LM",IF('GNI per capita'!AX66&lt;=Thresholds!$E$47,"UM","H")))</f>
        <v>H</v>
      </c>
      <c r="AY66" s="42" t="str">
        <f>IF('GNI per capita'!AY66&lt;=Thresholds!$C$48,"L",IF('GNI per capita'!AY66&lt;=Thresholds!$D$48,"LM",IF('GNI per capita'!AY66&lt;=Thresholds!$E$48,"UM","H")))</f>
        <v>H</v>
      </c>
      <c r="AZ66" s="42" t="str">
        <f>IF('GNI per capita'!AZ66&lt;=Thresholds!$C$49,"L",IF('GNI per capita'!AZ66&lt;=Thresholds!$D$49,"LM",IF('GNI per capita'!AZ66&lt;=Thresholds!$E$49,"UM","H")))</f>
        <v>H</v>
      </c>
      <c r="BA66" s="42" t="str">
        <f>IF('GNI per capita'!BA66&lt;=Thresholds!$C$50,"L",IF('GNI per capita'!BA66&lt;=Thresholds!$D$50,"LM",IF('GNI per capita'!BA66&lt;=Thresholds!$E$50,"UM","H")))</f>
        <v>H</v>
      </c>
      <c r="BB66" s="42" t="str">
        <f>IF('GNI per capita'!BB66&lt;=Thresholds!$C$51,"L",IF('GNI per capita'!BB66&lt;=Thresholds!$D$51,"LM",IF('GNI per capita'!BB66&lt;=Thresholds!$E$51,"UM","H")))</f>
        <v>H</v>
      </c>
      <c r="BC66" s="42" t="str">
        <f>IF('GNI per capita'!BC66&lt;=Thresholds!$C$52,"L",IF('GNI per capita'!BC66&lt;=Thresholds!$D$52,"LM",IF('GNI per capita'!BC66&lt;=Thresholds!$E$52,"UM","H")))</f>
        <v>H</v>
      </c>
      <c r="BD66" s="42" t="str">
        <f>IF('GNI per capita'!BD66&lt;=Thresholds!$C$53,"L",IF('GNI per capita'!BD66&lt;=Thresholds!$D$53,"LM",IF('GNI per capita'!BD66&lt;=Thresholds!$E$53,"UM","H")))</f>
        <v>H</v>
      </c>
      <c r="BE66" s="42" t="str">
        <f>IF('GNI per capita'!BE66&lt;=Thresholds!$C$54,"L",IF('GNI per capita'!BE66&lt;=Thresholds!$D$54,"LM",IF('GNI per capita'!BE66&lt;=Thresholds!$E$54,"UM","H")))</f>
        <v>H</v>
      </c>
      <c r="BF66" s="42" t="str">
        <f>IF('GNI per capita'!BF66&lt;=Thresholds!$C$55,"L",IF('GNI per capita'!BF66&lt;=Thresholds!$D$55,"LM",IF('GNI per capita'!BF66&lt;=Thresholds!$E$55,"UM","H")))</f>
        <v>H</v>
      </c>
      <c r="BG66" s="42" t="str">
        <f>IF('GNI per capita'!BG66&lt;=Thresholds!$C$56,"L",IF('GNI per capita'!BG66&lt;=Thresholds!$D$56,"LM",IF('GNI per capita'!BG66&lt;=Thresholds!$E$56,"UM","H")))</f>
        <v>H</v>
      </c>
      <c r="BH66" s="42" t="str">
        <f>IF('GNI per capita'!BH66&lt;=Thresholds!$C$57,"L",IF('GNI per capita'!BH66&lt;=Thresholds!$D$57,"LM",IF('GNI per capita'!BH66&lt;=Thresholds!$E$57,"UM","H")))</f>
        <v>H</v>
      </c>
      <c r="BI66" s="42" t="str">
        <f>IF('GNI per capita'!BI66&lt;=Thresholds!$C$58,"L",IF('GNI per capita'!BI66&lt;=Thresholds!$D$58,"LM",IF('GNI per capita'!BI66&lt;=Thresholds!$E$58,"UM","H")))</f>
        <v>H</v>
      </c>
      <c r="BJ66" s="42" t="str">
        <f>IF('GNI per capita'!BJ66&lt;=Thresholds!$C$59,"L",IF('GNI per capita'!BJ66&lt;=Thresholds!$D$59,"LM",IF('GNI per capita'!BJ66&lt;=Thresholds!$E$59,"UM","H")))</f>
        <v>H</v>
      </c>
      <c r="BK66" s="42" t="str">
        <f>IF('GNI per capita'!BK66&lt;=Thresholds!$C$60,"L",IF('GNI per capita'!BK66&lt;=Thresholds!$D$60,"LM",IF('GNI per capita'!BK66&lt;=Thresholds!$E$60,"UM","H")))</f>
        <v>H</v>
      </c>
      <c r="BL66" s="42" t="str">
        <f>IF('GNI per capita'!BL66&lt;=Thresholds!$C$61,"L",IF('GNI per capita'!BL66&lt;=Thresholds!$D$61,"LM",IF('GNI per capita'!BL66&lt;=Thresholds!$E$61,"UM","H")))</f>
        <v>H</v>
      </c>
      <c r="BM66" s="42" t="str">
        <f>IF('GNI per capita'!BM66&lt;=Thresholds!$C$62,"L",IF('GNI per capita'!BM66&lt;=Thresholds!$D$62,"LM",IF('GNI per capita'!BM66&lt;=Thresholds!$E$62,"UM","H")))</f>
        <v>H</v>
      </c>
      <c r="BN66" s="42" t="str">
        <f>IF('GNI per capita'!BN66&lt;=Thresholds!$C$63,"L",IF('GNI per capita'!BN66&lt;=Thresholds!$D$63,"LM",IF('GNI per capita'!BN66&lt;=Thresholds!$E$63,"UM","H")))</f>
        <v>H</v>
      </c>
      <c r="BO66" s="42" t="str">
        <f>IF('GNI per capita'!BO66&lt;=Thresholds!$C$64,"L",IF('GNI per capita'!BO66&lt;=Thresholds!$D$64,"LM",IF('GNI per capita'!BO66&lt;=Thresholds!$E$64,"UM","H")))</f>
        <v>H</v>
      </c>
      <c r="BP66" s="42" t="str">
        <f>IF('GNI per capita'!BP66&lt;=Thresholds!$C$65,"L",IF('GNI per capita'!BP66&lt;=Thresholds!$D$65,"LM",IF('GNI per capita'!BP66&lt;=Thresholds!$E$65,"UM","H")))</f>
        <v>H</v>
      </c>
      <c r="BQ66" s="42" t="str">
        <f>IF('GNI per capita'!BQ66&lt;=Thresholds!$C$66,"L",IF('GNI per capita'!BQ66&lt;=Thresholds!$D$66,"LM",IF('GNI per capita'!BQ66&lt;=Thresholds!$E$66,"UM","H")))</f>
        <v>H</v>
      </c>
      <c r="BR66" s="42" t="str">
        <f>IF('GNI per capita'!BR66&lt;=Thresholds!$C$67,"L",IF('GNI per capita'!BR66&lt;=Thresholds!$D$67,"LM",IF('GNI per capita'!BR66&lt;=Thresholds!$E$67,"UM","H")))</f>
        <v>H</v>
      </c>
      <c r="BS66" s="42" t="str">
        <f>IF('GNI per capita'!BS66&lt;=Thresholds!$C$68,"L",IF('GNI per capita'!BS66&lt;=Thresholds!$D$68,"LM",IF('GNI per capita'!BS66&lt;=Thresholds!$E$68,"UM","H")))</f>
        <v>H</v>
      </c>
    </row>
    <row r="67" spans="1:71" x14ac:dyDescent="0.2">
      <c r="A67" s="2" t="s">
        <v>337</v>
      </c>
      <c r="B67" s="2" t="s">
        <v>338</v>
      </c>
      <c r="C67" s="11" t="s">
        <v>210</v>
      </c>
      <c r="G67" s="2" t="s">
        <v>162</v>
      </c>
      <c r="H67" s="41" t="s">
        <v>210</v>
      </c>
      <c r="I67" s="41" t="s">
        <v>210</v>
      </c>
      <c r="J67" s="41" t="s">
        <v>210</v>
      </c>
      <c r="K67" s="41" t="s">
        <v>210</v>
      </c>
      <c r="L67" s="41" t="s">
        <v>210</v>
      </c>
      <c r="M67" s="41" t="s">
        <v>210</v>
      </c>
      <c r="N67" s="41" t="s">
        <v>210</v>
      </c>
      <c r="O67" s="41" t="s">
        <v>210</v>
      </c>
      <c r="P67" s="41" t="s">
        <v>210</v>
      </c>
      <c r="Q67" s="41" t="s">
        <v>210</v>
      </c>
      <c r="R67" s="41" t="s">
        <v>210</v>
      </c>
      <c r="S67" s="41" t="s">
        <v>210</v>
      </c>
      <c r="T67" s="41" t="s">
        <v>210</v>
      </c>
      <c r="U67" s="41" t="s">
        <v>210</v>
      </c>
      <c r="V67" s="41" t="s">
        <v>210</v>
      </c>
      <c r="W67" s="41" t="s">
        <v>210</v>
      </c>
      <c r="X67" s="41" t="s">
        <v>210</v>
      </c>
      <c r="Y67" s="41" t="s">
        <v>210</v>
      </c>
      <c r="Z67" s="41" t="s">
        <v>210</v>
      </c>
      <c r="AA67" s="41" t="s">
        <v>210</v>
      </c>
      <c r="AB67" s="41" t="s">
        <v>210</v>
      </c>
      <c r="AC67" s="41" t="s">
        <v>210</v>
      </c>
      <c r="AD67" s="41" t="s">
        <v>210</v>
      </c>
      <c r="AE67" s="41" t="s">
        <v>210</v>
      </c>
      <c r="AF67" s="41" t="s">
        <v>210</v>
      </c>
      <c r="AG67" s="41" t="s">
        <v>210</v>
      </c>
      <c r="AH67" s="41" t="s">
        <v>210</v>
      </c>
      <c r="AI67" s="41" t="s">
        <v>210</v>
      </c>
      <c r="AJ67" s="41" t="s">
        <v>210</v>
      </c>
      <c r="AK67" s="41" t="s">
        <v>210</v>
      </c>
      <c r="AL67" s="41" t="s">
        <v>210</v>
      </c>
      <c r="AM67" s="41" t="s">
        <v>210</v>
      </c>
      <c r="AN67" s="41" t="s">
        <v>210</v>
      </c>
      <c r="AO67" s="41" t="s">
        <v>210</v>
      </c>
      <c r="AP67" s="41" t="s">
        <v>210</v>
      </c>
      <c r="AQ67" s="41" t="s">
        <v>210</v>
      </c>
      <c r="AR67" s="41" t="s">
        <v>210</v>
      </c>
      <c r="AS67" s="41" t="s">
        <v>210</v>
      </c>
      <c r="AT67" s="41" t="s">
        <v>210</v>
      </c>
      <c r="AU67" s="42" t="str">
        <f>IF('GNI per capita'!AU67&lt;=Thresholds!$C$44,"L",IF('GNI per capita'!AU67&lt;=Thresholds!$D$44,"LM",IF('GNI per capita'!AU67&lt;=Thresholds!$E$44,"UM","H")))</f>
        <v>LM</v>
      </c>
      <c r="AV67" s="42" t="str">
        <f>IF('GNI per capita'!AV67&lt;=Thresholds!$C$45,"L",IF('GNI per capita'!AV67&lt;=Thresholds!$D$45,"LM",IF('GNI per capita'!AV67&lt;=Thresholds!$E$45,"UM","H")))</f>
        <v>LM</v>
      </c>
      <c r="AW67" s="42" t="str">
        <f>IF('GNI per capita'!AW67&lt;=Thresholds!$C$46,"L",IF('GNI per capita'!AW67&lt;=Thresholds!$D$46,"LM",IF('GNI per capita'!AW67&lt;=Thresholds!$E$46,"UM","H")))</f>
        <v>LM</v>
      </c>
      <c r="AX67" s="42" t="str">
        <f>IF('GNI per capita'!AX67&lt;=Thresholds!$C$47,"L",IF('GNI per capita'!AX67&lt;=Thresholds!$D$47,"LM",IF('GNI per capita'!AX67&lt;=Thresholds!$E$47,"UM","H")))</f>
        <v>LM</v>
      </c>
      <c r="AY67" s="42" t="str">
        <f>IF('GNI per capita'!AY67&lt;=Thresholds!$C$48,"L",IF('GNI per capita'!AY67&lt;=Thresholds!$D$48,"LM",IF('GNI per capita'!AY67&lt;=Thresholds!$E$48,"UM","H")))</f>
        <v>LM</v>
      </c>
      <c r="AZ67" s="42" t="str">
        <f>IF('GNI per capita'!AZ67&lt;=Thresholds!$C$49,"L",IF('GNI per capita'!AZ67&lt;=Thresholds!$D$49,"LM",IF('GNI per capita'!AZ67&lt;=Thresholds!$E$49,"UM","H")))</f>
        <v>LM</v>
      </c>
      <c r="BA67" s="42" t="str">
        <f>IF('GNI per capita'!BA67&lt;=Thresholds!$C$50,"L",IF('GNI per capita'!BA67&lt;=Thresholds!$D$50,"LM",IF('GNI per capita'!BA67&lt;=Thresholds!$E$50,"UM","H")))</f>
        <v>LM</v>
      </c>
      <c r="BB67" s="42" t="str">
        <f>IF('GNI per capita'!BB67&lt;=Thresholds!$C$51,"L",IF('GNI per capita'!BB67&lt;=Thresholds!$D$51,"LM",IF('GNI per capita'!BB67&lt;=Thresholds!$E$51,"UM","H")))</f>
        <v>LM</v>
      </c>
      <c r="BC67" s="42" t="str">
        <f>IF('GNI per capita'!BC67&lt;=Thresholds!$C$52,"L",IF('GNI per capita'!BC67&lt;=Thresholds!$D$52,"LM",IF('GNI per capita'!BC67&lt;=Thresholds!$E$52,"UM","H")))</f>
        <v>LM</v>
      </c>
      <c r="BD67" s="42" t="str">
        <f>IF('GNI per capita'!BD67&lt;=Thresholds!$C$53,"L",IF('GNI per capita'!BD67&lt;=Thresholds!$D$53,"LM",IF('GNI per capita'!BD67&lt;=Thresholds!$E$53,"UM","H")))</f>
        <v>LM</v>
      </c>
      <c r="BE67" s="42" t="str">
        <f>IF('GNI per capita'!BE67&lt;=Thresholds!$C$54,"L",IF('GNI per capita'!BE67&lt;=Thresholds!$D$54,"LM",IF('GNI per capita'!BE67&lt;=Thresholds!$E$54,"UM","H")))</f>
        <v>LM</v>
      </c>
      <c r="BF67" s="42" t="str">
        <f>IF('GNI per capita'!BF67&lt;=Thresholds!$C$55,"L",IF('GNI per capita'!BF67&lt;=Thresholds!$D$55,"LM",IF('GNI per capita'!BF67&lt;=Thresholds!$E$55,"UM","H")))</f>
        <v>LM</v>
      </c>
      <c r="BG67" s="42" t="str">
        <f>IF('GNI per capita'!BG67&lt;=Thresholds!$C$56,"L",IF('GNI per capita'!BG67&lt;=Thresholds!$D$56,"LM",IF('GNI per capita'!BG67&lt;=Thresholds!$E$56,"UM","H")))</f>
        <v>LM</v>
      </c>
      <c r="BH67" s="42" t="str">
        <f>IF('GNI per capita'!BH67&lt;=Thresholds!$C$57,"L",IF('GNI per capita'!BH67&lt;=Thresholds!$D$57,"LM",IF('GNI per capita'!BH67&lt;=Thresholds!$E$57,"UM","H")))</f>
        <v>LM</v>
      </c>
      <c r="BI67" s="42" t="str">
        <f>IF('GNI per capita'!BI67&lt;=Thresholds!$C$58,"L",IF('GNI per capita'!BI67&lt;=Thresholds!$D$58,"LM",IF('GNI per capita'!BI67&lt;=Thresholds!$E$58,"UM","H")))</f>
        <v>LM</v>
      </c>
      <c r="BJ67" s="42" t="str">
        <f>IF('GNI per capita'!BJ67&lt;=Thresholds!$C$59,"L",IF('GNI per capita'!BJ67&lt;=Thresholds!$D$59,"LM",IF('GNI per capita'!BJ67&lt;=Thresholds!$E$59,"UM","H")))</f>
        <v>LM</v>
      </c>
      <c r="BK67" s="42" t="str">
        <f>IF('GNI per capita'!BK67&lt;=Thresholds!$C$60,"L",IF('GNI per capita'!BK67&lt;=Thresholds!$D$60,"LM",IF('GNI per capita'!BK67&lt;=Thresholds!$E$60,"UM","H")))</f>
        <v>LM</v>
      </c>
      <c r="BL67" s="42" t="str">
        <f>IF('GNI per capita'!BL67&lt;=Thresholds!$C$61,"L",IF('GNI per capita'!BL67&lt;=Thresholds!$D$61,"LM",IF('GNI per capita'!BL67&lt;=Thresholds!$E$61,"UM","H")))</f>
        <v>LM</v>
      </c>
      <c r="BM67" s="42" t="str">
        <f>IF('GNI per capita'!BM67&lt;=Thresholds!$C$62,"L",IF('GNI per capita'!BM67&lt;=Thresholds!$D$62,"LM",IF('GNI per capita'!BM67&lt;=Thresholds!$E$62,"UM","H")))</f>
        <v>LM</v>
      </c>
      <c r="BN67" s="42" t="str">
        <f>IF('GNI per capita'!BN67&lt;=Thresholds!$C$63,"L",IF('GNI per capita'!BN67&lt;=Thresholds!$D$63,"LM",IF('GNI per capita'!BN67&lt;=Thresholds!$E$63,"UM","H")))</f>
        <v>LM</v>
      </c>
      <c r="BO67" s="42" t="str">
        <f>IF('GNI per capita'!BO67&lt;=Thresholds!$C$64,"L",IF('GNI per capita'!BO67&lt;=Thresholds!$D$64,"LM",IF('GNI per capita'!BO67&lt;=Thresholds!$E$64,"UM","H")))</f>
        <v>LM</v>
      </c>
      <c r="BP67" s="42" t="str">
        <f>IF('GNI per capita'!BP67&lt;=Thresholds!$C$65,"L",IF('GNI per capita'!BP67&lt;=Thresholds!$D$65,"LM",IF('GNI per capita'!BP67&lt;=Thresholds!$E$65,"UM","H")))</f>
        <v>LM</v>
      </c>
      <c r="BQ67" s="42" t="str">
        <f>IF('GNI per capita'!BQ67&lt;=Thresholds!$C$66,"L",IF('GNI per capita'!BQ67&lt;=Thresholds!$D$66,"LM",IF('GNI per capita'!BQ67&lt;=Thresholds!$E$66,"UM","H")))</f>
        <v>LM</v>
      </c>
      <c r="BR67" s="42" t="str">
        <f>IF('GNI per capita'!BR67&lt;=Thresholds!$C$67,"L",IF('GNI per capita'!BR67&lt;=Thresholds!$D$67,"LM",IF('GNI per capita'!BR67&lt;=Thresholds!$E$67,"UM","H")))</f>
        <v>LM</v>
      </c>
      <c r="BS67" s="42" t="str">
        <f>IF('GNI per capita'!BS67&lt;=Thresholds!$C$68,"L",IF('GNI per capita'!BS67&lt;=Thresholds!$D$68,"LM",IF('GNI per capita'!BS67&lt;=Thresholds!$E$68,"UM","H")))</f>
        <v>LM</v>
      </c>
    </row>
    <row r="68" spans="1:71" x14ac:dyDescent="0.2">
      <c r="A68" s="2" t="s">
        <v>339</v>
      </c>
      <c r="B68" s="2" t="s">
        <v>340</v>
      </c>
      <c r="C68" s="11" t="s">
        <v>75</v>
      </c>
      <c r="G68" s="2" t="s">
        <v>341</v>
      </c>
      <c r="H68" s="41" t="s">
        <v>75</v>
      </c>
      <c r="I68" s="41" t="s">
        <v>75</v>
      </c>
      <c r="J68" s="41" t="s">
        <v>75</v>
      </c>
      <c r="K68" s="41" t="s">
        <v>75</v>
      </c>
      <c r="L68" s="41" t="s">
        <v>75</v>
      </c>
      <c r="M68" s="41" t="s">
        <v>75</v>
      </c>
      <c r="N68" s="41" t="s">
        <v>75</v>
      </c>
      <c r="O68" s="41" t="s">
        <v>75</v>
      </c>
      <c r="P68" s="41" t="s">
        <v>75</v>
      </c>
      <c r="Q68" s="41" t="s">
        <v>75</v>
      </c>
      <c r="R68" s="41" t="s">
        <v>75</v>
      </c>
      <c r="S68" s="41" t="s">
        <v>75</v>
      </c>
      <c r="T68" s="41" t="s">
        <v>75</v>
      </c>
      <c r="U68" s="41" t="s">
        <v>75</v>
      </c>
      <c r="V68" s="41" t="s">
        <v>75</v>
      </c>
      <c r="W68" s="41" t="s">
        <v>75</v>
      </c>
      <c r="X68" s="41" t="s">
        <v>75</v>
      </c>
      <c r="Y68" s="41" t="s">
        <v>75</v>
      </c>
      <c r="Z68" s="41" t="s">
        <v>75</v>
      </c>
      <c r="AA68" s="41" t="s">
        <v>75</v>
      </c>
      <c r="AB68" s="41" t="s">
        <v>75</v>
      </c>
      <c r="AC68" s="41" t="s">
        <v>75</v>
      </c>
      <c r="AD68" s="41" t="s">
        <v>75</v>
      </c>
      <c r="AE68" s="41" t="s">
        <v>75</v>
      </c>
      <c r="AF68" s="41" t="s">
        <v>75</v>
      </c>
      <c r="AG68" s="41" t="s">
        <v>75</v>
      </c>
      <c r="AH68" s="41" t="s">
        <v>75</v>
      </c>
      <c r="AI68" s="41" t="s">
        <v>75</v>
      </c>
      <c r="AJ68" s="41" t="s">
        <v>75</v>
      </c>
      <c r="AK68" s="41" t="s">
        <v>75</v>
      </c>
      <c r="AL68" s="41" t="s">
        <v>75</v>
      </c>
      <c r="AM68" s="41" t="s">
        <v>75</v>
      </c>
      <c r="AN68" s="41" t="s">
        <v>75</v>
      </c>
      <c r="AO68" s="41" t="s">
        <v>75</v>
      </c>
      <c r="AP68" s="41" t="s">
        <v>75</v>
      </c>
      <c r="AQ68" s="41" t="s">
        <v>75</v>
      </c>
      <c r="AR68" s="41" t="s">
        <v>75</v>
      </c>
      <c r="AS68" s="41"/>
      <c r="AT68" s="41" t="s">
        <v>75</v>
      </c>
      <c r="AU68" s="42" t="str">
        <f>IF('GNI per capita'!AU68&lt;=Thresholds!$C$44,"L",IF('GNI per capita'!AU68&lt;=Thresholds!$D$44,"LM",IF('GNI per capita'!AU68&lt;=Thresholds!$E$44,"UM","H")))</f>
        <v>L</v>
      </c>
      <c r="AV68" s="42" t="str">
        <f>IF('GNI per capita'!AV68&lt;=Thresholds!$C$45,"L",IF('GNI per capita'!AV68&lt;=Thresholds!$D$45,"LM",IF('GNI per capita'!AV68&lt;=Thresholds!$E$45,"UM","H")))</f>
        <v>LM</v>
      </c>
      <c r="AW68" s="42" t="str">
        <f>IF('GNI per capita'!AW68&lt;=Thresholds!$C$46,"L",IF('GNI per capita'!AW68&lt;=Thresholds!$D$46,"LM",IF('GNI per capita'!AW68&lt;=Thresholds!$E$46,"UM","H")))</f>
        <v>LM</v>
      </c>
      <c r="AX68" s="42" t="str">
        <f>IF('GNI per capita'!AX68&lt;=Thresholds!$C$47,"L",IF('GNI per capita'!AX68&lt;=Thresholds!$D$47,"LM",IF('GNI per capita'!AX68&lt;=Thresholds!$E$47,"UM","H")))</f>
        <v>LM</v>
      </c>
      <c r="AY68" s="42" t="str">
        <f>IF('GNI per capita'!AY68&lt;=Thresholds!$C$48,"L",IF('GNI per capita'!AY68&lt;=Thresholds!$D$48,"LM",IF('GNI per capita'!AY68&lt;=Thresholds!$E$48,"UM","H")))</f>
        <v>LM</v>
      </c>
      <c r="AZ68" s="42" t="str">
        <f>IF('GNI per capita'!AZ68&lt;=Thresholds!$C$49,"L",IF('GNI per capita'!AZ68&lt;=Thresholds!$D$49,"LM",IF('GNI per capita'!AZ68&lt;=Thresholds!$E$49,"UM","H")))</f>
        <v>LM</v>
      </c>
      <c r="BA68" s="42" t="str">
        <f>IF('GNI per capita'!BA68&lt;=Thresholds!$C$50,"L",IF('GNI per capita'!BA68&lt;=Thresholds!$D$50,"LM",IF('GNI per capita'!BA68&lt;=Thresholds!$E$50,"UM","H")))</f>
        <v>LM</v>
      </c>
      <c r="BB68" s="42" t="str">
        <f>IF('GNI per capita'!BB68&lt;=Thresholds!$C$51,"L",IF('GNI per capita'!BB68&lt;=Thresholds!$D$51,"LM",IF('GNI per capita'!BB68&lt;=Thresholds!$E$51,"UM","H")))</f>
        <v>LM</v>
      </c>
      <c r="BC68" s="42" t="str">
        <f>IF('GNI per capita'!BC68&lt;=Thresholds!$C$52,"L",IF('GNI per capita'!BC68&lt;=Thresholds!$D$52,"LM",IF('GNI per capita'!BC68&lt;=Thresholds!$E$52,"UM","H")))</f>
        <v>LM</v>
      </c>
      <c r="BD68" s="42" t="str">
        <f>IF('GNI per capita'!BD68&lt;=Thresholds!$C$53,"L",IF('GNI per capita'!BD68&lt;=Thresholds!$D$53,"LM",IF('GNI per capita'!BD68&lt;=Thresholds!$E$53,"UM","H")))</f>
        <v>LM</v>
      </c>
      <c r="BE68" s="42" t="str">
        <f>IF('GNI per capita'!BE68&lt;=Thresholds!$C$54,"L",IF('GNI per capita'!BE68&lt;=Thresholds!$D$54,"LM",IF('GNI per capita'!BE68&lt;=Thresholds!$E$54,"UM","H")))</f>
        <v>LM</v>
      </c>
      <c r="BF68" s="42" t="str">
        <f>IF('GNI per capita'!BF68&lt;=Thresholds!$C$55,"L",IF('GNI per capita'!BF68&lt;=Thresholds!$D$55,"LM",IF('GNI per capita'!BF68&lt;=Thresholds!$E$55,"UM","H")))</f>
        <v>LM</v>
      </c>
      <c r="BG68" s="42" t="str">
        <f>IF('GNI per capita'!BG68&lt;=Thresholds!$C$56,"L",IF('GNI per capita'!BG68&lt;=Thresholds!$D$56,"LM",IF('GNI per capita'!BG68&lt;=Thresholds!$E$56,"UM","H")))</f>
        <v>LM</v>
      </c>
      <c r="BH68" s="42" t="str">
        <f>IF('GNI per capita'!BH68&lt;=Thresholds!$C$57,"L",IF('GNI per capita'!BH68&lt;=Thresholds!$D$57,"LM",IF('GNI per capita'!BH68&lt;=Thresholds!$E$57,"UM","H")))</f>
        <v>LM</v>
      </c>
      <c r="BI68" s="42" t="str">
        <f>IF('GNI per capita'!BI68&lt;=Thresholds!$C$58,"L",IF('GNI per capita'!BI68&lt;=Thresholds!$D$58,"LM",IF('GNI per capita'!BI68&lt;=Thresholds!$E$58,"UM","H")))</f>
        <v>LM</v>
      </c>
      <c r="BJ68" s="42" t="str">
        <f>IF('GNI per capita'!BJ68&lt;=Thresholds!$C$59,"L",IF('GNI per capita'!BJ68&lt;=Thresholds!$D$59,"LM",IF('GNI per capita'!BJ68&lt;=Thresholds!$E$59,"UM","H")))</f>
        <v>LM</v>
      </c>
      <c r="BK68" s="42" t="str">
        <f>IF('GNI per capita'!BK68&lt;=Thresholds!$C$60,"L",IF('GNI per capita'!BK68&lt;=Thresholds!$D$60,"LM",IF('GNI per capita'!BK68&lt;=Thresholds!$E$60,"UM","H")))</f>
        <v>LM</v>
      </c>
      <c r="BL68" s="42" t="str">
        <f>IF('GNI per capita'!BL68&lt;=Thresholds!$C$61,"L",IF('GNI per capita'!BL68&lt;=Thresholds!$D$61,"LM",IF('GNI per capita'!BL68&lt;=Thresholds!$E$61,"UM","H")))</f>
        <v>LM</v>
      </c>
      <c r="BM68" s="42" t="str">
        <f>IF('GNI per capita'!BM68&lt;=Thresholds!$C$62,"L",IF('GNI per capita'!BM68&lt;=Thresholds!$D$62,"LM",IF('GNI per capita'!BM68&lt;=Thresholds!$E$62,"UM","H")))</f>
        <v>LM</v>
      </c>
      <c r="BN68" s="42" t="str">
        <f>IF('GNI per capita'!BN68&lt;=Thresholds!$C$63,"L",IF('GNI per capita'!BN68&lt;=Thresholds!$D$63,"LM",IF('GNI per capita'!BN68&lt;=Thresholds!$E$63,"UM","H")))</f>
        <v>LM</v>
      </c>
      <c r="BO68" s="42" t="str">
        <f>IF('GNI per capita'!BO68&lt;=Thresholds!$C$64,"L",IF('GNI per capita'!BO68&lt;=Thresholds!$D$64,"LM",IF('GNI per capita'!BO68&lt;=Thresholds!$E$64,"UM","H")))</f>
        <v>LM</v>
      </c>
      <c r="BP68" s="42" t="str">
        <f>IF('GNI per capita'!BP68&lt;=Thresholds!$C$65,"L",IF('GNI per capita'!BP68&lt;=Thresholds!$D$65,"LM",IF('GNI per capita'!BP68&lt;=Thresholds!$E$65,"UM","H")))</f>
        <v>LM</v>
      </c>
      <c r="BQ68" s="42" t="str">
        <f>IF('GNI per capita'!BQ68&lt;=Thresholds!$C$66,"L",IF('GNI per capita'!BQ68&lt;=Thresholds!$D$66,"LM",IF('GNI per capita'!BQ68&lt;=Thresholds!$E$66,"UM","H")))</f>
        <v>LM</v>
      </c>
      <c r="BR68" s="42" t="str">
        <f>IF('GNI per capita'!BR68&lt;=Thresholds!$C$67,"L",IF('GNI per capita'!BR68&lt;=Thresholds!$D$67,"LM",IF('GNI per capita'!BR68&lt;=Thresholds!$E$67,"UM","H")))</f>
        <v>LM</v>
      </c>
      <c r="BS68" s="42" t="str">
        <f>IF('GNI per capita'!BS68&lt;=Thresholds!$C$68,"L",IF('GNI per capita'!BS68&lt;=Thresholds!$D$68,"LM",IF('GNI per capita'!BS68&lt;=Thresholds!$E$68,"UM","H")))</f>
        <v>LM</v>
      </c>
    </row>
    <row r="69" spans="1:71" x14ac:dyDescent="0.2">
      <c r="A69" s="2" t="s">
        <v>342</v>
      </c>
      <c r="B69" s="2" t="s">
        <v>343</v>
      </c>
      <c r="C69" s="11" t="s">
        <v>79</v>
      </c>
      <c r="G69" s="2" t="s">
        <v>344</v>
      </c>
      <c r="H69" s="41" t="s">
        <v>79</v>
      </c>
      <c r="I69" s="41" t="s">
        <v>79</v>
      </c>
      <c r="J69" s="41" t="s">
        <v>79</v>
      </c>
      <c r="K69" s="41" t="s">
        <v>79</v>
      </c>
      <c r="L69" s="41" t="s">
        <v>79</v>
      </c>
      <c r="M69" s="41" t="s">
        <v>79</v>
      </c>
      <c r="N69" s="41" t="s">
        <v>79</v>
      </c>
      <c r="O69" s="41" t="s">
        <v>79</v>
      </c>
      <c r="P69" s="41" t="s">
        <v>79</v>
      </c>
      <c r="Q69" s="41" t="s">
        <v>79</v>
      </c>
      <c r="R69" s="41" t="s">
        <v>79</v>
      </c>
      <c r="S69" s="41" t="s">
        <v>79</v>
      </c>
      <c r="T69" s="41" t="s">
        <v>79</v>
      </c>
      <c r="U69" s="41" t="s">
        <v>79</v>
      </c>
      <c r="V69" s="41" t="s">
        <v>79</v>
      </c>
      <c r="W69" s="41" t="s">
        <v>79</v>
      </c>
      <c r="X69" s="41" t="s">
        <v>79</v>
      </c>
      <c r="Y69" s="41" t="s">
        <v>79</v>
      </c>
      <c r="Z69" s="41" t="s">
        <v>79</v>
      </c>
      <c r="AA69" s="41" t="s">
        <v>79</v>
      </c>
      <c r="AB69" s="41" t="s">
        <v>79</v>
      </c>
      <c r="AC69" s="41" t="s">
        <v>79</v>
      </c>
      <c r="AD69" s="41" t="s">
        <v>79</v>
      </c>
      <c r="AE69" s="41" t="s">
        <v>79</v>
      </c>
      <c r="AF69" s="41" t="s">
        <v>79</v>
      </c>
      <c r="AG69" s="41" t="s">
        <v>79</v>
      </c>
      <c r="AH69" s="41" t="s">
        <v>79</v>
      </c>
      <c r="AI69" s="41" t="s">
        <v>79</v>
      </c>
      <c r="AJ69" s="41" t="s">
        <v>79</v>
      </c>
      <c r="AK69" s="41" t="s">
        <v>79</v>
      </c>
      <c r="AL69" s="41" t="s">
        <v>79</v>
      </c>
      <c r="AM69" s="41" t="s">
        <v>79</v>
      </c>
      <c r="AN69" s="41" t="s">
        <v>79</v>
      </c>
      <c r="AO69" s="41" t="s">
        <v>79</v>
      </c>
      <c r="AP69" s="41" t="s">
        <v>79</v>
      </c>
      <c r="AQ69" s="41" t="s">
        <v>79</v>
      </c>
      <c r="AR69" s="41" t="s">
        <v>79</v>
      </c>
      <c r="AS69" s="41" t="s">
        <v>79</v>
      </c>
      <c r="AT69" s="41" t="s">
        <v>79</v>
      </c>
      <c r="AU69" s="42" t="str">
        <f>IF('GNI per capita'!AU69&lt;=Thresholds!$C$44,"L",IF('GNI per capita'!AU69&lt;=Thresholds!$D$44,"LM",IF('GNI per capita'!AU69&lt;=Thresholds!$E$44,"UM","H")))</f>
        <v>H</v>
      </c>
      <c r="AV69" s="42" t="str">
        <f>IF('GNI per capita'!AV69&lt;=Thresholds!$C$45,"L",IF('GNI per capita'!AV69&lt;=Thresholds!$D$45,"LM",IF('GNI per capita'!AV69&lt;=Thresholds!$E$45,"UM","H")))</f>
        <v>H</v>
      </c>
      <c r="AW69" s="42" t="str">
        <f>IF('GNI per capita'!AW69&lt;=Thresholds!$C$46,"L",IF('GNI per capita'!AW69&lt;=Thresholds!$D$46,"LM",IF('GNI per capita'!AW69&lt;=Thresholds!$E$46,"UM","H")))</f>
        <v>H</v>
      </c>
      <c r="AX69" s="42" t="str">
        <f>IF('GNI per capita'!AX69&lt;=Thresholds!$C$47,"L",IF('GNI per capita'!AX69&lt;=Thresholds!$D$47,"LM",IF('GNI per capita'!AX69&lt;=Thresholds!$E$47,"UM","H")))</f>
        <v>H</v>
      </c>
      <c r="AY69" s="42" t="str">
        <f>IF('GNI per capita'!AY69&lt;=Thresholds!$C$48,"L",IF('GNI per capita'!AY69&lt;=Thresholds!$D$48,"LM",IF('GNI per capita'!AY69&lt;=Thresholds!$E$48,"UM","H")))</f>
        <v>H</v>
      </c>
      <c r="AZ69" s="42" t="str">
        <f>IF('GNI per capita'!AZ69&lt;=Thresholds!$C$49,"L",IF('GNI per capita'!AZ69&lt;=Thresholds!$D$49,"LM",IF('GNI per capita'!AZ69&lt;=Thresholds!$E$49,"UM","H")))</f>
        <v>H</v>
      </c>
      <c r="BA69" s="42" t="str">
        <f>IF('GNI per capita'!BA69&lt;=Thresholds!$C$50,"L",IF('GNI per capita'!BA69&lt;=Thresholds!$D$50,"LM",IF('GNI per capita'!BA69&lt;=Thresholds!$E$50,"UM","H")))</f>
        <v>H</v>
      </c>
      <c r="BB69" s="42" t="str">
        <f>IF('GNI per capita'!BB69&lt;=Thresholds!$C$51,"L",IF('GNI per capita'!BB69&lt;=Thresholds!$D$51,"LM",IF('GNI per capita'!BB69&lt;=Thresholds!$E$51,"UM","H")))</f>
        <v>H</v>
      </c>
      <c r="BC69" s="42" t="str">
        <f>IF('GNI per capita'!BC69&lt;=Thresholds!$C$52,"L",IF('GNI per capita'!BC69&lt;=Thresholds!$D$52,"LM",IF('GNI per capita'!BC69&lt;=Thresholds!$E$52,"UM","H")))</f>
        <v>H</v>
      </c>
      <c r="BD69" s="42" t="str">
        <f>IF('GNI per capita'!BD69&lt;=Thresholds!$C$53,"L",IF('GNI per capita'!BD69&lt;=Thresholds!$D$53,"LM",IF('GNI per capita'!BD69&lt;=Thresholds!$E$53,"UM","H")))</f>
        <v>H</v>
      </c>
      <c r="BE69" s="42" t="str">
        <f>IF('GNI per capita'!BE69&lt;=Thresholds!$C$54,"L",IF('GNI per capita'!BE69&lt;=Thresholds!$D$54,"LM",IF('GNI per capita'!BE69&lt;=Thresholds!$E$54,"UM","H")))</f>
        <v>H</v>
      </c>
      <c r="BF69" s="42" t="str">
        <f>IF('GNI per capita'!BF69&lt;=Thresholds!$C$55,"L",IF('GNI per capita'!BF69&lt;=Thresholds!$D$55,"LM",IF('GNI per capita'!BF69&lt;=Thresholds!$E$55,"UM","H")))</f>
        <v>H</v>
      </c>
      <c r="BG69" s="42" t="str">
        <f>IF('GNI per capita'!BG69&lt;=Thresholds!$C$56,"L",IF('GNI per capita'!BG69&lt;=Thresholds!$D$56,"LM",IF('GNI per capita'!BG69&lt;=Thresholds!$E$56,"UM","H")))</f>
        <v>H</v>
      </c>
      <c r="BH69" s="42" t="str">
        <f>IF('GNI per capita'!BH69&lt;=Thresholds!$C$57,"L",IF('GNI per capita'!BH69&lt;=Thresholds!$D$57,"LM",IF('GNI per capita'!BH69&lt;=Thresholds!$E$57,"UM","H")))</f>
        <v>H</v>
      </c>
      <c r="BI69" s="42" t="str">
        <f>IF('GNI per capita'!BI69&lt;=Thresholds!$C$58,"L",IF('GNI per capita'!BI69&lt;=Thresholds!$D$58,"LM",IF('GNI per capita'!BI69&lt;=Thresholds!$E$58,"UM","H")))</f>
        <v>H</v>
      </c>
      <c r="BJ69" s="42" t="str">
        <f>IF('GNI per capita'!BJ69&lt;=Thresholds!$C$59,"L",IF('GNI per capita'!BJ69&lt;=Thresholds!$D$59,"LM",IF('GNI per capita'!BJ69&lt;=Thresholds!$E$59,"UM","H")))</f>
        <v>H</v>
      </c>
      <c r="BK69" s="42" t="str">
        <f>IF('GNI per capita'!BK69&lt;=Thresholds!$C$60,"L",IF('GNI per capita'!BK69&lt;=Thresholds!$D$60,"LM",IF('GNI per capita'!BK69&lt;=Thresholds!$E$60,"UM","H")))</f>
        <v>H</v>
      </c>
      <c r="BL69" s="42" t="str">
        <f>IF('GNI per capita'!BL69&lt;=Thresholds!$C$61,"L",IF('GNI per capita'!BL69&lt;=Thresholds!$D$61,"LM",IF('GNI per capita'!BL69&lt;=Thresholds!$E$61,"UM","H")))</f>
        <v>H</v>
      </c>
      <c r="BM69" s="42" t="str">
        <f>IF('GNI per capita'!BM69&lt;=Thresholds!$C$62,"L",IF('GNI per capita'!BM69&lt;=Thresholds!$D$62,"LM",IF('GNI per capita'!BM69&lt;=Thresholds!$E$62,"UM","H")))</f>
        <v>H</v>
      </c>
      <c r="BN69" s="42" t="str">
        <f>IF('GNI per capita'!BN69&lt;=Thresholds!$C$63,"L",IF('GNI per capita'!BN69&lt;=Thresholds!$D$63,"LM",IF('GNI per capita'!BN69&lt;=Thresholds!$E$63,"UM","H")))</f>
        <v>H</v>
      </c>
      <c r="BO69" s="42" t="str">
        <f>IF('GNI per capita'!BO69&lt;=Thresholds!$C$64,"L",IF('GNI per capita'!BO69&lt;=Thresholds!$D$64,"LM",IF('GNI per capita'!BO69&lt;=Thresholds!$E$64,"UM","H")))</f>
        <v>H</v>
      </c>
      <c r="BP69" s="42" t="str">
        <f>IF('GNI per capita'!BP69&lt;=Thresholds!$C$65,"L",IF('GNI per capita'!BP69&lt;=Thresholds!$D$65,"LM",IF('GNI per capita'!BP69&lt;=Thresholds!$E$65,"UM","H")))</f>
        <v>H</v>
      </c>
      <c r="BQ69" s="42" t="str">
        <f>IF('GNI per capita'!BQ69&lt;=Thresholds!$C$66,"L",IF('GNI per capita'!BQ69&lt;=Thresholds!$D$66,"LM",IF('GNI per capita'!BQ69&lt;=Thresholds!$E$66,"UM","H")))</f>
        <v>H</v>
      </c>
      <c r="BR69" s="42" t="str">
        <f>IF('GNI per capita'!BR69&lt;=Thresholds!$C$67,"L",IF('GNI per capita'!BR69&lt;=Thresholds!$D$67,"LM",IF('GNI per capita'!BR69&lt;=Thresholds!$E$67,"UM","H")))</f>
        <v>H</v>
      </c>
      <c r="BS69" s="42" t="str">
        <f>IF('GNI per capita'!BS69&lt;=Thresholds!$C$68,"L",IF('GNI per capita'!BS69&lt;=Thresholds!$D$68,"LM",IF('GNI per capita'!BS69&lt;=Thresholds!$E$68,"UM","H")))</f>
        <v>H</v>
      </c>
    </row>
    <row r="70" spans="1:71" x14ac:dyDescent="0.2">
      <c r="A70" s="2" t="s">
        <v>345</v>
      </c>
      <c r="B70" s="2" t="s">
        <v>346</v>
      </c>
      <c r="C70" s="11" t="s">
        <v>82</v>
      </c>
      <c r="G70" s="2" t="s">
        <v>162</v>
      </c>
      <c r="H70" s="41" t="s">
        <v>210</v>
      </c>
      <c r="I70" s="41" t="s">
        <v>210</v>
      </c>
      <c r="J70" s="41" t="s">
        <v>210</v>
      </c>
      <c r="K70" s="41" t="s">
        <v>210</v>
      </c>
      <c r="L70" s="41" t="s">
        <v>210</v>
      </c>
      <c r="M70" s="41" t="s">
        <v>210</v>
      </c>
      <c r="N70" s="41" t="s">
        <v>210</v>
      </c>
      <c r="O70" s="41" t="s">
        <v>210</v>
      </c>
      <c r="P70" s="41" t="s">
        <v>210</v>
      </c>
      <c r="Q70" s="41" t="s">
        <v>210</v>
      </c>
      <c r="R70" s="41" t="s">
        <v>210</v>
      </c>
      <c r="S70" s="41" t="s">
        <v>210</v>
      </c>
      <c r="T70" s="41" t="s">
        <v>210</v>
      </c>
      <c r="U70" s="41" t="s">
        <v>210</v>
      </c>
      <c r="V70" s="41" t="s">
        <v>210</v>
      </c>
      <c r="W70" s="41" t="s">
        <v>210</v>
      </c>
      <c r="X70" s="41" t="s">
        <v>210</v>
      </c>
      <c r="Y70" s="41" t="s">
        <v>210</v>
      </c>
      <c r="Z70" s="41" t="s">
        <v>210</v>
      </c>
      <c r="AA70" s="41" t="s">
        <v>210</v>
      </c>
      <c r="AB70" s="41" t="s">
        <v>82</v>
      </c>
      <c r="AC70" s="41" t="s">
        <v>82</v>
      </c>
      <c r="AD70" s="41" t="s">
        <v>82</v>
      </c>
      <c r="AE70" s="41" t="s">
        <v>210</v>
      </c>
      <c r="AF70" s="41" t="s">
        <v>210</v>
      </c>
      <c r="AG70" s="41" t="s">
        <v>82</v>
      </c>
      <c r="AH70" s="41" t="s">
        <v>82</v>
      </c>
      <c r="AI70" s="41" t="s">
        <v>82</v>
      </c>
      <c r="AJ70" s="41" t="s">
        <v>82</v>
      </c>
      <c r="AK70" s="41" t="s">
        <v>82</v>
      </c>
      <c r="AL70" s="41" t="s">
        <v>82</v>
      </c>
      <c r="AM70" s="41" t="s">
        <v>82</v>
      </c>
      <c r="AN70" s="41" t="s">
        <v>82</v>
      </c>
      <c r="AO70" s="41" t="s">
        <v>82</v>
      </c>
      <c r="AP70" s="41" t="s">
        <v>82</v>
      </c>
      <c r="AQ70" s="41" t="s">
        <v>82</v>
      </c>
      <c r="AR70" s="41" t="s">
        <v>82</v>
      </c>
      <c r="AS70" s="41" t="s">
        <v>82</v>
      </c>
      <c r="AT70" s="41" t="s">
        <v>82</v>
      </c>
      <c r="AU70" s="42" t="str">
        <f>IF('GNI per capita'!AU70&lt;=Thresholds!$C$44,"L",IF('GNI per capita'!AU70&lt;=Thresholds!$D$44,"LM",IF('GNI per capita'!AU70&lt;=Thresholds!$E$44,"UM","H")))</f>
        <v>UM</v>
      </c>
      <c r="AV70" s="42" t="str">
        <f>IF('GNI per capita'!AV70&lt;=Thresholds!$C$45,"L",IF('GNI per capita'!AV70&lt;=Thresholds!$D$45,"LM",IF('GNI per capita'!AV70&lt;=Thresholds!$E$45,"UM","H")))</f>
        <v>UM</v>
      </c>
      <c r="AW70" s="42" t="str">
        <f>IF('GNI per capita'!AW70&lt;=Thresholds!$C$46,"L",IF('GNI per capita'!AW70&lt;=Thresholds!$D$46,"LM",IF('GNI per capita'!AW70&lt;=Thresholds!$E$46,"UM","H")))</f>
        <v>UM</v>
      </c>
      <c r="AX70" s="42" t="str">
        <f>IF('GNI per capita'!AX70&lt;=Thresholds!$C$47,"L",IF('GNI per capita'!AX70&lt;=Thresholds!$D$47,"LM",IF('GNI per capita'!AX70&lt;=Thresholds!$E$47,"UM","H")))</f>
        <v>UM</v>
      </c>
      <c r="AY70" s="42" t="str">
        <f>IF('GNI per capita'!AY70&lt;=Thresholds!$C$48,"L",IF('GNI per capita'!AY70&lt;=Thresholds!$D$48,"LM",IF('GNI per capita'!AY70&lt;=Thresholds!$E$48,"UM","H")))</f>
        <v>UM</v>
      </c>
      <c r="AZ70" s="42" t="str">
        <f>IF('GNI per capita'!AZ70&lt;=Thresholds!$C$49,"L",IF('GNI per capita'!AZ70&lt;=Thresholds!$D$49,"LM",IF('GNI per capita'!AZ70&lt;=Thresholds!$E$49,"UM","H")))</f>
        <v>UM</v>
      </c>
      <c r="BA70" s="42" t="str">
        <f>IF('GNI per capita'!BA70&lt;=Thresholds!$C$50,"L",IF('GNI per capita'!BA70&lt;=Thresholds!$D$50,"LM",IF('GNI per capita'!BA70&lt;=Thresholds!$E$50,"UM","H")))</f>
        <v>UM</v>
      </c>
      <c r="BB70" s="42" t="str">
        <f>IF('GNI per capita'!BB70&lt;=Thresholds!$C$51,"L",IF('GNI per capita'!BB70&lt;=Thresholds!$D$51,"LM",IF('GNI per capita'!BB70&lt;=Thresholds!$E$51,"UM","H")))</f>
        <v>UM</v>
      </c>
      <c r="BC70" s="42" t="str">
        <f>IF('GNI per capita'!BC70&lt;=Thresholds!$C$52,"L",IF('GNI per capita'!BC70&lt;=Thresholds!$D$52,"LM",IF('GNI per capita'!BC70&lt;=Thresholds!$E$52,"UM","H")))</f>
        <v>UM</v>
      </c>
      <c r="BD70" s="42" t="str">
        <f>IF('GNI per capita'!BD70&lt;=Thresholds!$C$53,"L",IF('GNI per capita'!BD70&lt;=Thresholds!$D$53,"LM",IF('GNI per capita'!BD70&lt;=Thresholds!$E$53,"UM","H")))</f>
        <v>UM</v>
      </c>
      <c r="BE70" s="42" t="str">
        <f>IF('GNI per capita'!BE70&lt;=Thresholds!$C$54,"L",IF('GNI per capita'!BE70&lt;=Thresholds!$D$54,"LM",IF('GNI per capita'!BE70&lt;=Thresholds!$E$54,"UM","H")))</f>
        <v>UM</v>
      </c>
      <c r="BF70" s="42" t="str">
        <f>IF('GNI per capita'!BF70&lt;=Thresholds!$C$55,"L",IF('GNI per capita'!BF70&lt;=Thresholds!$D$55,"LM",IF('GNI per capita'!BF70&lt;=Thresholds!$E$55,"UM","H")))</f>
        <v>UM</v>
      </c>
      <c r="BG70" s="42" t="str">
        <f>IF('GNI per capita'!BG70&lt;=Thresholds!$C$56,"L",IF('GNI per capita'!BG70&lt;=Thresholds!$D$56,"LM",IF('GNI per capita'!BG70&lt;=Thresholds!$E$56,"UM","H")))</f>
        <v>UM</v>
      </c>
      <c r="BH70" s="42" t="str">
        <f>IF('GNI per capita'!BH70&lt;=Thresholds!$C$57,"L",IF('GNI per capita'!BH70&lt;=Thresholds!$D$57,"LM",IF('GNI per capita'!BH70&lt;=Thresholds!$E$57,"UM","H")))</f>
        <v>UM</v>
      </c>
      <c r="BI70" s="42" t="str">
        <f>IF('GNI per capita'!BI70&lt;=Thresholds!$C$58,"L",IF('GNI per capita'!BI70&lt;=Thresholds!$D$58,"LM",IF('GNI per capita'!BI70&lt;=Thresholds!$E$58,"UM","H")))</f>
        <v>UM</v>
      </c>
      <c r="BJ70" s="42" t="str">
        <f>IF('GNI per capita'!BJ70&lt;=Thresholds!$C$59,"L",IF('GNI per capita'!BJ70&lt;=Thresholds!$D$59,"LM",IF('GNI per capita'!BJ70&lt;=Thresholds!$E$59,"UM","H")))</f>
        <v>UM</v>
      </c>
      <c r="BK70" s="42" t="str">
        <f>IF('GNI per capita'!BK70&lt;=Thresholds!$C$60,"L",IF('GNI per capita'!BK70&lt;=Thresholds!$D$60,"LM",IF('GNI per capita'!BK70&lt;=Thresholds!$E$60,"UM","H")))</f>
        <v>UM</v>
      </c>
      <c r="BL70" s="42" t="str">
        <f>IF('GNI per capita'!BL70&lt;=Thresholds!$C$61,"L",IF('GNI per capita'!BL70&lt;=Thresholds!$D$61,"LM",IF('GNI per capita'!BL70&lt;=Thresholds!$E$61,"UM","H")))</f>
        <v>UM</v>
      </c>
      <c r="BM70" s="42" t="str">
        <f>IF('GNI per capita'!BM70&lt;=Thresholds!$C$62,"L",IF('GNI per capita'!BM70&lt;=Thresholds!$D$62,"LM",IF('GNI per capita'!BM70&lt;=Thresholds!$E$62,"UM","H")))</f>
        <v>UM</v>
      </c>
      <c r="BN70" s="42" t="str">
        <f>IF('GNI per capita'!BN70&lt;=Thresholds!$C$63,"L",IF('GNI per capita'!BN70&lt;=Thresholds!$D$63,"LM",IF('GNI per capita'!BN70&lt;=Thresholds!$E$63,"UM","H")))</f>
        <v>UM</v>
      </c>
      <c r="BO70" s="42" t="str">
        <f>IF('GNI per capita'!BO70&lt;=Thresholds!$C$64,"L",IF('GNI per capita'!BO70&lt;=Thresholds!$D$64,"LM",IF('GNI per capita'!BO70&lt;=Thresholds!$E$64,"UM","H")))</f>
        <v>UM</v>
      </c>
      <c r="BP70" s="42" t="str">
        <f>IF('GNI per capita'!BP70&lt;=Thresholds!$C$65,"L",IF('GNI per capita'!BP70&lt;=Thresholds!$D$65,"LM",IF('GNI per capita'!BP70&lt;=Thresholds!$E$65,"UM","H")))</f>
        <v>UM</v>
      </c>
      <c r="BQ70" s="42" t="str">
        <f>IF('GNI per capita'!BQ70&lt;=Thresholds!$C$66,"L",IF('GNI per capita'!BQ70&lt;=Thresholds!$D$66,"LM",IF('GNI per capita'!BQ70&lt;=Thresholds!$E$66,"UM","H")))</f>
        <v>UM</v>
      </c>
      <c r="BR70" s="42" t="str">
        <f>IF('GNI per capita'!BR70&lt;=Thresholds!$C$67,"L",IF('GNI per capita'!BR70&lt;=Thresholds!$D$67,"LM",IF('GNI per capita'!BR70&lt;=Thresholds!$E$67,"UM","H")))</f>
        <v>UM</v>
      </c>
      <c r="BS70" s="42" t="str">
        <f>IF('GNI per capita'!BS70&lt;=Thresholds!$C$68,"L",IF('GNI per capita'!BS70&lt;=Thresholds!$D$68,"LM",IF('GNI per capita'!BS70&lt;=Thresholds!$E$68,"UM","H")))</f>
        <v>UM</v>
      </c>
    </row>
    <row r="71" spans="1:71" x14ac:dyDescent="0.2">
      <c r="A71" s="2" t="s">
        <v>347</v>
      </c>
      <c r="B71" s="2" t="s">
        <v>348</v>
      </c>
      <c r="C71" s="11" t="s">
        <v>79</v>
      </c>
      <c r="G71" s="2" t="s">
        <v>162</v>
      </c>
      <c r="H71" s="41" t="s">
        <v>79</v>
      </c>
      <c r="I71" s="41" t="s">
        <v>79</v>
      </c>
      <c r="J71" s="41" t="s">
        <v>79</v>
      </c>
      <c r="K71" s="41" t="s">
        <v>79</v>
      </c>
      <c r="L71" s="41" t="s">
        <v>79</v>
      </c>
      <c r="M71" s="41" t="s">
        <v>79</v>
      </c>
      <c r="N71" s="41" t="s">
        <v>79</v>
      </c>
      <c r="O71" s="41" t="s">
        <v>79</v>
      </c>
      <c r="P71" s="41" t="s">
        <v>79</v>
      </c>
      <c r="Q71" s="41" t="s">
        <v>79</v>
      </c>
      <c r="R71" s="41" t="s">
        <v>79</v>
      </c>
      <c r="S71" s="41" t="s">
        <v>79</v>
      </c>
      <c r="T71" s="41" t="s">
        <v>79</v>
      </c>
      <c r="U71" s="41" t="s">
        <v>79</v>
      </c>
      <c r="V71" s="41" t="s">
        <v>79</v>
      </c>
      <c r="W71" s="41" t="s">
        <v>79</v>
      </c>
      <c r="X71" s="41" t="s">
        <v>79</v>
      </c>
      <c r="Y71" s="41" t="s">
        <v>79</v>
      </c>
      <c r="Z71" s="41" t="s">
        <v>79</v>
      </c>
      <c r="AA71" s="41" t="s">
        <v>79</v>
      </c>
      <c r="AB71" s="41" t="s">
        <v>79</v>
      </c>
      <c r="AC71" s="41" t="s">
        <v>79</v>
      </c>
      <c r="AD71" s="41" t="s">
        <v>79</v>
      </c>
      <c r="AE71" s="41" t="s">
        <v>79</v>
      </c>
      <c r="AF71" s="41" t="s">
        <v>79</v>
      </c>
      <c r="AG71" s="41" t="s">
        <v>79</v>
      </c>
      <c r="AH71" s="41" t="s">
        <v>79</v>
      </c>
      <c r="AI71" s="41" t="s">
        <v>79</v>
      </c>
      <c r="AJ71" s="41" t="s">
        <v>79</v>
      </c>
      <c r="AK71" s="41" t="s">
        <v>79</v>
      </c>
      <c r="AL71" s="41" t="s">
        <v>79</v>
      </c>
      <c r="AM71" s="41" t="s">
        <v>79</v>
      </c>
      <c r="AN71" s="41" t="s">
        <v>79</v>
      </c>
      <c r="AO71" s="41" t="s">
        <v>79</v>
      </c>
      <c r="AP71" s="41" t="s">
        <v>79</v>
      </c>
      <c r="AQ71" s="41" t="s">
        <v>79</v>
      </c>
      <c r="AR71" s="41" t="s">
        <v>79</v>
      </c>
      <c r="AS71" s="41" t="s">
        <v>79</v>
      </c>
      <c r="AT71" s="41" t="s">
        <v>79</v>
      </c>
      <c r="AU71" s="42" t="str">
        <f>IF('GNI per capita'!AU71&lt;=Thresholds!$C$44,"L",IF('GNI per capita'!AU71&lt;=Thresholds!$D$44,"LM",IF('GNI per capita'!AU71&lt;=Thresholds!$E$44,"UM","H")))</f>
        <v>H</v>
      </c>
      <c r="AV71" s="42" t="str">
        <f>IF('GNI per capita'!AV71&lt;=Thresholds!$C$45,"L",IF('GNI per capita'!AV71&lt;=Thresholds!$D$45,"LM",IF('GNI per capita'!AV71&lt;=Thresholds!$E$45,"UM","H")))</f>
        <v>H</v>
      </c>
      <c r="AW71" s="42" t="str">
        <f>IF('GNI per capita'!AW71&lt;=Thresholds!$C$46,"L",IF('GNI per capita'!AW71&lt;=Thresholds!$D$46,"LM",IF('GNI per capita'!AW71&lt;=Thresholds!$E$46,"UM","H")))</f>
        <v>H</v>
      </c>
      <c r="AX71" s="42" t="str">
        <f>IF('GNI per capita'!AX71&lt;=Thresholds!$C$47,"L",IF('GNI per capita'!AX71&lt;=Thresholds!$D$47,"LM",IF('GNI per capita'!AX71&lt;=Thresholds!$E$47,"UM","H")))</f>
        <v>H</v>
      </c>
      <c r="AY71" s="42" t="str">
        <f>IF('GNI per capita'!AY71&lt;=Thresholds!$C$48,"L",IF('GNI per capita'!AY71&lt;=Thresholds!$D$48,"LM",IF('GNI per capita'!AY71&lt;=Thresholds!$E$48,"UM","H")))</f>
        <v>H</v>
      </c>
      <c r="AZ71" s="42" t="str">
        <f>IF('GNI per capita'!AZ71&lt;=Thresholds!$C$49,"L",IF('GNI per capita'!AZ71&lt;=Thresholds!$D$49,"LM",IF('GNI per capita'!AZ71&lt;=Thresholds!$E$49,"UM","H")))</f>
        <v>H</v>
      </c>
      <c r="BA71" s="42" t="str">
        <f>IF('GNI per capita'!BA71&lt;=Thresholds!$C$50,"L",IF('GNI per capita'!BA71&lt;=Thresholds!$D$50,"LM",IF('GNI per capita'!BA71&lt;=Thresholds!$E$50,"UM","H")))</f>
        <v>H</v>
      </c>
      <c r="BB71" s="42" t="str">
        <f>IF('GNI per capita'!BB71&lt;=Thresholds!$C$51,"L",IF('GNI per capita'!BB71&lt;=Thresholds!$D$51,"LM",IF('GNI per capita'!BB71&lt;=Thresholds!$E$51,"UM","H")))</f>
        <v>H</v>
      </c>
      <c r="BC71" s="42" t="str">
        <f>IF('GNI per capita'!BC71&lt;=Thresholds!$C$52,"L",IF('GNI per capita'!BC71&lt;=Thresholds!$D$52,"LM",IF('GNI per capita'!BC71&lt;=Thresholds!$E$52,"UM","H")))</f>
        <v>H</v>
      </c>
      <c r="BD71" s="42" t="str">
        <f>IF('GNI per capita'!BD71&lt;=Thresholds!$C$53,"L",IF('GNI per capita'!BD71&lt;=Thresholds!$D$53,"LM",IF('GNI per capita'!BD71&lt;=Thresholds!$E$53,"UM","H")))</f>
        <v>H</v>
      </c>
      <c r="BE71" s="42" t="str">
        <f>IF('GNI per capita'!BE71&lt;=Thresholds!$C$54,"L",IF('GNI per capita'!BE71&lt;=Thresholds!$D$54,"LM",IF('GNI per capita'!BE71&lt;=Thresholds!$E$54,"UM","H")))</f>
        <v>H</v>
      </c>
      <c r="BF71" s="42" t="str">
        <f>IF('GNI per capita'!BF71&lt;=Thresholds!$C$55,"L",IF('GNI per capita'!BF71&lt;=Thresholds!$D$55,"LM",IF('GNI per capita'!BF71&lt;=Thresholds!$E$55,"UM","H")))</f>
        <v>H</v>
      </c>
      <c r="BG71" s="42" t="str">
        <f>IF('GNI per capita'!BG71&lt;=Thresholds!$C$56,"L",IF('GNI per capita'!BG71&lt;=Thresholds!$D$56,"LM",IF('GNI per capita'!BG71&lt;=Thresholds!$E$56,"UM","H")))</f>
        <v>H</v>
      </c>
      <c r="BH71" s="42" t="str">
        <f>IF('GNI per capita'!BH71&lt;=Thresholds!$C$57,"L",IF('GNI per capita'!BH71&lt;=Thresholds!$D$57,"LM",IF('GNI per capita'!BH71&lt;=Thresholds!$E$57,"UM","H")))</f>
        <v>H</v>
      </c>
      <c r="BI71" s="42" t="str">
        <f>IF('GNI per capita'!BI71&lt;=Thresholds!$C$58,"L",IF('GNI per capita'!BI71&lt;=Thresholds!$D$58,"LM",IF('GNI per capita'!BI71&lt;=Thresholds!$E$58,"UM","H")))</f>
        <v>H</v>
      </c>
      <c r="BJ71" s="42" t="str">
        <f>IF('GNI per capita'!BJ71&lt;=Thresholds!$C$59,"L",IF('GNI per capita'!BJ71&lt;=Thresholds!$D$59,"LM",IF('GNI per capita'!BJ71&lt;=Thresholds!$E$59,"UM","H")))</f>
        <v>H</v>
      </c>
      <c r="BK71" s="42" t="str">
        <f>IF('GNI per capita'!BK71&lt;=Thresholds!$C$60,"L",IF('GNI per capita'!BK71&lt;=Thresholds!$D$60,"LM",IF('GNI per capita'!BK71&lt;=Thresholds!$E$60,"UM","H")))</f>
        <v>H</v>
      </c>
      <c r="BL71" s="42" t="str">
        <f>IF('GNI per capita'!BL71&lt;=Thresholds!$C$61,"L",IF('GNI per capita'!BL71&lt;=Thresholds!$D$61,"LM",IF('GNI per capita'!BL71&lt;=Thresholds!$E$61,"UM","H")))</f>
        <v>H</v>
      </c>
      <c r="BM71" s="42" t="str">
        <f>IF('GNI per capita'!BM71&lt;=Thresholds!$C$62,"L",IF('GNI per capita'!BM71&lt;=Thresholds!$D$62,"LM",IF('GNI per capita'!BM71&lt;=Thresholds!$E$62,"UM","H")))</f>
        <v>H</v>
      </c>
      <c r="BN71" s="42" t="str">
        <f>IF('GNI per capita'!BN71&lt;=Thresholds!$C$63,"L",IF('GNI per capita'!BN71&lt;=Thresholds!$D$63,"LM",IF('GNI per capita'!BN71&lt;=Thresholds!$E$63,"UM","H")))</f>
        <v>H</v>
      </c>
      <c r="BO71" s="42" t="str">
        <f>IF('GNI per capita'!BO71&lt;=Thresholds!$C$64,"L",IF('GNI per capita'!BO71&lt;=Thresholds!$D$64,"LM",IF('GNI per capita'!BO71&lt;=Thresholds!$E$64,"UM","H")))</f>
        <v>H</v>
      </c>
      <c r="BP71" s="42" t="str">
        <f>IF('GNI per capita'!BP71&lt;=Thresholds!$C$65,"L",IF('GNI per capita'!BP71&lt;=Thresholds!$D$65,"LM",IF('GNI per capita'!BP71&lt;=Thresholds!$E$65,"UM","H")))</f>
        <v>H</v>
      </c>
      <c r="BQ71" s="42" t="str">
        <f>IF('GNI per capita'!BQ71&lt;=Thresholds!$C$66,"L",IF('GNI per capita'!BQ71&lt;=Thresholds!$D$66,"LM",IF('GNI per capita'!BQ71&lt;=Thresholds!$E$66,"UM","H")))</f>
        <v>H</v>
      </c>
      <c r="BR71" s="42" t="str">
        <f>IF('GNI per capita'!BR71&lt;=Thresholds!$C$67,"L",IF('GNI per capita'!BR71&lt;=Thresholds!$D$67,"LM",IF('GNI per capita'!BR71&lt;=Thresholds!$E$67,"UM","H")))</f>
        <v>H</v>
      </c>
      <c r="BS71" s="42" t="str">
        <f>IF('GNI per capita'!BS71&lt;=Thresholds!$C$68,"L",IF('GNI per capita'!BS71&lt;=Thresholds!$D$68,"LM",IF('GNI per capita'!BS71&lt;=Thresholds!$E$68,"UM","H")))</f>
        <v>H</v>
      </c>
    </row>
    <row r="72" spans="1:71" x14ac:dyDescent="0.2">
      <c r="A72" s="2" t="s">
        <v>349</v>
      </c>
      <c r="B72" s="2" t="s">
        <v>350</v>
      </c>
      <c r="C72" s="11" t="s">
        <v>79</v>
      </c>
      <c r="G72" s="2" t="s">
        <v>162</v>
      </c>
      <c r="H72" s="41" t="s">
        <v>79</v>
      </c>
      <c r="I72" s="41" t="s">
        <v>79</v>
      </c>
      <c r="J72" s="41" t="s">
        <v>79</v>
      </c>
      <c r="K72" s="41" t="s">
        <v>79</v>
      </c>
      <c r="L72" s="41" t="s">
        <v>79</v>
      </c>
      <c r="M72" s="41" t="s">
        <v>79</v>
      </c>
      <c r="N72" s="41" t="s">
        <v>79</v>
      </c>
      <c r="O72" s="41" t="s">
        <v>79</v>
      </c>
      <c r="P72" s="41" t="s">
        <v>79</v>
      </c>
      <c r="Q72" s="41" t="s">
        <v>79</v>
      </c>
      <c r="R72" s="41" t="s">
        <v>79</v>
      </c>
      <c r="S72" s="41" t="s">
        <v>79</v>
      </c>
      <c r="T72" s="41" t="s">
        <v>79</v>
      </c>
      <c r="U72" s="41" t="s">
        <v>79</v>
      </c>
      <c r="V72" s="41" t="s">
        <v>79</v>
      </c>
      <c r="W72" s="41" t="s">
        <v>79</v>
      </c>
      <c r="X72" s="41" t="s">
        <v>79</v>
      </c>
      <c r="Y72" s="41" t="s">
        <v>79</v>
      </c>
      <c r="Z72" s="41" t="s">
        <v>79</v>
      </c>
      <c r="AA72" s="41" t="s">
        <v>79</v>
      </c>
      <c r="AB72" s="41" t="s">
        <v>79</v>
      </c>
      <c r="AC72" s="41" t="s">
        <v>79</v>
      </c>
      <c r="AD72" s="41" t="s">
        <v>79</v>
      </c>
      <c r="AE72" s="41" t="s">
        <v>79</v>
      </c>
      <c r="AF72" s="41" t="s">
        <v>79</v>
      </c>
      <c r="AG72" s="41" t="s">
        <v>79</v>
      </c>
      <c r="AH72" s="41" t="s">
        <v>79</v>
      </c>
      <c r="AI72" s="41" t="s">
        <v>79</v>
      </c>
      <c r="AJ72" s="41" t="s">
        <v>79</v>
      </c>
      <c r="AK72" s="41" t="s">
        <v>79</v>
      </c>
      <c r="AL72" s="41" t="s">
        <v>79</v>
      </c>
      <c r="AM72" s="41" t="s">
        <v>79</v>
      </c>
      <c r="AN72" s="41" t="s">
        <v>79</v>
      </c>
      <c r="AO72" s="41" t="s">
        <v>79</v>
      </c>
      <c r="AP72" s="41" t="s">
        <v>79</v>
      </c>
      <c r="AQ72" s="41" t="s">
        <v>79</v>
      </c>
      <c r="AR72" s="41" t="s">
        <v>79</v>
      </c>
      <c r="AS72" s="41" t="s">
        <v>79</v>
      </c>
      <c r="AT72" s="41" t="s">
        <v>79</v>
      </c>
      <c r="AU72" s="42" t="str">
        <f>IF('GNI per capita'!AU72&lt;=Thresholds!$C$44,"L",IF('GNI per capita'!AU72&lt;=Thresholds!$D$44,"LM",IF('GNI per capita'!AU72&lt;=Thresholds!$E$44,"UM","H")))</f>
        <v>H</v>
      </c>
      <c r="AV72" s="42" t="str">
        <f>IF('GNI per capita'!AV72&lt;=Thresholds!$C$45,"L",IF('GNI per capita'!AV72&lt;=Thresholds!$D$45,"LM",IF('GNI per capita'!AV72&lt;=Thresholds!$E$45,"UM","H")))</f>
        <v>H</v>
      </c>
      <c r="AW72" s="42" t="str">
        <f>IF('GNI per capita'!AW72&lt;=Thresholds!$C$46,"L",IF('GNI per capita'!AW72&lt;=Thresholds!$D$46,"LM",IF('GNI per capita'!AW72&lt;=Thresholds!$E$46,"UM","H")))</f>
        <v>H</v>
      </c>
      <c r="AX72" s="42" t="str">
        <f>IF('GNI per capita'!AX72&lt;=Thresholds!$C$47,"L",IF('GNI per capita'!AX72&lt;=Thresholds!$D$47,"LM",IF('GNI per capita'!AX72&lt;=Thresholds!$E$47,"UM","H")))</f>
        <v>H</v>
      </c>
      <c r="AY72" s="42" t="str">
        <f>IF('GNI per capita'!AY72&lt;=Thresholds!$C$48,"L",IF('GNI per capita'!AY72&lt;=Thresholds!$D$48,"LM",IF('GNI per capita'!AY72&lt;=Thresholds!$E$48,"UM","H")))</f>
        <v>H</v>
      </c>
      <c r="AZ72" s="42" t="str">
        <f>IF('GNI per capita'!AZ72&lt;=Thresholds!$C$49,"L",IF('GNI per capita'!AZ72&lt;=Thresholds!$D$49,"LM",IF('GNI per capita'!AZ72&lt;=Thresholds!$E$49,"UM","H")))</f>
        <v>H</v>
      </c>
      <c r="BA72" s="42" t="str">
        <f>IF('GNI per capita'!BA72&lt;=Thresholds!$C$50,"L",IF('GNI per capita'!BA72&lt;=Thresholds!$D$50,"LM",IF('GNI per capita'!BA72&lt;=Thresholds!$E$50,"UM","H")))</f>
        <v>H</v>
      </c>
      <c r="BB72" s="42" t="str">
        <f>IF('GNI per capita'!BB72&lt;=Thresholds!$C$51,"L",IF('GNI per capita'!BB72&lt;=Thresholds!$D$51,"LM",IF('GNI per capita'!BB72&lt;=Thresholds!$E$51,"UM","H")))</f>
        <v>H</v>
      </c>
      <c r="BC72" s="42" t="str">
        <f>IF('GNI per capita'!BC72&lt;=Thresholds!$C$52,"L",IF('GNI per capita'!BC72&lt;=Thresholds!$D$52,"LM",IF('GNI per capita'!BC72&lt;=Thresholds!$E$52,"UM","H")))</f>
        <v>H</v>
      </c>
      <c r="BD72" s="42" t="str">
        <f>IF('GNI per capita'!BD72&lt;=Thresholds!$C$53,"L",IF('GNI per capita'!BD72&lt;=Thresholds!$D$53,"LM",IF('GNI per capita'!BD72&lt;=Thresholds!$E$53,"UM","H")))</f>
        <v>H</v>
      </c>
      <c r="BE72" s="42" t="str">
        <f>IF('GNI per capita'!BE72&lt;=Thresholds!$C$54,"L",IF('GNI per capita'!BE72&lt;=Thresholds!$D$54,"LM",IF('GNI per capita'!BE72&lt;=Thresholds!$E$54,"UM","H")))</f>
        <v>H</v>
      </c>
      <c r="BF72" s="42" t="str">
        <f>IF('GNI per capita'!BF72&lt;=Thresholds!$C$55,"L",IF('GNI per capita'!BF72&lt;=Thresholds!$D$55,"LM",IF('GNI per capita'!BF72&lt;=Thresholds!$E$55,"UM","H")))</f>
        <v>H</v>
      </c>
      <c r="BG72" s="42" t="str">
        <f>IF('GNI per capita'!BG72&lt;=Thresholds!$C$56,"L",IF('GNI per capita'!BG72&lt;=Thresholds!$D$56,"LM",IF('GNI per capita'!BG72&lt;=Thresholds!$E$56,"UM","H")))</f>
        <v>H</v>
      </c>
      <c r="BH72" s="42" t="str">
        <f>IF('GNI per capita'!BH72&lt;=Thresholds!$C$57,"L",IF('GNI per capita'!BH72&lt;=Thresholds!$D$57,"LM",IF('GNI per capita'!BH72&lt;=Thresholds!$E$57,"UM","H")))</f>
        <v>H</v>
      </c>
      <c r="BI72" s="42" t="str">
        <f>IF('GNI per capita'!BI72&lt;=Thresholds!$C$58,"L",IF('GNI per capita'!BI72&lt;=Thresholds!$D$58,"LM",IF('GNI per capita'!BI72&lt;=Thresholds!$E$58,"UM","H")))</f>
        <v>H</v>
      </c>
      <c r="BJ72" s="42" t="str">
        <f>IF('GNI per capita'!BJ72&lt;=Thresholds!$C$59,"L",IF('GNI per capita'!BJ72&lt;=Thresholds!$D$59,"LM",IF('GNI per capita'!BJ72&lt;=Thresholds!$E$59,"UM","H")))</f>
        <v>H</v>
      </c>
      <c r="BK72" s="42" t="str">
        <f>IF('GNI per capita'!BK72&lt;=Thresholds!$C$60,"L",IF('GNI per capita'!BK72&lt;=Thresholds!$D$60,"LM",IF('GNI per capita'!BK72&lt;=Thresholds!$E$60,"UM","H")))</f>
        <v>H</v>
      </c>
      <c r="BL72" s="42" t="str">
        <f>IF('GNI per capita'!BL72&lt;=Thresholds!$C$61,"L",IF('GNI per capita'!BL72&lt;=Thresholds!$D$61,"LM",IF('GNI per capita'!BL72&lt;=Thresholds!$E$61,"UM","H")))</f>
        <v>H</v>
      </c>
      <c r="BM72" s="42" t="str">
        <f>IF('GNI per capita'!BM72&lt;=Thresholds!$C$62,"L",IF('GNI per capita'!BM72&lt;=Thresholds!$D$62,"LM",IF('GNI per capita'!BM72&lt;=Thresholds!$E$62,"UM","H")))</f>
        <v>H</v>
      </c>
      <c r="BN72" s="42" t="str">
        <f>IF('GNI per capita'!BN72&lt;=Thresholds!$C$63,"L",IF('GNI per capita'!BN72&lt;=Thresholds!$D$63,"LM",IF('GNI per capita'!BN72&lt;=Thresholds!$E$63,"UM","H")))</f>
        <v>H</v>
      </c>
      <c r="BO72" s="42" t="str">
        <f>IF('GNI per capita'!BO72&lt;=Thresholds!$C$64,"L",IF('GNI per capita'!BO72&lt;=Thresholds!$D$64,"LM",IF('GNI per capita'!BO72&lt;=Thresholds!$E$64,"UM","H")))</f>
        <v>H</v>
      </c>
      <c r="BP72" s="42" t="str">
        <f>IF('GNI per capita'!BP72&lt;=Thresholds!$C$65,"L",IF('GNI per capita'!BP72&lt;=Thresholds!$D$65,"LM",IF('GNI per capita'!BP72&lt;=Thresholds!$E$65,"UM","H")))</f>
        <v>H</v>
      </c>
      <c r="BQ72" s="42" t="str">
        <f>IF('GNI per capita'!BQ72&lt;=Thresholds!$C$66,"L",IF('GNI per capita'!BQ72&lt;=Thresholds!$D$66,"LM",IF('GNI per capita'!BQ72&lt;=Thresholds!$E$66,"UM","H")))</f>
        <v>H</v>
      </c>
      <c r="BR72" s="42" t="str">
        <f>IF('GNI per capita'!BR72&lt;=Thresholds!$C$67,"L",IF('GNI per capita'!BR72&lt;=Thresholds!$D$67,"LM",IF('GNI per capita'!BR72&lt;=Thresholds!$E$67,"UM","H")))</f>
        <v>H</v>
      </c>
      <c r="BS72" s="42" t="str">
        <f>IF('GNI per capita'!BS72&lt;=Thresholds!$C$68,"L",IF('GNI per capita'!BS72&lt;=Thresholds!$D$68,"LM",IF('GNI per capita'!BS72&lt;=Thresholds!$E$68,"UM","H")))</f>
        <v>H</v>
      </c>
    </row>
    <row r="73" spans="1:71" x14ac:dyDescent="0.2">
      <c r="A73" s="2" t="s">
        <v>351</v>
      </c>
      <c r="B73" s="2" t="s">
        <v>352</v>
      </c>
      <c r="C73" s="11" t="s">
        <v>79</v>
      </c>
      <c r="G73" s="2" t="s">
        <v>344</v>
      </c>
      <c r="H73" s="41"/>
      <c r="I73" s="41"/>
      <c r="J73" s="41"/>
      <c r="K73" s="41" t="s">
        <v>79</v>
      </c>
      <c r="L73" s="41" t="s">
        <v>79</v>
      </c>
      <c r="M73" s="41" t="s">
        <v>79</v>
      </c>
      <c r="N73" s="41" t="s">
        <v>79</v>
      </c>
      <c r="O73" s="41" t="s">
        <v>79</v>
      </c>
      <c r="P73" s="41" t="s">
        <v>79</v>
      </c>
      <c r="Q73" s="41" t="s">
        <v>79</v>
      </c>
      <c r="R73" s="41" t="s">
        <v>79</v>
      </c>
      <c r="S73" s="41" t="s">
        <v>79</v>
      </c>
      <c r="T73" s="41" t="s">
        <v>79</v>
      </c>
      <c r="U73" s="41" t="s">
        <v>79</v>
      </c>
      <c r="V73" s="41" t="s">
        <v>79</v>
      </c>
      <c r="W73" s="41" t="s">
        <v>79</v>
      </c>
      <c r="X73" s="41" t="s">
        <v>79</v>
      </c>
      <c r="Y73" s="41" t="s">
        <v>79</v>
      </c>
      <c r="Z73" s="41" t="s">
        <v>79</v>
      </c>
      <c r="AA73" s="41" t="s">
        <v>79</v>
      </c>
      <c r="AB73" s="41" t="s">
        <v>79</v>
      </c>
      <c r="AC73" s="41" t="s">
        <v>79</v>
      </c>
      <c r="AD73" s="41" t="s">
        <v>79</v>
      </c>
      <c r="AE73" s="41" t="s">
        <v>79</v>
      </c>
      <c r="AF73" s="41" t="s">
        <v>79</v>
      </c>
      <c r="AG73" s="41" t="s">
        <v>79</v>
      </c>
      <c r="AH73" s="41" t="s">
        <v>79</v>
      </c>
      <c r="AI73" s="41" t="s">
        <v>79</v>
      </c>
      <c r="AJ73" s="41" t="s">
        <v>79</v>
      </c>
      <c r="AK73" s="41" t="s">
        <v>79</v>
      </c>
      <c r="AL73" s="41" t="s">
        <v>79</v>
      </c>
      <c r="AM73" s="41" t="s">
        <v>79</v>
      </c>
      <c r="AN73" s="41" t="s">
        <v>79</v>
      </c>
      <c r="AO73" s="41" t="s">
        <v>79</v>
      </c>
      <c r="AP73" s="41" t="s">
        <v>79</v>
      </c>
      <c r="AQ73" s="41" t="s">
        <v>79</v>
      </c>
      <c r="AR73" s="41" t="s">
        <v>79</v>
      </c>
      <c r="AS73" s="41" t="s">
        <v>79</v>
      </c>
      <c r="AT73" s="41" t="s">
        <v>79</v>
      </c>
      <c r="AU73" s="42" t="str">
        <f>IF('GNI per capita'!AU73&lt;=Thresholds!$C$44,"L",IF('GNI per capita'!AU73&lt;=Thresholds!$D$44,"LM",IF('GNI per capita'!AU73&lt;=Thresholds!$E$44,"UM","H")))</f>
        <v>H</v>
      </c>
      <c r="AV73" s="42" t="str">
        <f>IF('GNI per capita'!AV73&lt;=Thresholds!$C$45,"L",IF('GNI per capita'!AV73&lt;=Thresholds!$D$45,"LM",IF('GNI per capita'!AV73&lt;=Thresholds!$E$45,"UM","H")))</f>
        <v>H</v>
      </c>
      <c r="AW73" s="42" t="str">
        <f>IF('GNI per capita'!AW73&lt;=Thresholds!$C$46,"L",IF('GNI per capita'!AW73&lt;=Thresholds!$D$46,"LM",IF('GNI per capita'!AW73&lt;=Thresholds!$E$46,"UM","H")))</f>
        <v>H</v>
      </c>
      <c r="AX73" s="42" t="str">
        <f>IF('GNI per capita'!AX73&lt;=Thresholds!$C$47,"L",IF('GNI per capita'!AX73&lt;=Thresholds!$D$47,"LM",IF('GNI per capita'!AX73&lt;=Thresholds!$E$47,"UM","H")))</f>
        <v>H</v>
      </c>
      <c r="AY73" s="42" t="str">
        <f>IF('GNI per capita'!AY73&lt;=Thresholds!$C$48,"L",IF('GNI per capita'!AY73&lt;=Thresholds!$D$48,"LM",IF('GNI per capita'!AY73&lt;=Thresholds!$E$48,"UM","H")))</f>
        <v>H</v>
      </c>
      <c r="AZ73" s="42" t="str">
        <f>IF('GNI per capita'!AZ73&lt;=Thresholds!$C$49,"L",IF('GNI per capita'!AZ73&lt;=Thresholds!$D$49,"LM",IF('GNI per capita'!AZ73&lt;=Thresholds!$E$49,"UM","H")))</f>
        <v>H</v>
      </c>
      <c r="BA73" s="42" t="str">
        <f>IF('GNI per capita'!BA73&lt;=Thresholds!$C$50,"L",IF('GNI per capita'!BA73&lt;=Thresholds!$D$50,"LM",IF('GNI per capita'!BA73&lt;=Thresholds!$E$50,"UM","H")))</f>
        <v>H</v>
      </c>
      <c r="BB73" s="42" t="str">
        <f>IF('GNI per capita'!BB73&lt;=Thresholds!$C$51,"L",IF('GNI per capita'!BB73&lt;=Thresholds!$D$51,"LM",IF('GNI per capita'!BB73&lt;=Thresholds!$E$51,"UM","H")))</f>
        <v>H</v>
      </c>
      <c r="BC73" s="42" t="str">
        <f>IF('GNI per capita'!BC73&lt;=Thresholds!$C$52,"L",IF('GNI per capita'!BC73&lt;=Thresholds!$D$52,"LM",IF('GNI per capita'!BC73&lt;=Thresholds!$E$52,"UM","H")))</f>
        <v>H</v>
      </c>
      <c r="BD73" s="42" t="str">
        <f>IF('GNI per capita'!BD73&lt;=Thresholds!$C$53,"L",IF('GNI per capita'!BD73&lt;=Thresholds!$D$53,"LM",IF('GNI per capita'!BD73&lt;=Thresholds!$E$53,"UM","H")))</f>
        <v>H</v>
      </c>
      <c r="BE73" s="42" t="str">
        <f>IF('GNI per capita'!BE73&lt;=Thresholds!$C$54,"L",IF('GNI per capita'!BE73&lt;=Thresholds!$D$54,"LM",IF('GNI per capita'!BE73&lt;=Thresholds!$E$54,"UM","H")))</f>
        <v>H</v>
      </c>
      <c r="BF73" s="42" t="str">
        <f>IF('GNI per capita'!BF73&lt;=Thresholds!$C$55,"L",IF('GNI per capita'!BF73&lt;=Thresholds!$D$55,"LM",IF('GNI per capita'!BF73&lt;=Thresholds!$E$55,"UM","H")))</f>
        <v>H</v>
      </c>
      <c r="BG73" s="42" t="str">
        <f>IF('GNI per capita'!BG73&lt;=Thresholds!$C$56,"L",IF('GNI per capita'!BG73&lt;=Thresholds!$D$56,"LM",IF('GNI per capita'!BG73&lt;=Thresholds!$E$56,"UM","H")))</f>
        <v>H</v>
      </c>
      <c r="BH73" s="42" t="str">
        <f>IF('GNI per capita'!BH73&lt;=Thresholds!$C$57,"L",IF('GNI per capita'!BH73&lt;=Thresholds!$D$57,"LM",IF('GNI per capita'!BH73&lt;=Thresholds!$E$57,"UM","H")))</f>
        <v>H</v>
      </c>
      <c r="BI73" s="42" t="str">
        <f>IF('GNI per capita'!BI73&lt;=Thresholds!$C$58,"L",IF('GNI per capita'!BI73&lt;=Thresholds!$D$58,"LM",IF('GNI per capita'!BI73&lt;=Thresholds!$E$58,"UM","H")))</f>
        <v>H</v>
      </c>
      <c r="BJ73" s="42" t="str">
        <f>IF('GNI per capita'!BJ73&lt;=Thresholds!$C$59,"L",IF('GNI per capita'!BJ73&lt;=Thresholds!$D$59,"LM",IF('GNI per capita'!BJ73&lt;=Thresholds!$E$59,"UM","H")))</f>
        <v>H</v>
      </c>
      <c r="BK73" s="42" t="str">
        <f>IF('GNI per capita'!BK73&lt;=Thresholds!$C$60,"L",IF('GNI per capita'!BK73&lt;=Thresholds!$D$60,"LM",IF('GNI per capita'!BK73&lt;=Thresholds!$E$60,"UM","H")))</f>
        <v>H</v>
      </c>
      <c r="BL73" s="42" t="str">
        <f>IF('GNI per capita'!BL73&lt;=Thresholds!$C$61,"L",IF('GNI per capita'!BL73&lt;=Thresholds!$D$61,"LM",IF('GNI per capita'!BL73&lt;=Thresholds!$E$61,"UM","H")))</f>
        <v>H</v>
      </c>
      <c r="BM73" s="42" t="str">
        <f>IF('GNI per capita'!BM73&lt;=Thresholds!$C$62,"L",IF('GNI per capita'!BM73&lt;=Thresholds!$D$62,"LM",IF('GNI per capita'!BM73&lt;=Thresholds!$E$62,"UM","H")))</f>
        <v>H</v>
      </c>
      <c r="BN73" s="42" t="str">
        <f>IF('GNI per capita'!BN73&lt;=Thresholds!$C$63,"L",IF('GNI per capita'!BN73&lt;=Thresholds!$D$63,"LM",IF('GNI per capita'!BN73&lt;=Thresholds!$E$63,"UM","H")))</f>
        <v>H</v>
      </c>
      <c r="BO73" s="42" t="str">
        <f>IF('GNI per capita'!BO73&lt;=Thresholds!$C$64,"L",IF('GNI per capita'!BO73&lt;=Thresholds!$D$64,"LM",IF('GNI per capita'!BO73&lt;=Thresholds!$E$64,"UM","H")))</f>
        <v>H</v>
      </c>
      <c r="BP73" s="42" t="str">
        <f>IF('GNI per capita'!BP73&lt;=Thresholds!$C$65,"L",IF('GNI per capita'!BP73&lt;=Thresholds!$D$65,"LM",IF('GNI per capita'!BP73&lt;=Thresholds!$E$65,"UM","H")))</f>
        <v>H</v>
      </c>
      <c r="BQ73" s="42" t="str">
        <f>IF('GNI per capita'!BQ73&lt;=Thresholds!$C$66,"L",IF('GNI per capita'!BQ73&lt;=Thresholds!$D$66,"LM",IF('GNI per capita'!BQ73&lt;=Thresholds!$E$66,"UM","H")))</f>
        <v>H</v>
      </c>
      <c r="BR73" s="42" t="str">
        <f>IF('GNI per capita'!BR73&lt;=Thresholds!$C$67,"L",IF('GNI per capita'!BR73&lt;=Thresholds!$D$67,"LM",IF('GNI per capita'!BR73&lt;=Thresholds!$E$67,"UM","H")))</f>
        <v>H</v>
      </c>
      <c r="BS73" s="42" t="str">
        <f>IF('GNI per capita'!BS73&lt;=Thresholds!$C$68,"L",IF('GNI per capita'!BS73&lt;=Thresholds!$D$68,"LM",IF('GNI per capita'!BS73&lt;=Thresholds!$E$68,"UM","H")))</f>
        <v>H</v>
      </c>
    </row>
    <row r="74" spans="1:71" x14ac:dyDescent="0.2">
      <c r="A74" s="2" t="s">
        <v>353</v>
      </c>
      <c r="B74" s="2" t="s">
        <v>354</v>
      </c>
      <c r="C74" s="11" t="s">
        <v>82</v>
      </c>
      <c r="G74" s="2" t="s">
        <v>162</v>
      </c>
      <c r="H74" s="41" t="s">
        <v>82</v>
      </c>
      <c r="I74" s="41" t="s">
        <v>82</v>
      </c>
      <c r="J74" s="41" t="s">
        <v>82</v>
      </c>
      <c r="K74" s="41" t="s">
        <v>82</v>
      </c>
      <c r="L74" s="41" t="s">
        <v>82</v>
      </c>
      <c r="M74" s="41" t="s">
        <v>82</v>
      </c>
      <c r="N74" s="41" t="s">
        <v>82</v>
      </c>
      <c r="O74" s="41" t="s">
        <v>82</v>
      </c>
      <c r="P74" s="41" t="s">
        <v>82</v>
      </c>
      <c r="Q74" s="41" t="s">
        <v>82</v>
      </c>
      <c r="R74" s="41" t="s">
        <v>82</v>
      </c>
      <c r="S74" s="41" t="s">
        <v>82</v>
      </c>
      <c r="T74" s="41" t="s">
        <v>82</v>
      </c>
      <c r="U74" s="41" t="s">
        <v>82</v>
      </c>
      <c r="V74" s="41" t="s">
        <v>82</v>
      </c>
      <c r="W74" s="41" t="s">
        <v>82</v>
      </c>
      <c r="X74" s="41" t="s">
        <v>82</v>
      </c>
      <c r="Y74" s="41" t="s">
        <v>82</v>
      </c>
      <c r="Z74" s="41" t="s">
        <v>82</v>
      </c>
      <c r="AA74" s="41" t="s">
        <v>82</v>
      </c>
      <c r="AB74" s="41" t="s">
        <v>82</v>
      </c>
      <c r="AC74" s="41" t="s">
        <v>82</v>
      </c>
      <c r="AD74" s="41" t="s">
        <v>82</v>
      </c>
      <c r="AE74" s="41" t="s">
        <v>82</v>
      </c>
      <c r="AF74" s="41" t="s">
        <v>82</v>
      </c>
      <c r="AG74" s="41" t="s">
        <v>82</v>
      </c>
      <c r="AH74" s="41" t="s">
        <v>82</v>
      </c>
      <c r="AI74" s="41" t="s">
        <v>82</v>
      </c>
      <c r="AJ74" s="41" t="s">
        <v>82</v>
      </c>
      <c r="AK74" s="41" t="s">
        <v>82</v>
      </c>
      <c r="AL74" s="41" t="s">
        <v>82</v>
      </c>
      <c r="AM74" s="41" t="s">
        <v>82</v>
      </c>
      <c r="AN74" s="41" t="s">
        <v>82</v>
      </c>
      <c r="AO74" s="41" t="s">
        <v>82</v>
      </c>
      <c r="AP74" s="41" t="s">
        <v>82</v>
      </c>
      <c r="AQ74" s="41" t="s">
        <v>82</v>
      </c>
      <c r="AR74" s="41" t="s">
        <v>82</v>
      </c>
      <c r="AS74" s="41" t="s">
        <v>82</v>
      </c>
      <c r="AT74" s="41" t="s">
        <v>82</v>
      </c>
      <c r="AU74" s="42" t="str">
        <f>IF('GNI per capita'!AU74&lt;=Thresholds!$C$44,"L",IF('GNI per capita'!AU74&lt;=Thresholds!$D$44,"LM",IF('GNI per capita'!AU74&lt;=Thresholds!$E$44,"UM","H")))</f>
        <v>UM</v>
      </c>
      <c r="AV74" s="42" t="str">
        <f>IF('GNI per capita'!AV74&lt;=Thresholds!$C$45,"L",IF('GNI per capita'!AV74&lt;=Thresholds!$D$45,"LM",IF('GNI per capita'!AV74&lt;=Thresholds!$E$45,"UM","H")))</f>
        <v>UM</v>
      </c>
      <c r="AW74" s="42" t="str">
        <f>IF('GNI per capita'!AW74&lt;=Thresholds!$C$46,"L",IF('GNI per capita'!AW74&lt;=Thresholds!$D$46,"LM",IF('GNI per capita'!AW74&lt;=Thresholds!$E$46,"UM","H")))</f>
        <v>UM</v>
      </c>
      <c r="AX74" s="42" t="str">
        <f>IF('GNI per capita'!AX74&lt;=Thresholds!$C$47,"L",IF('GNI per capita'!AX74&lt;=Thresholds!$D$47,"LM",IF('GNI per capita'!AX74&lt;=Thresholds!$E$47,"UM","H")))</f>
        <v>UM</v>
      </c>
      <c r="AY74" s="42" t="str">
        <f>IF('GNI per capita'!AY74&lt;=Thresholds!$C$48,"L",IF('GNI per capita'!AY74&lt;=Thresholds!$D$48,"LM",IF('GNI per capita'!AY74&lt;=Thresholds!$E$48,"UM","H")))</f>
        <v>UM</v>
      </c>
      <c r="AZ74" s="42" t="str">
        <f>IF('GNI per capita'!AZ74&lt;=Thresholds!$C$49,"L",IF('GNI per capita'!AZ74&lt;=Thresholds!$D$49,"LM",IF('GNI per capita'!AZ74&lt;=Thresholds!$E$49,"UM","H")))</f>
        <v>UM</v>
      </c>
      <c r="BA74" s="42" t="str">
        <f>IF('GNI per capita'!BA74&lt;=Thresholds!$C$50,"L",IF('GNI per capita'!BA74&lt;=Thresholds!$D$50,"LM",IF('GNI per capita'!BA74&lt;=Thresholds!$E$50,"UM","H")))</f>
        <v>UM</v>
      </c>
      <c r="BB74" s="42" t="str">
        <f>IF('GNI per capita'!BB74&lt;=Thresholds!$C$51,"L",IF('GNI per capita'!BB74&lt;=Thresholds!$D$51,"LM",IF('GNI per capita'!BB74&lt;=Thresholds!$E$51,"UM","H")))</f>
        <v>UM</v>
      </c>
      <c r="BC74" s="42" t="str">
        <f>IF('GNI per capita'!BC74&lt;=Thresholds!$C$52,"L",IF('GNI per capita'!BC74&lt;=Thresholds!$D$52,"LM",IF('GNI per capita'!BC74&lt;=Thresholds!$E$52,"UM","H")))</f>
        <v>UM</v>
      </c>
      <c r="BD74" s="42" t="str">
        <f>IF('GNI per capita'!BD74&lt;=Thresholds!$C$53,"L",IF('GNI per capita'!BD74&lt;=Thresholds!$D$53,"LM",IF('GNI per capita'!BD74&lt;=Thresholds!$E$53,"UM","H")))</f>
        <v>UM</v>
      </c>
      <c r="BE74" s="42" t="str">
        <f>IF('GNI per capita'!BE74&lt;=Thresholds!$C$54,"L",IF('GNI per capita'!BE74&lt;=Thresholds!$D$54,"LM",IF('GNI per capita'!BE74&lt;=Thresholds!$E$54,"UM","H")))</f>
        <v>UM</v>
      </c>
      <c r="BF74" s="42" t="str">
        <f>IF('GNI per capita'!BF74&lt;=Thresholds!$C$55,"L",IF('GNI per capita'!BF74&lt;=Thresholds!$D$55,"LM",IF('GNI per capita'!BF74&lt;=Thresholds!$E$55,"UM","H")))</f>
        <v>UM</v>
      </c>
      <c r="BG74" s="42" t="str">
        <f>IF('GNI per capita'!BG74&lt;=Thresholds!$C$56,"L",IF('GNI per capita'!BG74&lt;=Thresholds!$D$56,"LM",IF('GNI per capita'!BG74&lt;=Thresholds!$E$56,"UM","H")))</f>
        <v>UM</v>
      </c>
      <c r="BH74" s="42" t="str">
        <f>IF('GNI per capita'!BH74&lt;=Thresholds!$C$57,"L",IF('GNI per capita'!BH74&lt;=Thresholds!$D$57,"LM",IF('GNI per capita'!BH74&lt;=Thresholds!$E$57,"UM","H")))</f>
        <v>UM</v>
      </c>
      <c r="BI74" s="42" t="str">
        <f>IF('GNI per capita'!BI74&lt;=Thresholds!$C$58,"L",IF('GNI per capita'!BI74&lt;=Thresholds!$D$58,"LM",IF('GNI per capita'!BI74&lt;=Thresholds!$E$58,"UM","H")))</f>
        <v>UM</v>
      </c>
      <c r="BJ74" s="42" t="str">
        <f>IF('GNI per capita'!BJ74&lt;=Thresholds!$C$59,"L",IF('GNI per capita'!BJ74&lt;=Thresholds!$D$59,"LM",IF('GNI per capita'!BJ74&lt;=Thresholds!$E$59,"UM","H")))</f>
        <v>UM</v>
      </c>
      <c r="BK74" s="42" t="str">
        <f>IF('GNI per capita'!BK74&lt;=Thresholds!$C$60,"L",IF('GNI per capita'!BK74&lt;=Thresholds!$D$60,"LM",IF('GNI per capita'!BK74&lt;=Thresholds!$E$60,"UM","H")))</f>
        <v>UM</v>
      </c>
      <c r="BL74" s="42" t="str">
        <f>IF('GNI per capita'!BL74&lt;=Thresholds!$C$61,"L",IF('GNI per capita'!BL74&lt;=Thresholds!$D$61,"LM",IF('GNI per capita'!BL74&lt;=Thresholds!$E$61,"UM","H")))</f>
        <v>UM</v>
      </c>
      <c r="BM74" s="42" t="str">
        <f>IF('GNI per capita'!BM74&lt;=Thresholds!$C$62,"L",IF('GNI per capita'!BM74&lt;=Thresholds!$D$62,"LM",IF('GNI per capita'!BM74&lt;=Thresholds!$E$62,"UM","H")))</f>
        <v>UM</v>
      </c>
      <c r="BN74" s="42" t="str">
        <f>IF('GNI per capita'!BN74&lt;=Thresholds!$C$63,"L",IF('GNI per capita'!BN74&lt;=Thresholds!$D$63,"LM",IF('GNI per capita'!BN74&lt;=Thresholds!$E$63,"UM","H")))</f>
        <v>UM</v>
      </c>
      <c r="BO74" s="42" t="str">
        <f>IF('GNI per capita'!BO74&lt;=Thresholds!$C$64,"L",IF('GNI per capita'!BO74&lt;=Thresholds!$D$64,"LM",IF('GNI per capita'!BO74&lt;=Thresholds!$E$64,"UM","H")))</f>
        <v>UM</v>
      </c>
      <c r="BP74" s="42" t="str">
        <f>IF('GNI per capita'!BP74&lt;=Thresholds!$C$65,"L",IF('GNI per capita'!BP74&lt;=Thresholds!$D$65,"LM",IF('GNI per capita'!BP74&lt;=Thresholds!$E$65,"UM","H")))</f>
        <v>UM</v>
      </c>
      <c r="BQ74" s="42" t="str">
        <f>IF('GNI per capita'!BQ74&lt;=Thresholds!$C$66,"L",IF('GNI per capita'!BQ74&lt;=Thresholds!$D$66,"LM",IF('GNI per capita'!BQ74&lt;=Thresholds!$E$66,"UM","H")))</f>
        <v>UM</v>
      </c>
      <c r="BR74" s="42" t="str">
        <f>IF('GNI per capita'!BR74&lt;=Thresholds!$C$67,"L",IF('GNI per capita'!BR74&lt;=Thresholds!$D$67,"LM",IF('GNI per capita'!BR74&lt;=Thresholds!$E$67,"UM","H")))</f>
        <v>UM</v>
      </c>
      <c r="BS74" s="42" t="str">
        <f>IF('GNI per capita'!BS74&lt;=Thresholds!$C$68,"L",IF('GNI per capita'!BS74&lt;=Thresholds!$D$68,"LM",IF('GNI per capita'!BS74&lt;=Thresholds!$E$68,"UM","H")))</f>
        <v>UM</v>
      </c>
    </row>
    <row r="75" spans="1:71" x14ac:dyDescent="0.2">
      <c r="A75" s="2" t="s">
        <v>355</v>
      </c>
      <c r="B75" s="2" t="s">
        <v>356</v>
      </c>
      <c r="C75" s="11" t="s">
        <v>75</v>
      </c>
      <c r="G75" s="2" t="s">
        <v>162</v>
      </c>
      <c r="H75" s="41" t="s">
        <v>75</v>
      </c>
      <c r="I75" s="41" t="s">
        <v>75</v>
      </c>
      <c r="J75" s="41" t="s">
        <v>75</v>
      </c>
      <c r="K75" s="41" t="s">
        <v>75</v>
      </c>
      <c r="L75" s="41" t="s">
        <v>75</v>
      </c>
      <c r="M75" s="41" t="s">
        <v>75</v>
      </c>
      <c r="N75" s="41" t="s">
        <v>75</v>
      </c>
      <c r="O75" s="41" t="s">
        <v>75</v>
      </c>
      <c r="P75" s="41" t="s">
        <v>75</v>
      </c>
      <c r="Q75" s="41" t="s">
        <v>75</v>
      </c>
      <c r="R75" s="41" t="s">
        <v>75</v>
      </c>
      <c r="S75" s="41" t="s">
        <v>75</v>
      </c>
      <c r="T75" s="41" t="s">
        <v>75</v>
      </c>
      <c r="U75" s="41" t="s">
        <v>75</v>
      </c>
      <c r="V75" s="41" t="s">
        <v>75</v>
      </c>
      <c r="W75" s="41" t="s">
        <v>75</v>
      </c>
      <c r="X75" s="41" t="s">
        <v>75</v>
      </c>
      <c r="Y75" s="41" t="s">
        <v>75</v>
      </c>
      <c r="Z75" s="41" t="s">
        <v>75</v>
      </c>
      <c r="AA75" s="41" t="s">
        <v>75</v>
      </c>
      <c r="AB75" s="41" t="s">
        <v>75</v>
      </c>
      <c r="AC75" s="41" t="s">
        <v>75</v>
      </c>
      <c r="AD75" s="41" t="s">
        <v>75</v>
      </c>
      <c r="AE75" s="41" t="s">
        <v>75</v>
      </c>
      <c r="AF75" s="41" t="s">
        <v>75</v>
      </c>
      <c r="AG75" s="41" t="s">
        <v>75</v>
      </c>
      <c r="AH75" s="41" t="s">
        <v>75</v>
      </c>
      <c r="AI75" s="41" t="s">
        <v>75</v>
      </c>
      <c r="AJ75" s="41" t="s">
        <v>75</v>
      </c>
      <c r="AK75" s="41" t="s">
        <v>75</v>
      </c>
      <c r="AL75" s="41" t="s">
        <v>75</v>
      </c>
      <c r="AM75" s="41" t="s">
        <v>75</v>
      </c>
      <c r="AN75" s="41" t="s">
        <v>75</v>
      </c>
      <c r="AO75" s="41" t="s">
        <v>75</v>
      </c>
      <c r="AP75" s="41" t="s">
        <v>75</v>
      </c>
      <c r="AQ75" s="41" t="s">
        <v>75</v>
      </c>
      <c r="AR75" s="41" t="s">
        <v>75</v>
      </c>
      <c r="AS75" s="41" t="s">
        <v>75</v>
      </c>
      <c r="AT75" s="41" t="s">
        <v>75</v>
      </c>
      <c r="AU75" s="42" t="str">
        <f>IF('GNI per capita'!AU75&lt;=Thresholds!$C$44,"L",IF('GNI per capita'!AU75&lt;=Thresholds!$D$44,"LM",IF('GNI per capita'!AU75&lt;=Thresholds!$E$44,"UM","H")))</f>
        <v>L</v>
      </c>
      <c r="AV75" s="42" t="str">
        <f>IF('GNI per capita'!AV75&lt;=Thresholds!$C$45,"L",IF('GNI per capita'!AV75&lt;=Thresholds!$D$45,"LM",IF('GNI per capita'!AV75&lt;=Thresholds!$E$45,"UM","H")))</f>
        <v>L</v>
      </c>
      <c r="AW75" s="42" t="str">
        <f>IF('GNI per capita'!AW75&lt;=Thresholds!$C$46,"L",IF('GNI per capita'!AW75&lt;=Thresholds!$D$46,"LM",IF('GNI per capita'!AW75&lt;=Thresholds!$E$46,"UM","H")))</f>
        <v>L</v>
      </c>
      <c r="AX75" s="42" t="str">
        <f>IF('GNI per capita'!AX75&lt;=Thresholds!$C$47,"L",IF('GNI per capita'!AX75&lt;=Thresholds!$D$47,"LM",IF('GNI per capita'!AX75&lt;=Thresholds!$E$47,"UM","H")))</f>
        <v>L</v>
      </c>
      <c r="AY75" s="42" t="str">
        <f>IF('GNI per capita'!AY75&lt;=Thresholds!$C$48,"L",IF('GNI per capita'!AY75&lt;=Thresholds!$D$48,"LM",IF('GNI per capita'!AY75&lt;=Thresholds!$E$48,"UM","H")))</f>
        <v>L</v>
      </c>
      <c r="AZ75" s="42" t="str">
        <f>IF('GNI per capita'!AZ75&lt;=Thresholds!$C$49,"L",IF('GNI per capita'!AZ75&lt;=Thresholds!$D$49,"LM",IF('GNI per capita'!AZ75&lt;=Thresholds!$E$49,"UM","H")))</f>
        <v>LM</v>
      </c>
      <c r="BA75" s="42" t="str">
        <f>IF('GNI per capita'!BA75&lt;=Thresholds!$C$50,"L",IF('GNI per capita'!BA75&lt;=Thresholds!$D$50,"LM",IF('GNI per capita'!BA75&lt;=Thresholds!$E$50,"UM","H")))</f>
        <v>LM</v>
      </c>
      <c r="BB75" s="42" t="str">
        <f>IF('GNI per capita'!BB75&lt;=Thresholds!$C$51,"L",IF('GNI per capita'!BB75&lt;=Thresholds!$D$51,"LM",IF('GNI per capita'!BB75&lt;=Thresholds!$E$51,"UM","H")))</f>
        <v>LM</v>
      </c>
      <c r="BC75" s="42" t="str">
        <f>IF('GNI per capita'!BC75&lt;=Thresholds!$C$52,"L",IF('GNI per capita'!BC75&lt;=Thresholds!$D$52,"LM",IF('GNI per capita'!BC75&lt;=Thresholds!$E$52,"UM","H")))</f>
        <v>LM</v>
      </c>
      <c r="BD75" s="42" t="str">
        <f>IF('GNI per capita'!BD75&lt;=Thresholds!$C$53,"L",IF('GNI per capita'!BD75&lt;=Thresholds!$D$53,"LM",IF('GNI per capita'!BD75&lt;=Thresholds!$E$53,"UM","H")))</f>
        <v>LM</v>
      </c>
      <c r="BE75" s="42" t="str">
        <f>IF('GNI per capita'!BE75&lt;=Thresholds!$C$54,"L",IF('GNI per capita'!BE75&lt;=Thresholds!$D$54,"LM",IF('GNI per capita'!BE75&lt;=Thresholds!$E$54,"UM","H")))</f>
        <v>LM</v>
      </c>
      <c r="BF75" s="42" t="str">
        <f>IF('GNI per capita'!BF75&lt;=Thresholds!$C$55,"L",IF('GNI per capita'!BF75&lt;=Thresholds!$D$55,"LM",IF('GNI per capita'!BF75&lt;=Thresholds!$E$55,"UM","H")))</f>
        <v>LM</v>
      </c>
      <c r="BG75" s="42" t="str">
        <f>IF('GNI per capita'!BG75&lt;=Thresholds!$C$56,"L",IF('GNI per capita'!BG75&lt;=Thresholds!$D$56,"LM",IF('GNI per capita'!BG75&lt;=Thresholds!$E$56,"UM","H")))</f>
        <v>LM</v>
      </c>
      <c r="BH75" s="42" t="str">
        <f>IF('GNI per capita'!BH75&lt;=Thresholds!$C$57,"L",IF('GNI per capita'!BH75&lt;=Thresholds!$D$57,"LM",IF('GNI per capita'!BH75&lt;=Thresholds!$E$57,"UM","H")))</f>
        <v>LM</v>
      </c>
      <c r="BI75" s="42" t="str">
        <f>IF('GNI per capita'!BI75&lt;=Thresholds!$C$58,"L",IF('GNI per capita'!BI75&lt;=Thresholds!$D$58,"LM",IF('GNI per capita'!BI75&lt;=Thresholds!$E$58,"UM","H")))</f>
        <v>LM</v>
      </c>
      <c r="BJ75" s="42" t="str">
        <f>IF('GNI per capita'!BJ75&lt;=Thresholds!$C$59,"L",IF('GNI per capita'!BJ75&lt;=Thresholds!$D$59,"LM",IF('GNI per capita'!BJ75&lt;=Thresholds!$E$59,"UM","H")))</f>
        <v>LM</v>
      </c>
      <c r="BK75" s="42" t="str">
        <f>IF('GNI per capita'!BK75&lt;=Thresholds!$C$60,"L",IF('GNI per capita'!BK75&lt;=Thresholds!$D$60,"LM",IF('GNI per capita'!BK75&lt;=Thresholds!$E$60,"UM","H")))</f>
        <v>LM</v>
      </c>
      <c r="BL75" s="42" t="str">
        <f>IF('GNI per capita'!BL75&lt;=Thresholds!$C$61,"L",IF('GNI per capita'!BL75&lt;=Thresholds!$D$61,"LM",IF('GNI per capita'!BL75&lt;=Thresholds!$E$61,"UM","H")))</f>
        <v>LM</v>
      </c>
      <c r="BM75" s="42" t="str">
        <f>IF('GNI per capita'!BM75&lt;=Thresholds!$C$62,"L",IF('GNI per capita'!BM75&lt;=Thresholds!$D$62,"LM",IF('GNI per capita'!BM75&lt;=Thresholds!$E$62,"UM","H")))</f>
        <v>LM</v>
      </c>
      <c r="BN75" s="42" t="str">
        <f>IF('GNI per capita'!BN75&lt;=Thresholds!$C$63,"L",IF('GNI per capita'!BN75&lt;=Thresholds!$D$63,"LM",IF('GNI per capita'!BN75&lt;=Thresholds!$E$63,"UM","H")))</f>
        <v>LM</v>
      </c>
      <c r="BO75" s="42" t="str">
        <f>IF('GNI per capita'!BO75&lt;=Thresholds!$C$64,"L",IF('GNI per capita'!BO75&lt;=Thresholds!$D$64,"LM",IF('GNI per capita'!BO75&lt;=Thresholds!$E$64,"UM","H")))</f>
        <v>LM</v>
      </c>
      <c r="BP75" s="42" t="str">
        <f>IF('GNI per capita'!BP75&lt;=Thresholds!$C$65,"L",IF('GNI per capita'!BP75&lt;=Thresholds!$D$65,"LM",IF('GNI per capita'!BP75&lt;=Thresholds!$E$65,"UM","H")))</f>
        <v>LM</v>
      </c>
      <c r="BQ75" s="42" t="str">
        <f>IF('GNI per capita'!BQ75&lt;=Thresholds!$C$66,"L",IF('GNI per capita'!BQ75&lt;=Thresholds!$D$66,"LM",IF('GNI per capita'!BQ75&lt;=Thresholds!$E$66,"UM","H")))</f>
        <v>LM</v>
      </c>
      <c r="BR75" s="42" t="str">
        <f>IF('GNI per capita'!BR75&lt;=Thresholds!$C$67,"L",IF('GNI per capita'!BR75&lt;=Thresholds!$D$67,"LM",IF('GNI per capita'!BR75&lt;=Thresholds!$E$67,"UM","H")))</f>
        <v>LM</v>
      </c>
      <c r="BS75" s="42" t="str">
        <f>IF('GNI per capita'!BS75&lt;=Thresholds!$C$68,"L",IF('GNI per capita'!BS75&lt;=Thresholds!$D$68,"LM",IF('GNI per capita'!BS75&lt;=Thresholds!$E$68,"UM","H")))</f>
        <v>LM</v>
      </c>
    </row>
    <row r="76" spans="1:71" x14ac:dyDescent="0.2">
      <c r="A76" s="2" t="s">
        <v>357</v>
      </c>
      <c r="B76" s="2" t="s">
        <v>358</v>
      </c>
      <c r="C76" s="11" t="s">
        <v>82</v>
      </c>
      <c r="G76" s="2" t="s">
        <v>359</v>
      </c>
      <c r="H76" s="41"/>
      <c r="I76" s="41"/>
      <c r="J76" s="41"/>
      <c r="K76" s="41"/>
      <c r="L76" s="41" t="s">
        <v>210</v>
      </c>
      <c r="M76" s="41" t="s">
        <v>210</v>
      </c>
      <c r="N76" s="41" t="s">
        <v>75</v>
      </c>
      <c r="O76" s="41" t="s">
        <v>75</v>
      </c>
      <c r="P76" s="41" t="s">
        <v>75</v>
      </c>
      <c r="Q76" s="41" t="s">
        <v>210</v>
      </c>
      <c r="R76" s="41" t="s">
        <v>210</v>
      </c>
      <c r="S76" s="41" t="s">
        <v>210</v>
      </c>
      <c r="T76" s="41" t="s">
        <v>75</v>
      </c>
      <c r="U76" s="41" t="s">
        <v>75</v>
      </c>
      <c r="V76" s="41" t="s">
        <v>75</v>
      </c>
      <c r="W76" s="41" t="s">
        <v>75</v>
      </c>
      <c r="X76" s="41" t="s">
        <v>210</v>
      </c>
      <c r="Y76" s="41" t="s">
        <v>210</v>
      </c>
      <c r="Z76" s="41" t="s">
        <v>210</v>
      </c>
      <c r="AA76" s="41" t="s">
        <v>210</v>
      </c>
      <c r="AB76" s="41" t="s">
        <v>210</v>
      </c>
      <c r="AC76" s="41" t="s">
        <v>210</v>
      </c>
      <c r="AD76" s="41" t="s">
        <v>210</v>
      </c>
      <c r="AE76" s="41" t="s">
        <v>210</v>
      </c>
      <c r="AF76" s="41" t="s">
        <v>210</v>
      </c>
      <c r="AG76" s="41" t="s">
        <v>210</v>
      </c>
      <c r="AH76" s="41" t="s">
        <v>210</v>
      </c>
      <c r="AI76" s="41" t="s">
        <v>210</v>
      </c>
      <c r="AJ76" s="41" t="s">
        <v>82</v>
      </c>
      <c r="AK76" s="41" t="s">
        <v>210</v>
      </c>
      <c r="AL76" s="41" t="s">
        <v>210</v>
      </c>
      <c r="AM76" s="41" t="s">
        <v>82</v>
      </c>
      <c r="AN76" s="41" t="s">
        <v>82</v>
      </c>
      <c r="AO76" s="41" t="s">
        <v>82</v>
      </c>
      <c r="AP76" s="41" t="s">
        <v>82</v>
      </c>
      <c r="AQ76" s="41" t="s">
        <v>82</v>
      </c>
      <c r="AR76" s="41" t="s">
        <v>82</v>
      </c>
      <c r="AS76" s="41" t="s">
        <v>82</v>
      </c>
      <c r="AT76" s="41" t="s">
        <v>82</v>
      </c>
      <c r="AU76" s="42" t="str">
        <f>IF('GNI per capita'!AU76&lt;=Thresholds!$C$44,"L",IF('GNI per capita'!AU76&lt;=Thresholds!$D$44,"LM",IF('GNI per capita'!AU76&lt;=Thresholds!$E$44,"UM","H")))</f>
        <v>UM</v>
      </c>
      <c r="AV76" s="42" t="str">
        <f>IF('GNI per capita'!AV76&lt;=Thresholds!$C$45,"L",IF('GNI per capita'!AV76&lt;=Thresholds!$D$45,"LM",IF('GNI per capita'!AV76&lt;=Thresholds!$E$45,"UM","H")))</f>
        <v>UM</v>
      </c>
      <c r="AW76" s="42" t="str">
        <f>IF('GNI per capita'!AW76&lt;=Thresholds!$C$46,"L",IF('GNI per capita'!AW76&lt;=Thresholds!$D$46,"LM",IF('GNI per capita'!AW76&lt;=Thresholds!$E$46,"UM","H")))</f>
        <v>UM</v>
      </c>
      <c r="AX76" s="42" t="str">
        <f>IF('GNI per capita'!AX76&lt;=Thresholds!$C$47,"L",IF('GNI per capita'!AX76&lt;=Thresholds!$D$47,"LM",IF('GNI per capita'!AX76&lt;=Thresholds!$E$47,"UM","H")))</f>
        <v>UM</v>
      </c>
      <c r="AY76" s="42" t="str">
        <f>IF('GNI per capita'!AY76&lt;=Thresholds!$C$48,"L",IF('GNI per capita'!AY76&lt;=Thresholds!$D$48,"LM",IF('GNI per capita'!AY76&lt;=Thresholds!$E$48,"UM","H")))</f>
        <v>UM</v>
      </c>
      <c r="AZ76" s="42" t="str">
        <f>IF('GNI per capita'!AZ76&lt;=Thresholds!$C$49,"L",IF('GNI per capita'!AZ76&lt;=Thresholds!$D$49,"LM",IF('GNI per capita'!AZ76&lt;=Thresholds!$E$49,"UM","H")))</f>
        <v>UM</v>
      </c>
      <c r="BA76" s="42" t="str">
        <f>IF('GNI per capita'!BA76&lt;=Thresholds!$C$50,"L",IF('GNI per capita'!BA76&lt;=Thresholds!$D$50,"LM",IF('GNI per capita'!BA76&lt;=Thresholds!$E$50,"UM","H")))</f>
        <v>H</v>
      </c>
      <c r="BB76" s="42" t="str">
        <f>IF('GNI per capita'!BB76&lt;=Thresholds!$C$51,"L",IF('GNI per capita'!BB76&lt;=Thresholds!$D$51,"LM",IF('GNI per capita'!BB76&lt;=Thresholds!$E$51,"UM","H")))</f>
        <v>H</v>
      </c>
      <c r="BC76" s="42" t="str">
        <f>IF('GNI per capita'!BC76&lt;=Thresholds!$C$52,"L",IF('GNI per capita'!BC76&lt;=Thresholds!$D$52,"LM",IF('GNI per capita'!BC76&lt;=Thresholds!$E$52,"UM","H")))</f>
        <v>H</v>
      </c>
      <c r="BD76" s="42" t="str">
        <f>IF('GNI per capita'!BD76&lt;=Thresholds!$C$53,"L",IF('GNI per capita'!BD76&lt;=Thresholds!$D$53,"LM",IF('GNI per capita'!BD76&lt;=Thresholds!$E$53,"UM","H")))</f>
        <v>H</v>
      </c>
      <c r="BE76" s="42" t="str">
        <f>IF('GNI per capita'!BE76&lt;=Thresholds!$C$54,"L",IF('GNI per capita'!BE76&lt;=Thresholds!$D$54,"LM",IF('GNI per capita'!BE76&lt;=Thresholds!$E$54,"UM","H")))</f>
        <v>H</v>
      </c>
      <c r="BF76" s="42" t="str">
        <f>IF('GNI per capita'!BF76&lt;=Thresholds!$C$55,"L",IF('GNI per capita'!BF76&lt;=Thresholds!$D$55,"LM",IF('GNI per capita'!BF76&lt;=Thresholds!$E$55,"UM","H")))</f>
        <v>H</v>
      </c>
      <c r="BG76" s="42" t="str">
        <f>IF('GNI per capita'!BG76&lt;=Thresholds!$C$56,"L",IF('GNI per capita'!BG76&lt;=Thresholds!$D$56,"LM",IF('GNI per capita'!BG76&lt;=Thresholds!$E$56,"UM","H")))</f>
        <v>H</v>
      </c>
      <c r="BH76" s="42" t="str">
        <f>IF('GNI per capita'!BH76&lt;=Thresholds!$C$57,"L",IF('GNI per capita'!BH76&lt;=Thresholds!$D$57,"LM",IF('GNI per capita'!BH76&lt;=Thresholds!$E$57,"UM","H")))</f>
        <v>H</v>
      </c>
      <c r="BI76" s="42" t="str">
        <f>IF('GNI per capita'!BI76&lt;=Thresholds!$C$58,"L",IF('GNI per capita'!BI76&lt;=Thresholds!$D$58,"LM",IF('GNI per capita'!BI76&lt;=Thresholds!$E$58,"UM","H")))</f>
        <v>H</v>
      </c>
      <c r="BJ76" s="42" t="str">
        <f>IF('GNI per capita'!BJ76&lt;=Thresholds!$C$59,"L",IF('GNI per capita'!BJ76&lt;=Thresholds!$D$59,"LM",IF('GNI per capita'!BJ76&lt;=Thresholds!$E$59,"UM","H")))</f>
        <v>H</v>
      </c>
      <c r="BK76" s="42" t="str">
        <f>IF('GNI per capita'!BK76&lt;=Thresholds!$C$60,"L",IF('GNI per capita'!BK76&lt;=Thresholds!$D$60,"LM",IF('GNI per capita'!BK76&lt;=Thresholds!$E$60,"UM","H")))</f>
        <v>H</v>
      </c>
      <c r="BL76" s="42" t="str">
        <f>IF('GNI per capita'!BL76&lt;=Thresholds!$C$61,"L",IF('GNI per capita'!BL76&lt;=Thresholds!$D$61,"LM",IF('GNI per capita'!BL76&lt;=Thresholds!$E$61,"UM","H")))</f>
        <v>H</v>
      </c>
      <c r="BM76" s="42" t="str">
        <f>IF('GNI per capita'!BM76&lt;=Thresholds!$C$62,"L",IF('GNI per capita'!BM76&lt;=Thresholds!$D$62,"LM",IF('GNI per capita'!BM76&lt;=Thresholds!$E$62,"UM","H")))</f>
        <v>H</v>
      </c>
      <c r="BN76" s="42" t="str">
        <f>IF('GNI per capita'!BN76&lt;=Thresholds!$C$63,"L",IF('GNI per capita'!BN76&lt;=Thresholds!$D$63,"LM",IF('GNI per capita'!BN76&lt;=Thresholds!$E$63,"UM","H")))</f>
        <v>H</v>
      </c>
      <c r="BO76" s="42" t="str">
        <f>IF('GNI per capita'!BO76&lt;=Thresholds!$C$64,"L",IF('GNI per capita'!BO76&lt;=Thresholds!$D$64,"LM",IF('GNI per capita'!BO76&lt;=Thresholds!$E$64,"UM","H")))</f>
        <v>H</v>
      </c>
      <c r="BP76" s="42" t="str">
        <f>IF('GNI per capita'!BP76&lt;=Thresholds!$C$65,"L",IF('GNI per capita'!BP76&lt;=Thresholds!$D$65,"LM",IF('GNI per capita'!BP76&lt;=Thresholds!$E$65,"UM","H")))</f>
        <v>H</v>
      </c>
      <c r="BQ76" s="42" t="str">
        <f>IF('GNI per capita'!BQ76&lt;=Thresholds!$C$66,"L",IF('GNI per capita'!BQ76&lt;=Thresholds!$D$66,"LM",IF('GNI per capita'!BQ76&lt;=Thresholds!$E$66,"UM","H")))</f>
        <v>H</v>
      </c>
      <c r="BR76" s="42" t="str">
        <f>IF('GNI per capita'!BR76&lt;=Thresholds!$C$67,"L",IF('GNI per capita'!BR76&lt;=Thresholds!$D$67,"LM",IF('GNI per capita'!BR76&lt;=Thresholds!$E$67,"UM","H")))</f>
        <v>H</v>
      </c>
      <c r="BS76" s="42" t="str">
        <f>IF('GNI per capita'!BS76&lt;=Thresholds!$C$68,"L",IF('GNI per capita'!BS76&lt;=Thresholds!$D$68,"LM",IF('GNI per capita'!BS76&lt;=Thresholds!$E$68,"UM","H")))</f>
        <v>H</v>
      </c>
    </row>
    <row r="77" spans="1:71" x14ac:dyDescent="0.2">
      <c r="A77" s="2" t="s">
        <v>360</v>
      </c>
      <c r="B77" s="2" t="s">
        <v>361</v>
      </c>
      <c r="C77" s="11" t="s">
        <v>79</v>
      </c>
      <c r="G77" s="2" t="s">
        <v>162</v>
      </c>
      <c r="H77" s="41" t="s">
        <v>79</v>
      </c>
      <c r="I77" s="41" t="s">
        <v>79</v>
      </c>
      <c r="J77" s="41" t="s">
        <v>79</v>
      </c>
      <c r="K77" s="41" t="s">
        <v>79</v>
      </c>
      <c r="L77" s="41" t="s">
        <v>79</v>
      </c>
      <c r="M77" s="41" t="s">
        <v>79</v>
      </c>
      <c r="N77" s="41" t="s">
        <v>79</v>
      </c>
      <c r="O77" s="41" t="s">
        <v>79</v>
      </c>
      <c r="P77" s="41" t="s">
        <v>79</v>
      </c>
      <c r="Q77" s="41" t="s">
        <v>79</v>
      </c>
      <c r="R77" s="41" t="s">
        <v>79</v>
      </c>
      <c r="S77" s="41" t="s">
        <v>79</v>
      </c>
      <c r="T77" s="41" t="s">
        <v>79</v>
      </c>
      <c r="U77" s="41" t="s">
        <v>79</v>
      </c>
      <c r="V77" s="41" t="s">
        <v>79</v>
      </c>
      <c r="W77" s="41" t="s">
        <v>79</v>
      </c>
      <c r="X77" s="41" t="s">
        <v>79</v>
      </c>
      <c r="Y77" s="41" t="s">
        <v>79</v>
      </c>
      <c r="Z77" s="41" t="s">
        <v>79</v>
      </c>
      <c r="AA77" s="41" t="s">
        <v>79</v>
      </c>
      <c r="AB77" s="41" t="s">
        <v>79</v>
      </c>
      <c r="AC77" s="41" t="s">
        <v>79</v>
      </c>
      <c r="AD77" s="41" t="s">
        <v>79</v>
      </c>
      <c r="AE77" s="41" t="s">
        <v>79</v>
      </c>
      <c r="AF77" s="41" t="s">
        <v>79</v>
      </c>
      <c r="AG77" s="41" t="s">
        <v>79</v>
      </c>
      <c r="AH77" s="41" t="s">
        <v>79</v>
      </c>
      <c r="AI77" s="41" t="s">
        <v>79</v>
      </c>
      <c r="AJ77" s="41" t="s">
        <v>79</v>
      </c>
      <c r="AK77" s="41" t="s">
        <v>79</v>
      </c>
      <c r="AL77" s="41" t="s">
        <v>79</v>
      </c>
      <c r="AM77" s="41" t="s">
        <v>79</v>
      </c>
      <c r="AN77" s="41" t="s">
        <v>79</v>
      </c>
      <c r="AO77" s="41" t="s">
        <v>79</v>
      </c>
      <c r="AP77" s="41" t="s">
        <v>79</v>
      </c>
      <c r="AQ77" s="41" t="s">
        <v>79</v>
      </c>
      <c r="AR77" s="41" t="s">
        <v>79</v>
      </c>
      <c r="AS77" s="41" t="s">
        <v>79</v>
      </c>
      <c r="AT77" s="41" t="s">
        <v>79</v>
      </c>
      <c r="AU77" s="42" t="str">
        <f>IF('GNI per capita'!AU77&lt;=Thresholds!$C$44,"L",IF('GNI per capita'!AU77&lt;=Thresholds!$D$44,"LM",IF('GNI per capita'!AU77&lt;=Thresholds!$E$44,"UM","H")))</f>
        <v>H</v>
      </c>
      <c r="AV77" s="42" t="str">
        <f>IF('GNI per capita'!AV77&lt;=Thresholds!$C$45,"L",IF('GNI per capita'!AV77&lt;=Thresholds!$D$45,"LM",IF('GNI per capita'!AV77&lt;=Thresholds!$E$45,"UM","H")))</f>
        <v>H</v>
      </c>
      <c r="AW77" s="42" t="str">
        <f>IF('GNI per capita'!AW77&lt;=Thresholds!$C$46,"L",IF('GNI per capita'!AW77&lt;=Thresholds!$D$46,"LM",IF('GNI per capita'!AW77&lt;=Thresholds!$E$46,"UM","H")))</f>
        <v>H</v>
      </c>
      <c r="AX77" s="42" t="str">
        <f>IF('GNI per capita'!AX77&lt;=Thresholds!$C$47,"L",IF('GNI per capita'!AX77&lt;=Thresholds!$D$47,"LM",IF('GNI per capita'!AX77&lt;=Thresholds!$E$47,"UM","H")))</f>
        <v>H</v>
      </c>
      <c r="AY77" s="42" t="str">
        <f>IF('GNI per capita'!AY77&lt;=Thresholds!$C$48,"L",IF('GNI per capita'!AY77&lt;=Thresholds!$D$48,"LM",IF('GNI per capita'!AY77&lt;=Thresholds!$E$48,"UM","H")))</f>
        <v>H</v>
      </c>
      <c r="AZ77" s="42" t="str">
        <f>IF('GNI per capita'!AZ77&lt;=Thresholds!$C$49,"L",IF('GNI per capita'!AZ77&lt;=Thresholds!$D$49,"LM",IF('GNI per capita'!AZ77&lt;=Thresholds!$E$49,"UM","H")))</f>
        <v>H</v>
      </c>
      <c r="BA77" s="42" t="str">
        <f>IF('GNI per capita'!BA77&lt;=Thresholds!$C$50,"L",IF('GNI per capita'!BA77&lt;=Thresholds!$D$50,"LM",IF('GNI per capita'!BA77&lt;=Thresholds!$E$50,"UM","H")))</f>
        <v>H</v>
      </c>
      <c r="BB77" s="42" t="str">
        <f>IF('GNI per capita'!BB77&lt;=Thresholds!$C$51,"L",IF('GNI per capita'!BB77&lt;=Thresholds!$D$51,"LM",IF('GNI per capita'!BB77&lt;=Thresholds!$E$51,"UM","H")))</f>
        <v>H</v>
      </c>
      <c r="BC77" s="42" t="str">
        <f>IF('GNI per capita'!BC77&lt;=Thresholds!$C$52,"L",IF('GNI per capita'!BC77&lt;=Thresholds!$D$52,"LM",IF('GNI per capita'!BC77&lt;=Thresholds!$E$52,"UM","H")))</f>
        <v>H</v>
      </c>
      <c r="BD77" s="42" t="str">
        <f>IF('GNI per capita'!BD77&lt;=Thresholds!$C$53,"L",IF('GNI per capita'!BD77&lt;=Thresholds!$D$53,"LM",IF('GNI per capita'!BD77&lt;=Thresholds!$E$53,"UM","H")))</f>
        <v>H</v>
      </c>
      <c r="BE77" s="42" t="str">
        <f>IF('GNI per capita'!BE77&lt;=Thresholds!$C$54,"L",IF('GNI per capita'!BE77&lt;=Thresholds!$D$54,"LM",IF('GNI per capita'!BE77&lt;=Thresholds!$E$54,"UM","H")))</f>
        <v>H</v>
      </c>
      <c r="BF77" s="42" t="str">
        <f>IF('GNI per capita'!BF77&lt;=Thresholds!$C$55,"L",IF('GNI per capita'!BF77&lt;=Thresholds!$D$55,"LM",IF('GNI per capita'!BF77&lt;=Thresholds!$E$55,"UM","H")))</f>
        <v>H</v>
      </c>
      <c r="BG77" s="42" t="str">
        <f>IF('GNI per capita'!BG77&lt;=Thresholds!$C$56,"L",IF('GNI per capita'!BG77&lt;=Thresholds!$D$56,"LM",IF('GNI per capita'!BG77&lt;=Thresholds!$E$56,"UM","H")))</f>
        <v>H</v>
      </c>
      <c r="BH77" s="42" t="str">
        <f>IF('GNI per capita'!BH77&lt;=Thresholds!$C$57,"L",IF('GNI per capita'!BH77&lt;=Thresholds!$D$57,"LM",IF('GNI per capita'!BH77&lt;=Thresholds!$E$57,"UM","H")))</f>
        <v>H</v>
      </c>
      <c r="BI77" s="42" t="str">
        <f>IF('GNI per capita'!BI77&lt;=Thresholds!$C$58,"L",IF('GNI per capita'!BI77&lt;=Thresholds!$D$58,"LM",IF('GNI per capita'!BI77&lt;=Thresholds!$E$58,"UM","H")))</f>
        <v>H</v>
      </c>
      <c r="BJ77" s="42" t="str">
        <f>IF('GNI per capita'!BJ77&lt;=Thresholds!$C$59,"L",IF('GNI per capita'!BJ77&lt;=Thresholds!$D$59,"LM",IF('GNI per capita'!BJ77&lt;=Thresholds!$E$59,"UM","H")))</f>
        <v>H</v>
      </c>
      <c r="BK77" s="42" t="str">
        <f>IF('GNI per capita'!BK77&lt;=Thresholds!$C$60,"L",IF('GNI per capita'!BK77&lt;=Thresholds!$D$60,"LM",IF('GNI per capita'!BK77&lt;=Thresholds!$E$60,"UM","H")))</f>
        <v>H</v>
      </c>
      <c r="BL77" s="42" t="str">
        <f>IF('GNI per capita'!BL77&lt;=Thresholds!$C$61,"L",IF('GNI per capita'!BL77&lt;=Thresholds!$D$61,"LM",IF('GNI per capita'!BL77&lt;=Thresholds!$E$61,"UM","H")))</f>
        <v>H</v>
      </c>
      <c r="BM77" s="42" t="str">
        <f>IF('GNI per capita'!BM77&lt;=Thresholds!$C$62,"L",IF('GNI per capita'!BM77&lt;=Thresholds!$D$62,"LM",IF('GNI per capita'!BM77&lt;=Thresholds!$E$62,"UM","H")))</f>
        <v>H</v>
      </c>
      <c r="BN77" s="42" t="str">
        <f>IF('GNI per capita'!BN77&lt;=Thresholds!$C$63,"L",IF('GNI per capita'!BN77&lt;=Thresholds!$D$63,"LM",IF('GNI per capita'!BN77&lt;=Thresholds!$E$63,"UM","H")))</f>
        <v>H</v>
      </c>
      <c r="BO77" s="42" t="str">
        <f>IF('GNI per capita'!BO77&lt;=Thresholds!$C$64,"L",IF('GNI per capita'!BO77&lt;=Thresholds!$D$64,"LM",IF('GNI per capita'!BO77&lt;=Thresholds!$E$64,"UM","H")))</f>
        <v>H</v>
      </c>
      <c r="BP77" s="42" t="str">
        <f>IF('GNI per capita'!BP77&lt;=Thresholds!$C$65,"L",IF('GNI per capita'!BP77&lt;=Thresholds!$D$65,"LM",IF('GNI per capita'!BP77&lt;=Thresholds!$E$65,"UM","H")))</f>
        <v>H</v>
      </c>
      <c r="BQ77" s="42" t="str">
        <f>IF('GNI per capita'!BQ77&lt;=Thresholds!$C$66,"L",IF('GNI per capita'!BQ77&lt;=Thresholds!$D$66,"LM",IF('GNI per capita'!BQ77&lt;=Thresholds!$E$66,"UM","H")))</f>
        <v>H</v>
      </c>
      <c r="BR77" s="42" t="str">
        <f>IF('GNI per capita'!BR77&lt;=Thresholds!$C$67,"L",IF('GNI per capita'!BR77&lt;=Thresholds!$D$67,"LM",IF('GNI per capita'!BR77&lt;=Thresholds!$E$67,"UM","H")))</f>
        <v>H</v>
      </c>
      <c r="BS77" s="42" t="str">
        <f>IF('GNI per capita'!BS77&lt;=Thresholds!$C$68,"L",IF('GNI per capita'!BS77&lt;=Thresholds!$D$68,"LM",IF('GNI per capita'!BS77&lt;=Thresholds!$E$68,"UM","H")))</f>
        <v>H</v>
      </c>
    </row>
    <row r="78" spans="1:71" x14ac:dyDescent="0.2">
      <c r="A78" s="2" t="s">
        <v>362</v>
      </c>
      <c r="B78" s="2" t="s">
        <v>363</v>
      </c>
      <c r="C78" s="11" t="s">
        <v>210</v>
      </c>
      <c r="G78" s="2" t="s">
        <v>162</v>
      </c>
      <c r="H78" s="41" t="s">
        <v>75</v>
      </c>
      <c r="I78" s="41" t="s">
        <v>75</v>
      </c>
      <c r="J78" s="41" t="s">
        <v>75</v>
      </c>
      <c r="K78" s="41" t="s">
        <v>75</v>
      </c>
      <c r="L78" s="41" t="s">
        <v>75</v>
      </c>
      <c r="M78" s="41" t="s">
        <v>75</v>
      </c>
      <c r="N78" s="41" t="s">
        <v>75</v>
      </c>
      <c r="O78" s="41" t="s">
        <v>75</v>
      </c>
      <c r="P78" s="41" t="s">
        <v>75</v>
      </c>
      <c r="Q78" s="41" t="s">
        <v>75</v>
      </c>
      <c r="R78" s="41" t="s">
        <v>75</v>
      </c>
      <c r="S78" s="41" t="s">
        <v>75</v>
      </c>
      <c r="T78" s="41" t="s">
        <v>75</v>
      </c>
      <c r="U78" s="41" t="s">
        <v>75</v>
      </c>
      <c r="V78" s="41" t="s">
        <v>75</v>
      </c>
      <c r="W78" s="41" t="s">
        <v>75</v>
      </c>
      <c r="X78" s="41" t="s">
        <v>75</v>
      </c>
      <c r="Y78" s="41" t="s">
        <v>75</v>
      </c>
      <c r="Z78" s="41" t="s">
        <v>75</v>
      </c>
      <c r="AA78" s="41" t="s">
        <v>75</v>
      </c>
      <c r="AB78" s="41" t="s">
        <v>75</v>
      </c>
      <c r="AC78" s="41" t="s">
        <v>75</v>
      </c>
      <c r="AD78" s="41" t="s">
        <v>75</v>
      </c>
      <c r="AE78" s="41" t="s">
        <v>210</v>
      </c>
      <c r="AF78" s="41" t="s">
        <v>210</v>
      </c>
      <c r="AG78" s="41" t="s">
        <v>210</v>
      </c>
      <c r="AH78" s="41" t="s">
        <v>210</v>
      </c>
      <c r="AI78" s="41" t="s">
        <v>210</v>
      </c>
      <c r="AJ78" s="41" t="s">
        <v>210</v>
      </c>
      <c r="AK78" s="41" t="s">
        <v>210</v>
      </c>
      <c r="AL78" s="41" t="s">
        <v>210</v>
      </c>
      <c r="AM78" s="41" t="s">
        <v>210</v>
      </c>
      <c r="AN78" s="41" t="s">
        <v>210</v>
      </c>
      <c r="AO78" s="41" t="s">
        <v>210</v>
      </c>
      <c r="AP78" s="41" t="s">
        <v>210</v>
      </c>
      <c r="AQ78" s="41" t="s">
        <v>210</v>
      </c>
      <c r="AR78" s="41" t="s">
        <v>210</v>
      </c>
      <c r="AS78" s="41" t="s">
        <v>210</v>
      </c>
      <c r="AT78" s="41" t="s">
        <v>210</v>
      </c>
      <c r="AU78" s="42" t="str">
        <f>IF('GNI per capita'!AU78&lt;=Thresholds!$C$44,"L",IF('GNI per capita'!AU78&lt;=Thresholds!$D$44,"LM",IF('GNI per capita'!AU78&lt;=Thresholds!$E$44,"UM","H")))</f>
        <v>LM</v>
      </c>
      <c r="AV78" s="42" t="str">
        <f>IF('GNI per capita'!AV78&lt;=Thresholds!$C$45,"L",IF('GNI per capita'!AV78&lt;=Thresholds!$D$45,"LM",IF('GNI per capita'!AV78&lt;=Thresholds!$E$45,"UM","H")))</f>
        <v>LM</v>
      </c>
      <c r="AW78" s="42" t="str">
        <f>IF('GNI per capita'!AW78&lt;=Thresholds!$C$46,"L",IF('GNI per capita'!AW78&lt;=Thresholds!$D$46,"LM",IF('GNI per capita'!AW78&lt;=Thresholds!$E$46,"UM","H")))</f>
        <v>LM</v>
      </c>
      <c r="AX78" s="42" t="str">
        <f>IF('GNI per capita'!AX78&lt;=Thresholds!$C$47,"L",IF('GNI per capita'!AX78&lt;=Thresholds!$D$47,"LM",IF('GNI per capita'!AX78&lt;=Thresholds!$E$47,"UM","H")))</f>
        <v>LM</v>
      </c>
      <c r="AY78" s="42" t="str">
        <f>IF('GNI per capita'!AY78&lt;=Thresholds!$C$48,"L",IF('GNI per capita'!AY78&lt;=Thresholds!$D$48,"LM",IF('GNI per capita'!AY78&lt;=Thresholds!$E$48,"UM","H")))</f>
        <v>LM</v>
      </c>
      <c r="AZ78" s="42" t="str">
        <f>IF('GNI per capita'!AZ78&lt;=Thresholds!$C$49,"L",IF('GNI per capita'!AZ78&lt;=Thresholds!$D$49,"LM",IF('GNI per capita'!AZ78&lt;=Thresholds!$E$49,"UM","H")))</f>
        <v>LM</v>
      </c>
      <c r="BA78" s="42" t="str">
        <f>IF('GNI per capita'!BA78&lt;=Thresholds!$C$50,"L",IF('GNI per capita'!BA78&lt;=Thresholds!$D$50,"LM",IF('GNI per capita'!BA78&lt;=Thresholds!$E$50,"UM","H")))</f>
        <v>LM</v>
      </c>
      <c r="BB78" s="42" t="str">
        <f>IF('GNI per capita'!BB78&lt;=Thresholds!$C$51,"L",IF('GNI per capita'!BB78&lt;=Thresholds!$D$51,"LM",IF('GNI per capita'!BB78&lt;=Thresholds!$E$51,"UM","H")))</f>
        <v>LM</v>
      </c>
      <c r="BC78" s="42" t="str">
        <f>IF('GNI per capita'!BC78&lt;=Thresholds!$C$52,"L",IF('GNI per capita'!BC78&lt;=Thresholds!$D$52,"LM",IF('GNI per capita'!BC78&lt;=Thresholds!$E$52,"UM","H")))</f>
        <v>LM</v>
      </c>
      <c r="BD78" s="42" t="str">
        <f>IF('GNI per capita'!BD78&lt;=Thresholds!$C$53,"L",IF('GNI per capita'!BD78&lt;=Thresholds!$D$53,"LM",IF('GNI per capita'!BD78&lt;=Thresholds!$E$53,"UM","H")))</f>
        <v>LM</v>
      </c>
      <c r="BE78" s="42" t="str">
        <f>IF('GNI per capita'!BE78&lt;=Thresholds!$C$54,"L",IF('GNI per capita'!BE78&lt;=Thresholds!$D$54,"LM",IF('GNI per capita'!BE78&lt;=Thresholds!$E$54,"UM","H")))</f>
        <v>LM</v>
      </c>
      <c r="BF78" s="42" t="str">
        <f>IF('GNI per capita'!BF78&lt;=Thresholds!$C$55,"L",IF('GNI per capita'!BF78&lt;=Thresholds!$D$55,"LM",IF('GNI per capita'!BF78&lt;=Thresholds!$E$55,"UM","H")))</f>
        <v>LM</v>
      </c>
      <c r="BG78" s="42" t="str">
        <f>IF('GNI per capita'!BG78&lt;=Thresholds!$C$56,"L",IF('GNI per capita'!BG78&lt;=Thresholds!$D$56,"LM",IF('GNI per capita'!BG78&lt;=Thresholds!$E$56,"UM","H")))</f>
        <v>LM</v>
      </c>
      <c r="BH78" s="42" t="str">
        <f>IF('GNI per capita'!BH78&lt;=Thresholds!$C$57,"L",IF('GNI per capita'!BH78&lt;=Thresholds!$D$57,"LM",IF('GNI per capita'!BH78&lt;=Thresholds!$E$57,"UM","H")))</f>
        <v>LM</v>
      </c>
      <c r="BI78" s="42" t="str">
        <f>IF('GNI per capita'!BI78&lt;=Thresholds!$C$58,"L",IF('GNI per capita'!BI78&lt;=Thresholds!$D$58,"LM",IF('GNI per capita'!BI78&lt;=Thresholds!$E$58,"UM","H")))</f>
        <v>LM</v>
      </c>
      <c r="BJ78" s="42" t="str">
        <f>IF('GNI per capita'!BJ78&lt;=Thresholds!$C$59,"L",IF('GNI per capita'!BJ78&lt;=Thresholds!$D$59,"LM",IF('GNI per capita'!BJ78&lt;=Thresholds!$E$59,"UM","H")))</f>
        <v>LM</v>
      </c>
      <c r="BK78" s="42" t="str">
        <f>IF('GNI per capita'!BK78&lt;=Thresholds!$C$60,"L",IF('GNI per capita'!BK78&lt;=Thresholds!$D$60,"LM",IF('GNI per capita'!BK78&lt;=Thresholds!$E$60,"UM","H")))</f>
        <v>LM</v>
      </c>
      <c r="BL78" s="42" t="str">
        <f>IF('GNI per capita'!BL78&lt;=Thresholds!$C$61,"L",IF('GNI per capita'!BL78&lt;=Thresholds!$D$61,"LM",IF('GNI per capita'!BL78&lt;=Thresholds!$E$61,"UM","H")))</f>
        <v>LM</v>
      </c>
      <c r="BM78" s="42" t="str">
        <f>IF('GNI per capita'!BM78&lt;=Thresholds!$C$62,"L",IF('GNI per capita'!BM78&lt;=Thresholds!$D$62,"LM",IF('GNI per capita'!BM78&lt;=Thresholds!$E$62,"UM","H")))</f>
        <v>LM</v>
      </c>
      <c r="BN78" s="42" t="str">
        <f>IF('GNI per capita'!BN78&lt;=Thresholds!$C$63,"L",IF('GNI per capita'!BN78&lt;=Thresholds!$D$63,"LM",IF('GNI per capita'!BN78&lt;=Thresholds!$E$63,"UM","H")))</f>
        <v>LM</v>
      </c>
      <c r="BO78" s="42" t="str">
        <f>IF('GNI per capita'!BO78&lt;=Thresholds!$C$64,"L",IF('GNI per capita'!BO78&lt;=Thresholds!$D$64,"LM",IF('GNI per capita'!BO78&lt;=Thresholds!$E$64,"UM","H")))</f>
        <v>LM</v>
      </c>
      <c r="BP78" s="42" t="str">
        <f>IF('GNI per capita'!BP78&lt;=Thresholds!$C$65,"L",IF('GNI per capita'!BP78&lt;=Thresholds!$D$65,"LM",IF('GNI per capita'!BP78&lt;=Thresholds!$E$65,"UM","H")))</f>
        <v>LM</v>
      </c>
      <c r="BQ78" s="42" t="str">
        <f>IF('GNI per capita'!BQ78&lt;=Thresholds!$C$66,"L",IF('GNI per capita'!BQ78&lt;=Thresholds!$D$66,"LM",IF('GNI per capita'!BQ78&lt;=Thresholds!$E$66,"UM","H")))</f>
        <v>LM</v>
      </c>
      <c r="BR78" s="42" t="str">
        <f>IF('GNI per capita'!BR78&lt;=Thresholds!$C$67,"L",IF('GNI per capita'!BR78&lt;=Thresholds!$D$67,"LM",IF('GNI per capita'!BR78&lt;=Thresholds!$E$67,"UM","H")))</f>
        <v>LM</v>
      </c>
      <c r="BS78" s="42" t="str">
        <f>IF('GNI per capita'!BS78&lt;=Thresholds!$C$68,"L",IF('GNI per capita'!BS78&lt;=Thresholds!$D$68,"LM",IF('GNI per capita'!BS78&lt;=Thresholds!$E$68,"UM","H")))</f>
        <v>LM</v>
      </c>
    </row>
    <row r="79" spans="1:71" x14ac:dyDescent="0.2">
      <c r="A79" s="2" t="s">
        <v>364</v>
      </c>
      <c r="B79" s="2" t="s">
        <v>365</v>
      </c>
      <c r="C79" s="11" t="s">
        <v>79</v>
      </c>
      <c r="G79" s="28" t="s">
        <v>204</v>
      </c>
      <c r="H79" s="41" t="s">
        <v>82</v>
      </c>
      <c r="I79" s="41" t="s">
        <v>82</v>
      </c>
      <c r="J79" s="41" t="s">
        <v>82</v>
      </c>
      <c r="K79" s="41" t="s">
        <v>82</v>
      </c>
      <c r="L79" s="41" t="s">
        <v>82</v>
      </c>
      <c r="M79" s="41" t="s">
        <v>82</v>
      </c>
      <c r="N79" s="41" t="s">
        <v>82</v>
      </c>
      <c r="O79" s="41"/>
      <c r="P79" s="41"/>
      <c r="Q79" s="41"/>
      <c r="R79" s="41"/>
      <c r="S79" s="41"/>
      <c r="T79" s="41"/>
      <c r="U79" s="41"/>
      <c r="V79" s="41"/>
      <c r="W79" s="41"/>
      <c r="X79" s="41"/>
      <c r="Y79" s="41"/>
      <c r="Z79" s="41"/>
      <c r="AA79" s="41"/>
      <c r="AB79" s="41"/>
      <c r="AC79" s="41"/>
      <c r="AD79" s="41" t="s">
        <v>79</v>
      </c>
      <c r="AE79" s="41" t="s">
        <v>79</v>
      </c>
      <c r="AF79" s="41"/>
      <c r="AG79" s="41"/>
      <c r="AH79" s="41"/>
      <c r="AI79" s="41"/>
      <c r="AJ79" s="41" t="s">
        <v>79</v>
      </c>
      <c r="AK79" s="41" t="s">
        <v>79</v>
      </c>
      <c r="AL79" s="41" t="s">
        <v>79</v>
      </c>
      <c r="AM79" s="41" t="s">
        <v>79</v>
      </c>
      <c r="AN79" s="41" t="s">
        <v>79</v>
      </c>
      <c r="AO79" s="41" t="s">
        <v>79</v>
      </c>
      <c r="AP79" s="41" t="s">
        <v>79</v>
      </c>
      <c r="AQ79" s="41" t="s">
        <v>79</v>
      </c>
      <c r="AR79" s="41" t="s">
        <v>79</v>
      </c>
      <c r="AS79" s="41" t="s">
        <v>79</v>
      </c>
      <c r="AT79" s="41" t="s">
        <v>79</v>
      </c>
      <c r="AU79" s="42" t="str">
        <f t="shared" ref="AU79:BS79" si="6">$C79</f>
        <v>H</v>
      </c>
      <c r="AV79" s="42" t="str">
        <f t="shared" si="6"/>
        <v>H</v>
      </c>
      <c r="AW79" s="42" t="str">
        <f t="shared" si="6"/>
        <v>H</v>
      </c>
      <c r="AX79" s="42" t="str">
        <f t="shared" si="6"/>
        <v>H</v>
      </c>
      <c r="AY79" s="42" t="str">
        <f t="shared" si="6"/>
        <v>H</v>
      </c>
      <c r="AZ79" s="42" t="str">
        <f t="shared" si="6"/>
        <v>H</v>
      </c>
      <c r="BA79" s="42" t="str">
        <f t="shared" si="6"/>
        <v>H</v>
      </c>
      <c r="BB79" s="42" t="str">
        <f t="shared" si="6"/>
        <v>H</v>
      </c>
      <c r="BC79" s="42" t="str">
        <f t="shared" si="6"/>
        <v>H</v>
      </c>
      <c r="BD79" s="42" t="str">
        <f t="shared" si="6"/>
        <v>H</v>
      </c>
      <c r="BE79" s="42" t="str">
        <f t="shared" si="6"/>
        <v>H</v>
      </c>
      <c r="BF79" s="42" t="str">
        <f t="shared" si="6"/>
        <v>H</v>
      </c>
      <c r="BG79" s="42" t="str">
        <f t="shared" si="6"/>
        <v>H</v>
      </c>
      <c r="BH79" s="42" t="str">
        <f t="shared" si="6"/>
        <v>H</v>
      </c>
      <c r="BI79" s="42" t="str">
        <f t="shared" si="6"/>
        <v>H</v>
      </c>
      <c r="BJ79" s="42" t="str">
        <f t="shared" si="6"/>
        <v>H</v>
      </c>
      <c r="BK79" s="42" t="str">
        <f t="shared" si="6"/>
        <v>H</v>
      </c>
      <c r="BL79" s="42" t="str">
        <f t="shared" si="6"/>
        <v>H</v>
      </c>
      <c r="BM79" s="42" t="str">
        <f t="shared" si="6"/>
        <v>H</v>
      </c>
      <c r="BN79" s="42" t="str">
        <f t="shared" si="6"/>
        <v>H</v>
      </c>
      <c r="BO79" s="42" t="str">
        <f t="shared" si="6"/>
        <v>H</v>
      </c>
      <c r="BP79" s="42" t="str">
        <f t="shared" si="6"/>
        <v>H</v>
      </c>
      <c r="BQ79" s="42" t="str">
        <f t="shared" si="6"/>
        <v>H</v>
      </c>
      <c r="BR79" s="42" t="str">
        <f t="shared" si="6"/>
        <v>H</v>
      </c>
      <c r="BS79" s="42" t="str">
        <f t="shared" si="6"/>
        <v>H</v>
      </c>
    </row>
    <row r="80" spans="1:71" x14ac:dyDescent="0.2">
      <c r="A80" s="2" t="s">
        <v>366</v>
      </c>
      <c r="B80" s="2" t="s">
        <v>367</v>
      </c>
      <c r="C80" s="11" t="s">
        <v>79</v>
      </c>
      <c r="G80" s="2" t="s">
        <v>162</v>
      </c>
      <c r="H80" s="41" t="s">
        <v>82</v>
      </c>
      <c r="I80" s="41" t="s">
        <v>82</v>
      </c>
      <c r="J80" s="41" t="s">
        <v>82</v>
      </c>
      <c r="K80" s="41" t="s">
        <v>82</v>
      </c>
      <c r="L80" s="41" t="s">
        <v>82</v>
      </c>
      <c r="M80" s="41" t="s">
        <v>82</v>
      </c>
      <c r="N80" s="41" t="s">
        <v>82</v>
      </c>
      <c r="O80" s="41" t="s">
        <v>82</v>
      </c>
      <c r="P80" s="41" t="s">
        <v>82</v>
      </c>
      <c r="Q80" s="41" t="s">
        <v>79</v>
      </c>
      <c r="R80" s="41" t="s">
        <v>79</v>
      </c>
      <c r="S80" s="41" t="s">
        <v>79</v>
      </c>
      <c r="T80" s="41" t="s">
        <v>79</v>
      </c>
      <c r="U80" s="41" t="s">
        <v>79</v>
      </c>
      <c r="V80" s="41" t="s">
        <v>79</v>
      </c>
      <c r="W80" s="41" t="s">
        <v>79</v>
      </c>
      <c r="X80" s="41" t="s">
        <v>79</v>
      </c>
      <c r="Y80" s="41" t="s">
        <v>79</v>
      </c>
      <c r="Z80" s="41" t="s">
        <v>79</v>
      </c>
      <c r="AA80" s="41" t="s">
        <v>79</v>
      </c>
      <c r="AB80" s="41" t="s">
        <v>79</v>
      </c>
      <c r="AC80" s="41" t="s">
        <v>79</v>
      </c>
      <c r="AD80" s="41" t="s">
        <v>79</v>
      </c>
      <c r="AE80" s="41" t="s">
        <v>79</v>
      </c>
      <c r="AF80" s="41" t="s">
        <v>79</v>
      </c>
      <c r="AG80" s="41" t="s">
        <v>79</v>
      </c>
      <c r="AH80" s="41" t="s">
        <v>79</v>
      </c>
      <c r="AI80" s="41" t="s">
        <v>79</v>
      </c>
      <c r="AJ80" s="41" t="s">
        <v>79</v>
      </c>
      <c r="AK80" s="41" t="s">
        <v>79</v>
      </c>
      <c r="AL80" s="41" t="s">
        <v>79</v>
      </c>
      <c r="AM80" s="41" t="s">
        <v>79</v>
      </c>
      <c r="AN80" s="41" t="s">
        <v>79</v>
      </c>
      <c r="AO80" s="41" t="s">
        <v>79</v>
      </c>
      <c r="AP80" s="41" t="s">
        <v>79</v>
      </c>
      <c r="AQ80" s="41" t="s">
        <v>79</v>
      </c>
      <c r="AR80" s="41" t="s">
        <v>79</v>
      </c>
      <c r="AS80" s="41" t="s">
        <v>79</v>
      </c>
      <c r="AT80" s="41" t="s">
        <v>79</v>
      </c>
      <c r="AU80" s="42" t="str">
        <f>IF('GNI per capita'!AU80&lt;=Thresholds!$C$44,"L",IF('GNI per capita'!AU80&lt;=Thresholds!$D$44,"LM",IF('GNI per capita'!AU80&lt;=Thresholds!$E$44,"UM","H")))</f>
        <v>H</v>
      </c>
      <c r="AV80" s="42" t="str">
        <f>IF('GNI per capita'!AV80&lt;=Thresholds!$C$45,"L",IF('GNI per capita'!AV80&lt;=Thresholds!$D$45,"LM",IF('GNI per capita'!AV80&lt;=Thresholds!$E$45,"UM","H")))</f>
        <v>H</v>
      </c>
      <c r="AW80" s="42" t="str">
        <f>IF('GNI per capita'!AW80&lt;=Thresholds!$C$46,"L",IF('GNI per capita'!AW80&lt;=Thresholds!$D$46,"LM",IF('GNI per capita'!AW80&lt;=Thresholds!$E$46,"UM","H")))</f>
        <v>H</v>
      </c>
      <c r="AX80" s="42" t="str">
        <f>IF('GNI per capita'!AX80&lt;=Thresholds!$C$47,"L",IF('GNI per capita'!AX80&lt;=Thresholds!$D$47,"LM",IF('GNI per capita'!AX80&lt;=Thresholds!$E$47,"UM","H")))</f>
        <v>H</v>
      </c>
      <c r="AY80" s="42" t="str">
        <f>IF('GNI per capita'!AY80&lt;=Thresholds!$C$48,"L",IF('GNI per capita'!AY80&lt;=Thresholds!$D$48,"LM",IF('GNI per capita'!AY80&lt;=Thresholds!$E$48,"UM","H")))</f>
        <v>H</v>
      </c>
      <c r="AZ80" s="42" t="str">
        <f>IF('GNI per capita'!AZ80&lt;=Thresholds!$C$49,"L",IF('GNI per capita'!AZ80&lt;=Thresholds!$D$49,"LM",IF('GNI per capita'!AZ80&lt;=Thresholds!$E$49,"UM","H")))</f>
        <v>H</v>
      </c>
      <c r="BA80" s="42" t="str">
        <f>IF('GNI per capita'!BA80&lt;=Thresholds!$C$50,"L",IF('GNI per capita'!BA80&lt;=Thresholds!$D$50,"LM",IF('GNI per capita'!BA80&lt;=Thresholds!$E$50,"UM","H")))</f>
        <v>H</v>
      </c>
      <c r="BB80" s="42" t="str">
        <f>IF('GNI per capita'!BB80&lt;=Thresholds!$C$51,"L",IF('GNI per capita'!BB80&lt;=Thresholds!$D$51,"LM",IF('GNI per capita'!BB80&lt;=Thresholds!$E$51,"UM","H")))</f>
        <v>H</v>
      </c>
      <c r="BC80" s="42" t="str">
        <f>IF('GNI per capita'!BC80&lt;=Thresholds!$C$52,"L",IF('GNI per capita'!BC80&lt;=Thresholds!$D$52,"LM",IF('GNI per capita'!BC80&lt;=Thresholds!$E$52,"UM","H")))</f>
        <v>H</v>
      </c>
      <c r="BD80" s="42" t="str">
        <f>IF('GNI per capita'!BD80&lt;=Thresholds!$C$53,"L",IF('GNI per capita'!BD80&lt;=Thresholds!$D$53,"LM",IF('GNI per capita'!BD80&lt;=Thresholds!$E$53,"UM","H")))</f>
        <v>H</v>
      </c>
      <c r="BE80" s="42" t="str">
        <f>IF('GNI per capita'!BE80&lt;=Thresholds!$C$54,"L",IF('GNI per capita'!BE80&lt;=Thresholds!$D$54,"LM",IF('GNI per capita'!BE80&lt;=Thresholds!$E$54,"UM","H")))</f>
        <v>H</v>
      </c>
      <c r="BF80" s="42" t="str">
        <f>IF('GNI per capita'!BF80&lt;=Thresholds!$C$55,"L",IF('GNI per capita'!BF80&lt;=Thresholds!$D$55,"LM",IF('GNI per capita'!BF80&lt;=Thresholds!$E$55,"UM","H")))</f>
        <v>H</v>
      </c>
      <c r="BG80" s="42" t="str">
        <f>IF('GNI per capita'!BG80&lt;=Thresholds!$C$56,"L",IF('GNI per capita'!BG80&lt;=Thresholds!$D$56,"LM",IF('GNI per capita'!BG80&lt;=Thresholds!$E$56,"UM","H")))</f>
        <v>H</v>
      </c>
      <c r="BH80" s="42" t="str">
        <f>IF('GNI per capita'!BH80&lt;=Thresholds!$C$57,"L",IF('GNI per capita'!BH80&lt;=Thresholds!$D$57,"LM",IF('GNI per capita'!BH80&lt;=Thresholds!$E$57,"UM","H")))</f>
        <v>H</v>
      </c>
      <c r="BI80" s="42" t="str">
        <f>IF('GNI per capita'!BI80&lt;=Thresholds!$C$58,"L",IF('GNI per capita'!BI80&lt;=Thresholds!$D$58,"LM",IF('GNI per capita'!BI80&lt;=Thresholds!$E$58,"UM","H")))</f>
        <v>H</v>
      </c>
      <c r="BJ80" s="42" t="str">
        <f>IF('GNI per capita'!BJ80&lt;=Thresholds!$C$59,"L",IF('GNI per capita'!BJ80&lt;=Thresholds!$D$59,"LM",IF('GNI per capita'!BJ80&lt;=Thresholds!$E$59,"UM","H")))</f>
        <v>H</v>
      </c>
      <c r="BK80" s="42" t="str">
        <f>IF('GNI per capita'!BK80&lt;=Thresholds!$C$60,"L",IF('GNI per capita'!BK80&lt;=Thresholds!$D$60,"LM",IF('GNI per capita'!BK80&lt;=Thresholds!$E$60,"UM","H")))</f>
        <v>H</v>
      </c>
      <c r="BL80" s="42" t="str">
        <f>IF('GNI per capita'!BL80&lt;=Thresholds!$C$61,"L",IF('GNI per capita'!BL80&lt;=Thresholds!$D$61,"LM",IF('GNI per capita'!BL80&lt;=Thresholds!$E$61,"UM","H")))</f>
        <v>H</v>
      </c>
      <c r="BM80" s="42" t="str">
        <f>IF('GNI per capita'!BM80&lt;=Thresholds!$C$62,"L",IF('GNI per capita'!BM80&lt;=Thresholds!$D$62,"LM",IF('GNI per capita'!BM80&lt;=Thresholds!$E$62,"UM","H")))</f>
        <v>H</v>
      </c>
      <c r="BN80" s="42" t="str">
        <f>IF('GNI per capita'!BN80&lt;=Thresholds!$C$63,"L",IF('GNI per capita'!BN80&lt;=Thresholds!$D$63,"LM",IF('GNI per capita'!BN80&lt;=Thresholds!$E$63,"UM","H")))</f>
        <v>H</v>
      </c>
      <c r="BO80" s="42" t="str">
        <f>IF('GNI per capita'!BO80&lt;=Thresholds!$C$64,"L",IF('GNI per capita'!BO80&lt;=Thresholds!$D$64,"LM",IF('GNI per capita'!BO80&lt;=Thresholds!$E$64,"UM","H")))</f>
        <v>H</v>
      </c>
      <c r="BP80" s="42" t="str">
        <f>IF('GNI per capita'!BP80&lt;=Thresholds!$C$65,"L",IF('GNI per capita'!BP80&lt;=Thresholds!$D$65,"LM",IF('GNI per capita'!BP80&lt;=Thresholds!$E$65,"UM","H")))</f>
        <v>H</v>
      </c>
      <c r="BQ80" s="42" t="str">
        <f>IF('GNI per capita'!BQ80&lt;=Thresholds!$C$66,"L",IF('GNI per capita'!BQ80&lt;=Thresholds!$D$66,"LM",IF('GNI per capita'!BQ80&lt;=Thresholds!$E$66,"UM","H")))</f>
        <v>H</v>
      </c>
      <c r="BR80" s="42" t="str">
        <f>IF('GNI per capita'!BR80&lt;=Thresholds!$C$67,"L",IF('GNI per capita'!BR80&lt;=Thresholds!$D$67,"LM",IF('GNI per capita'!BR80&lt;=Thresholds!$E$67,"UM","H")))</f>
        <v>H</v>
      </c>
      <c r="BS80" s="42" t="str">
        <f>IF('GNI per capita'!BS80&lt;=Thresholds!$C$68,"L",IF('GNI per capita'!BS80&lt;=Thresholds!$D$68,"LM",IF('GNI per capita'!BS80&lt;=Thresholds!$E$68,"UM","H")))</f>
        <v>H</v>
      </c>
    </row>
    <row r="81" spans="1:71" x14ac:dyDescent="0.2">
      <c r="A81" s="2" t="s">
        <v>368</v>
      </c>
      <c r="B81" s="2" t="s">
        <v>369</v>
      </c>
      <c r="C81" s="11" t="s">
        <v>79</v>
      </c>
      <c r="G81" s="28" t="s">
        <v>204</v>
      </c>
      <c r="H81" s="41" t="s">
        <v>79</v>
      </c>
      <c r="I81" s="41" t="s">
        <v>79</v>
      </c>
      <c r="J81" s="41" t="s">
        <v>79</v>
      </c>
      <c r="K81" s="41" t="s">
        <v>79</v>
      </c>
      <c r="L81" s="41" t="s">
        <v>79</v>
      </c>
      <c r="M81" s="41" t="s">
        <v>79</v>
      </c>
      <c r="N81" s="41" t="s">
        <v>79</v>
      </c>
      <c r="O81" s="41" t="s">
        <v>79</v>
      </c>
      <c r="P81" s="41" t="s">
        <v>79</v>
      </c>
      <c r="Q81" s="41" t="s">
        <v>79</v>
      </c>
      <c r="R81" s="41" t="s">
        <v>79</v>
      </c>
      <c r="S81" s="41" t="s">
        <v>79</v>
      </c>
      <c r="T81" s="41" t="s">
        <v>79</v>
      </c>
      <c r="U81" s="41" t="s">
        <v>79</v>
      </c>
      <c r="V81" s="41" t="s">
        <v>79</v>
      </c>
      <c r="W81" s="41" t="s">
        <v>79</v>
      </c>
      <c r="X81" s="41" t="s">
        <v>79</v>
      </c>
      <c r="Y81" s="41" t="s">
        <v>79</v>
      </c>
      <c r="Z81" s="41" t="s">
        <v>79</v>
      </c>
      <c r="AA81" s="41" t="s">
        <v>79</v>
      </c>
      <c r="AB81" s="41" t="s">
        <v>79</v>
      </c>
      <c r="AC81" s="41" t="s">
        <v>79</v>
      </c>
      <c r="AD81" s="41" t="s">
        <v>79</v>
      </c>
      <c r="AE81" s="41" t="s">
        <v>79</v>
      </c>
      <c r="AF81" s="41" t="s">
        <v>79</v>
      </c>
      <c r="AG81" s="41" t="s">
        <v>79</v>
      </c>
      <c r="AH81" s="41" t="s">
        <v>79</v>
      </c>
      <c r="AI81" s="41" t="s">
        <v>79</v>
      </c>
      <c r="AJ81" s="41" t="s">
        <v>79</v>
      </c>
      <c r="AK81" s="41" t="s">
        <v>79</v>
      </c>
      <c r="AL81" s="41" t="s">
        <v>79</v>
      </c>
      <c r="AM81" s="41" t="s">
        <v>79</v>
      </c>
      <c r="AN81" s="41" t="s">
        <v>79</v>
      </c>
      <c r="AO81" s="41" t="s">
        <v>79</v>
      </c>
      <c r="AP81" s="41" t="s">
        <v>79</v>
      </c>
      <c r="AQ81" s="41" t="s">
        <v>79</v>
      </c>
      <c r="AR81" s="41" t="s">
        <v>79</v>
      </c>
      <c r="AS81" s="41" t="s">
        <v>79</v>
      </c>
      <c r="AT81" s="41" t="s">
        <v>79</v>
      </c>
      <c r="AU81" s="42" t="str">
        <f t="shared" ref="AU81:BS81" si="7">$C81</f>
        <v>H</v>
      </c>
      <c r="AV81" s="42" t="str">
        <f t="shared" si="7"/>
        <v>H</v>
      </c>
      <c r="AW81" s="42" t="str">
        <f t="shared" si="7"/>
        <v>H</v>
      </c>
      <c r="AX81" s="42" t="str">
        <f t="shared" si="7"/>
        <v>H</v>
      </c>
      <c r="AY81" s="42" t="str">
        <f t="shared" si="7"/>
        <v>H</v>
      </c>
      <c r="AZ81" s="42" t="str">
        <f t="shared" si="7"/>
        <v>H</v>
      </c>
      <c r="BA81" s="42" t="str">
        <f t="shared" si="7"/>
        <v>H</v>
      </c>
      <c r="BB81" s="42" t="str">
        <f t="shared" si="7"/>
        <v>H</v>
      </c>
      <c r="BC81" s="42" t="str">
        <f t="shared" si="7"/>
        <v>H</v>
      </c>
      <c r="BD81" s="42" t="str">
        <f t="shared" si="7"/>
        <v>H</v>
      </c>
      <c r="BE81" s="42" t="str">
        <f t="shared" si="7"/>
        <v>H</v>
      </c>
      <c r="BF81" s="42" t="str">
        <f t="shared" si="7"/>
        <v>H</v>
      </c>
      <c r="BG81" s="42" t="str">
        <f t="shared" si="7"/>
        <v>H</v>
      </c>
      <c r="BH81" s="42" t="str">
        <f t="shared" si="7"/>
        <v>H</v>
      </c>
      <c r="BI81" s="42" t="str">
        <f t="shared" si="7"/>
        <v>H</v>
      </c>
      <c r="BJ81" s="42" t="str">
        <f t="shared" si="7"/>
        <v>H</v>
      </c>
      <c r="BK81" s="42" t="str">
        <f t="shared" si="7"/>
        <v>H</v>
      </c>
      <c r="BL81" s="42" t="str">
        <f t="shared" si="7"/>
        <v>H</v>
      </c>
      <c r="BM81" s="42" t="str">
        <f t="shared" si="7"/>
        <v>H</v>
      </c>
      <c r="BN81" s="42" t="str">
        <f t="shared" si="7"/>
        <v>H</v>
      </c>
      <c r="BO81" s="42" t="str">
        <f t="shared" si="7"/>
        <v>H</v>
      </c>
      <c r="BP81" s="42" t="str">
        <f t="shared" si="7"/>
        <v>H</v>
      </c>
      <c r="BQ81" s="42" t="str">
        <f t="shared" si="7"/>
        <v>H</v>
      </c>
      <c r="BR81" s="42" t="str">
        <f t="shared" si="7"/>
        <v>H</v>
      </c>
      <c r="BS81" s="42" t="str">
        <f t="shared" si="7"/>
        <v>H</v>
      </c>
    </row>
    <row r="82" spans="1:71" x14ac:dyDescent="0.2">
      <c r="A82" s="2" t="s">
        <v>370</v>
      </c>
      <c r="B82" s="2" t="s">
        <v>371</v>
      </c>
      <c r="C82" s="11" t="s">
        <v>82</v>
      </c>
      <c r="G82" s="2" t="s">
        <v>162</v>
      </c>
      <c r="H82" s="41" t="s">
        <v>210</v>
      </c>
      <c r="I82" s="41" t="s">
        <v>210</v>
      </c>
      <c r="J82" s="41" t="s">
        <v>210</v>
      </c>
      <c r="K82" s="41" t="s">
        <v>210</v>
      </c>
      <c r="L82" s="41" t="s">
        <v>210</v>
      </c>
      <c r="M82" s="41" t="s">
        <v>210</v>
      </c>
      <c r="N82" s="41" t="s">
        <v>210</v>
      </c>
      <c r="O82" s="41" t="s">
        <v>210</v>
      </c>
      <c r="P82" s="41" t="s">
        <v>210</v>
      </c>
      <c r="Q82" s="41" t="s">
        <v>210</v>
      </c>
      <c r="R82" s="41" t="s">
        <v>82</v>
      </c>
      <c r="S82" s="41" t="s">
        <v>82</v>
      </c>
      <c r="T82" s="41" t="s">
        <v>82</v>
      </c>
      <c r="U82" s="41" t="s">
        <v>82</v>
      </c>
      <c r="V82" s="41" t="s">
        <v>82</v>
      </c>
      <c r="W82" s="41" t="s">
        <v>82</v>
      </c>
      <c r="X82" s="41" t="s">
        <v>82</v>
      </c>
      <c r="Y82" s="41" t="s">
        <v>82</v>
      </c>
      <c r="Z82" s="41" t="s">
        <v>82</v>
      </c>
      <c r="AA82" s="41" t="s">
        <v>82</v>
      </c>
      <c r="AB82" s="41" t="s">
        <v>82</v>
      </c>
      <c r="AC82" s="41" t="s">
        <v>82</v>
      </c>
      <c r="AD82" s="41" t="s">
        <v>82</v>
      </c>
      <c r="AE82" s="41" t="s">
        <v>82</v>
      </c>
      <c r="AF82" s="41" t="s">
        <v>82</v>
      </c>
      <c r="AG82" s="41" t="s">
        <v>82</v>
      </c>
      <c r="AH82" s="41" t="s">
        <v>82</v>
      </c>
      <c r="AI82" s="41" t="s">
        <v>82</v>
      </c>
      <c r="AJ82" s="41" t="s">
        <v>82</v>
      </c>
      <c r="AK82" s="41" t="s">
        <v>82</v>
      </c>
      <c r="AL82" s="41" t="s">
        <v>82</v>
      </c>
      <c r="AM82" s="41" t="s">
        <v>82</v>
      </c>
      <c r="AN82" s="41" t="s">
        <v>82</v>
      </c>
      <c r="AO82" s="41" t="s">
        <v>82</v>
      </c>
      <c r="AP82" s="41" t="s">
        <v>82</v>
      </c>
      <c r="AQ82" s="41" t="s">
        <v>82</v>
      </c>
      <c r="AR82" s="41" t="s">
        <v>82</v>
      </c>
      <c r="AS82" s="41" t="s">
        <v>82</v>
      </c>
      <c r="AT82" s="41" t="s">
        <v>82</v>
      </c>
      <c r="AU82" s="42" t="str">
        <f>IF('GNI per capita'!AU82&lt;=Thresholds!$C$44,"L",IF('GNI per capita'!AU82&lt;=Thresholds!$D$44,"LM",IF('GNI per capita'!AU82&lt;=Thresholds!$E$44,"UM","H")))</f>
        <v>UM</v>
      </c>
      <c r="AV82" s="42" t="str">
        <f>IF('GNI per capita'!AV82&lt;=Thresholds!$C$45,"L",IF('GNI per capita'!AV82&lt;=Thresholds!$D$45,"LM",IF('GNI per capita'!AV82&lt;=Thresholds!$E$45,"UM","H")))</f>
        <v>UM</v>
      </c>
      <c r="AW82" s="42" t="str">
        <f>IF('GNI per capita'!AW82&lt;=Thresholds!$C$46,"L",IF('GNI per capita'!AW82&lt;=Thresholds!$D$46,"LM",IF('GNI per capita'!AW82&lt;=Thresholds!$E$46,"UM","H")))</f>
        <v>UM</v>
      </c>
      <c r="AX82" s="42" t="str">
        <f>IF('GNI per capita'!AX82&lt;=Thresholds!$C$47,"L",IF('GNI per capita'!AX82&lt;=Thresholds!$D$47,"LM",IF('GNI per capita'!AX82&lt;=Thresholds!$E$47,"UM","H")))</f>
        <v>UM</v>
      </c>
      <c r="AY82" s="42" t="str">
        <f>IF('GNI per capita'!AY82&lt;=Thresholds!$C$48,"L",IF('GNI per capita'!AY82&lt;=Thresholds!$D$48,"LM",IF('GNI per capita'!AY82&lt;=Thresholds!$E$48,"UM","H")))</f>
        <v>H</v>
      </c>
      <c r="AZ82" s="42" t="str">
        <f>IF('GNI per capita'!AZ82&lt;=Thresholds!$C$49,"L",IF('GNI per capita'!AZ82&lt;=Thresholds!$D$49,"LM",IF('GNI per capita'!AZ82&lt;=Thresholds!$E$49,"UM","H")))</f>
        <v>H</v>
      </c>
      <c r="BA82" s="42" t="str">
        <f>IF('GNI per capita'!BA82&lt;=Thresholds!$C$50,"L",IF('GNI per capita'!BA82&lt;=Thresholds!$D$50,"LM",IF('GNI per capita'!BA82&lt;=Thresholds!$E$50,"UM","H")))</f>
        <v>H</v>
      </c>
      <c r="BB82" s="42" t="str">
        <f>IF('GNI per capita'!BB82&lt;=Thresholds!$C$51,"L",IF('GNI per capita'!BB82&lt;=Thresholds!$D$51,"LM",IF('GNI per capita'!BB82&lt;=Thresholds!$E$51,"UM","H")))</f>
        <v>H</v>
      </c>
      <c r="BC82" s="42" t="str">
        <f>IF('GNI per capita'!BC82&lt;=Thresholds!$C$52,"L",IF('GNI per capita'!BC82&lt;=Thresholds!$D$52,"LM",IF('GNI per capita'!BC82&lt;=Thresholds!$E$52,"UM","H")))</f>
        <v>H</v>
      </c>
      <c r="BD82" s="42" t="str">
        <f>IF('GNI per capita'!BD82&lt;=Thresholds!$C$53,"L",IF('GNI per capita'!BD82&lt;=Thresholds!$D$53,"LM",IF('GNI per capita'!BD82&lt;=Thresholds!$E$53,"UM","H")))</f>
        <v>H</v>
      </c>
      <c r="BE82" s="42" t="str">
        <f>IF('GNI per capita'!BE82&lt;=Thresholds!$C$54,"L",IF('GNI per capita'!BE82&lt;=Thresholds!$D$54,"LM",IF('GNI per capita'!BE82&lt;=Thresholds!$E$54,"UM","H")))</f>
        <v>H</v>
      </c>
      <c r="BF82" s="42" t="str">
        <f>IF('GNI per capita'!BF82&lt;=Thresholds!$C$55,"L",IF('GNI per capita'!BF82&lt;=Thresholds!$D$55,"LM",IF('GNI per capita'!BF82&lt;=Thresholds!$E$55,"UM","H")))</f>
        <v>H</v>
      </c>
      <c r="BG82" s="42" t="str">
        <f>IF('GNI per capita'!BG82&lt;=Thresholds!$C$56,"L",IF('GNI per capita'!BG82&lt;=Thresholds!$D$56,"LM",IF('GNI per capita'!BG82&lt;=Thresholds!$E$56,"UM","H")))</f>
        <v>H</v>
      </c>
      <c r="BH82" s="42" t="str">
        <f>IF('GNI per capita'!BH82&lt;=Thresholds!$C$57,"L",IF('GNI per capita'!BH82&lt;=Thresholds!$D$57,"LM",IF('GNI per capita'!BH82&lt;=Thresholds!$E$57,"UM","H")))</f>
        <v>H</v>
      </c>
      <c r="BI82" s="42" t="str">
        <f>IF('GNI per capita'!BI82&lt;=Thresholds!$C$58,"L",IF('GNI per capita'!BI82&lt;=Thresholds!$D$58,"LM",IF('GNI per capita'!BI82&lt;=Thresholds!$E$58,"UM","H")))</f>
        <v>H</v>
      </c>
      <c r="BJ82" s="42" t="str">
        <f>IF('GNI per capita'!BJ82&lt;=Thresholds!$C$59,"L",IF('GNI per capita'!BJ82&lt;=Thresholds!$D$59,"LM",IF('GNI per capita'!BJ82&lt;=Thresholds!$E$59,"UM","H")))</f>
        <v>H</v>
      </c>
      <c r="BK82" s="42" t="str">
        <f>IF('GNI per capita'!BK82&lt;=Thresholds!$C$60,"L",IF('GNI per capita'!BK82&lt;=Thresholds!$D$60,"LM",IF('GNI per capita'!BK82&lt;=Thresholds!$E$60,"UM","H")))</f>
        <v>H</v>
      </c>
      <c r="BL82" s="42" t="str">
        <f>IF('GNI per capita'!BL82&lt;=Thresholds!$C$61,"L",IF('GNI per capita'!BL82&lt;=Thresholds!$D$61,"LM",IF('GNI per capita'!BL82&lt;=Thresholds!$E$61,"UM","H")))</f>
        <v>H</v>
      </c>
      <c r="BM82" s="42" t="str">
        <f>IF('GNI per capita'!BM82&lt;=Thresholds!$C$62,"L",IF('GNI per capita'!BM82&lt;=Thresholds!$D$62,"LM",IF('GNI per capita'!BM82&lt;=Thresholds!$E$62,"UM","H")))</f>
        <v>H</v>
      </c>
      <c r="BN82" s="42" t="str">
        <f>IF('GNI per capita'!BN82&lt;=Thresholds!$C$63,"L",IF('GNI per capita'!BN82&lt;=Thresholds!$D$63,"LM",IF('GNI per capita'!BN82&lt;=Thresholds!$E$63,"UM","H")))</f>
        <v>H</v>
      </c>
      <c r="BO82" s="42" t="str">
        <f>IF('GNI per capita'!BO82&lt;=Thresholds!$C$64,"L",IF('GNI per capita'!BO82&lt;=Thresholds!$D$64,"LM",IF('GNI per capita'!BO82&lt;=Thresholds!$E$64,"UM","H")))</f>
        <v>H</v>
      </c>
      <c r="BP82" s="42" t="str">
        <f>IF('GNI per capita'!BP82&lt;=Thresholds!$C$65,"L",IF('GNI per capita'!BP82&lt;=Thresholds!$D$65,"LM",IF('GNI per capita'!BP82&lt;=Thresholds!$E$65,"UM","H")))</f>
        <v>H</v>
      </c>
      <c r="BQ82" s="42" t="str">
        <f>IF('GNI per capita'!BQ82&lt;=Thresholds!$C$66,"L",IF('GNI per capita'!BQ82&lt;=Thresholds!$D$66,"LM",IF('GNI per capita'!BQ82&lt;=Thresholds!$E$66,"UM","H")))</f>
        <v>H</v>
      </c>
      <c r="BR82" s="42" t="str">
        <f>IF('GNI per capita'!BR82&lt;=Thresholds!$C$67,"L",IF('GNI per capita'!BR82&lt;=Thresholds!$D$67,"LM",IF('GNI per capita'!BR82&lt;=Thresholds!$E$67,"UM","H")))</f>
        <v>H</v>
      </c>
      <c r="BS82" s="42" t="str">
        <f>IF('GNI per capita'!BS82&lt;=Thresholds!$C$68,"L",IF('GNI per capita'!BS82&lt;=Thresholds!$D$68,"LM",IF('GNI per capita'!BS82&lt;=Thresholds!$E$68,"UM","H")))</f>
        <v>H</v>
      </c>
    </row>
    <row r="83" spans="1:71" x14ac:dyDescent="0.2">
      <c r="A83" s="2" t="s">
        <v>372</v>
      </c>
      <c r="B83" s="2" t="s">
        <v>373</v>
      </c>
      <c r="C83" s="11" t="s">
        <v>79</v>
      </c>
      <c r="G83" s="28" t="s">
        <v>204</v>
      </c>
      <c r="H83" s="41" t="s">
        <v>79</v>
      </c>
      <c r="I83" s="41" t="s">
        <v>79</v>
      </c>
      <c r="J83" s="41" t="s">
        <v>79</v>
      </c>
      <c r="K83" s="41" t="s">
        <v>82</v>
      </c>
      <c r="L83" s="41" t="s">
        <v>82</v>
      </c>
      <c r="M83" s="41" t="s">
        <v>82</v>
      </c>
      <c r="N83" s="41" t="s">
        <v>82</v>
      </c>
      <c r="O83" s="41" t="s">
        <v>82</v>
      </c>
      <c r="P83" s="41" t="s">
        <v>79</v>
      </c>
      <c r="Q83" s="41" t="s">
        <v>79</v>
      </c>
      <c r="R83" s="41" t="s">
        <v>79</v>
      </c>
      <c r="S83" s="41" t="s">
        <v>79</v>
      </c>
      <c r="T83" s="41" t="s">
        <v>79</v>
      </c>
      <c r="U83" s="41" t="s">
        <v>79</v>
      </c>
      <c r="V83" s="41" t="s">
        <v>79</v>
      </c>
      <c r="W83" s="41" t="s">
        <v>79</v>
      </c>
      <c r="X83" s="41" t="s">
        <v>79</v>
      </c>
      <c r="Y83" s="41" t="s">
        <v>79</v>
      </c>
      <c r="Z83" s="41" t="s">
        <v>79</v>
      </c>
      <c r="AA83" s="41" t="s">
        <v>79</v>
      </c>
      <c r="AB83" s="41" t="s">
        <v>79</v>
      </c>
      <c r="AC83" s="41" t="s">
        <v>79</v>
      </c>
      <c r="AD83" s="41" t="s">
        <v>79</v>
      </c>
      <c r="AE83" s="41" t="s">
        <v>79</v>
      </c>
      <c r="AF83" s="41" t="s">
        <v>79</v>
      </c>
      <c r="AG83" s="41" t="s">
        <v>79</v>
      </c>
      <c r="AH83" s="41" t="s">
        <v>79</v>
      </c>
      <c r="AI83" s="41" t="s">
        <v>79</v>
      </c>
      <c r="AJ83" s="41" t="s">
        <v>79</v>
      </c>
      <c r="AK83" s="41" t="s">
        <v>79</v>
      </c>
      <c r="AL83" s="41" t="s">
        <v>79</v>
      </c>
      <c r="AM83" s="41" t="s">
        <v>79</v>
      </c>
      <c r="AN83" s="41" t="s">
        <v>79</v>
      </c>
      <c r="AO83" s="41" t="s">
        <v>79</v>
      </c>
      <c r="AP83" s="41" t="s">
        <v>79</v>
      </c>
      <c r="AQ83" s="41" t="s">
        <v>79</v>
      </c>
      <c r="AR83" s="41" t="s">
        <v>79</v>
      </c>
      <c r="AS83" s="41" t="s">
        <v>79</v>
      </c>
      <c r="AT83" s="41" t="s">
        <v>79</v>
      </c>
      <c r="AU83" s="42" t="str">
        <f t="shared" ref="AU83:BS83" si="8">$C83</f>
        <v>H</v>
      </c>
      <c r="AV83" s="42" t="str">
        <f t="shared" si="8"/>
        <v>H</v>
      </c>
      <c r="AW83" s="42" t="str">
        <f t="shared" si="8"/>
        <v>H</v>
      </c>
      <c r="AX83" s="42" t="str">
        <f t="shared" si="8"/>
        <v>H</v>
      </c>
      <c r="AY83" s="42" t="str">
        <f t="shared" si="8"/>
        <v>H</v>
      </c>
      <c r="AZ83" s="42" t="str">
        <f t="shared" si="8"/>
        <v>H</v>
      </c>
      <c r="BA83" s="42" t="str">
        <f t="shared" si="8"/>
        <v>H</v>
      </c>
      <c r="BB83" s="42" t="str">
        <f t="shared" si="8"/>
        <v>H</v>
      </c>
      <c r="BC83" s="42" t="str">
        <f t="shared" si="8"/>
        <v>H</v>
      </c>
      <c r="BD83" s="42" t="str">
        <f t="shared" si="8"/>
        <v>H</v>
      </c>
      <c r="BE83" s="42" t="str">
        <f t="shared" si="8"/>
        <v>H</v>
      </c>
      <c r="BF83" s="42" t="str">
        <f t="shared" si="8"/>
        <v>H</v>
      </c>
      <c r="BG83" s="42" t="str">
        <f t="shared" si="8"/>
        <v>H</v>
      </c>
      <c r="BH83" s="42" t="str">
        <f t="shared" si="8"/>
        <v>H</v>
      </c>
      <c r="BI83" s="42" t="str">
        <f t="shared" si="8"/>
        <v>H</v>
      </c>
      <c r="BJ83" s="42" t="str">
        <f t="shared" si="8"/>
        <v>H</v>
      </c>
      <c r="BK83" s="42" t="str">
        <f t="shared" si="8"/>
        <v>H</v>
      </c>
      <c r="BL83" s="42" t="str">
        <f t="shared" si="8"/>
        <v>H</v>
      </c>
      <c r="BM83" s="42" t="str">
        <f t="shared" si="8"/>
        <v>H</v>
      </c>
      <c r="BN83" s="42" t="str">
        <f t="shared" si="8"/>
        <v>H</v>
      </c>
      <c r="BO83" s="42" t="str">
        <f t="shared" si="8"/>
        <v>H</v>
      </c>
      <c r="BP83" s="42" t="str">
        <f t="shared" si="8"/>
        <v>H</v>
      </c>
      <c r="BQ83" s="42" t="str">
        <f t="shared" si="8"/>
        <v>H</v>
      </c>
      <c r="BR83" s="42" t="str">
        <f t="shared" si="8"/>
        <v>H</v>
      </c>
      <c r="BS83" s="42" t="str">
        <f t="shared" si="8"/>
        <v>H</v>
      </c>
    </row>
    <row r="84" spans="1:71" x14ac:dyDescent="0.2">
      <c r="A84" s="2" t="s">
        <v>374</v>
      </c>
      <c r="B84" s="2" t="s">
        <v>375</v>
      </c>
      <c r="C84" s="11" t="s">
        <v>82</v>
      </c>
      <c r="G84" s="2" t="s">
        <v>162</v>
      </c>
      <c r="H84" s="41" t="s">
        <v>210</v>
      </c>
      <c r="I84" s="41" t="s">
        <v>210</v>
      </c>
      <c r="J84" s="41" t="s">
        <v>210</v>
      </c>
      <c r="K84" s="41" t="s">
        <v>210</v>
      </c>
      <c r="L84" s="41" t="s">
        <v>210</v>
      </c>
      <c r="M84" s="41" t="s">
        <v>210</v>
      </c>
      <c r="N84" s="41" t="s">
        <v>210</v>
      </c>
      <c r="O84" s="41" t="s">
        <v>210</v>
      </c>
      <c r="P84" s="41" t="s">
        <v>210</v>
      </c>
      <c r="Q84" s="41" t="s">
        <v>210</v>
      </c>
      <c r="R84" s="41" t="s">
        <v>210</v>
      </c>
      <c r="S84" s="41" t="s">
        <v>210</v>
      </c>
      <c r="T84" s="41" t="s">
        <v>210</v>
      </c>
      <c r="U84" s="41" t="s">
        <v>210</v>
      </c>
      <c r="V84" s="41" t="s">
        <v>210</v>
      </c>
      <c r="W84" s="41" t="s">
        <v>210</v>
      </c>
      <c r="X84" s="41" t="s">
        <v>210</v>
      </c>
      <c r="Y84" s="41" t="s">
        <v>210</v>
      </c>
      <c r="Z84" s="41" t="s">
        <v>210</v>
      </c>
      <c r="AA84" s="41" t="s">
        <v>210</v>
      </c>
      <c r="AB84" s="41" t="s">
        <v>210</v>
      </c>
      <c r="AC84" s="41" t="s">
        <v>210</v>
      </c>
      <c r="AD84" s="41" t="s">
        <v>210</v>
      </c>
      <c r="AE84" s="41" t="s">
        <v>210</v>
      </c>
      <c r="AF84" s="41" t="s">
        <v>210</v>
      </c>
      <c r="AG84" s="41" t="s">
        <v>210</v>
      </c>
      <c r="AH84" s="41" t="s">
        <v>210</v>
      </c>
      <c r="AI84" s="41" t="s">
        <v>210</v>
      </c>
      <c r="AJ84" s="41" t="s">
        <v>210</v>
      </c>
      <c r="AK84" s="41" t="s">
        <v>210</v>
      </c>
      <c r="AL84" s="41" t="s">
        <v>82</v>
      </c>
      <c r="AM84" s="41" t="s">
        <v>82</v>
      </c>
      <c r="AN84" s="41" t="s">
        <v>82</v>
      </c>
      <c r="AO84" s="41" t="s">
        <v>82</v>
      </c>
      <c r="AP84" s="41" t="s">
        <v>82</v>
      </c>
      <c r="AQ84" s="41" t="s">
        <v>82</v>
      </c>
      <c r="AR84" s="41" t="s">
        <v>82</v>
      </c>
      <c r="AS84" s="41" t="s">
        <v>82</v>
      </c>
      <c r="AT84" s="41" t="s">
        <v>82</v>
      </c>
      <c r="AU84" s="42" t="str">
        <f>IF('GNI per capita'!AU84&lt;=Thresholds!$C$44,"L",IF('GNI per capita'!AU84&lt;=Thresholds!$D$44,"LM",IF('GNI per capita'!AU84&lt;=Thresholds!$E$44,"UM","H")))</f>
        <v>UM</v>
      </c>
      <c r="AV84" s="42" t="str">
        <f>IF('GNI per capita'!AV84&lt;=Thresholds!$C$45,"L",IF('GNI per capita'!AV84&lt;=Thresholds!$D$45,"LM",IF('GNI per capita'!AV84&lt;=Thresholds!$E$45,"UM","H")))</f>
        <v>UM</v>
      </c>
      <c r="AW84" s="42" t="str">
        <f>IF('GNI per capita'!AW84&lt;=Thresholds!$C$46,"L",IF('GNI per capita'!AW84&lt;=Thresholds!$D$46,"LM",IF('GNI per capita'!AW84&lt;=Thresholds!$E$46,"UM","H")))</f>
        <v>UM</v>
      </c>
      <c r="AX84" s="42" t="str">
        <f>IF('GNI per capita'!AX84&lt;=Thresholds!$C$47,"L",IF('GNI per capita'!AX84&lt;=Thresholds!$D$47,"LM",IF('GNI per capita'!AX84&lt;=Thresholds!$E$47,"UM","H")))</f>
        <v>UM</v>
      </c>
      <c r="AY84" s="42" t="str">
        <f>IF('GNI per capita'!AY84&lt;=Thresholds!$C$48,"L",IF('GNI per capita'!AY84&lt;=Thresholds!$D$48,"LM",IF('GNI per capita'!AY84&lt;=Thresholds!$E$48,"UM","H")))</f>
        <v>UM</v>
      </c>
      <c r="AZ84" s="42" t="str">
        <f>IF('GNI per capita'!AZ84&lt;=Thresholds!$C$49,"L",IF('GNI per capita'!AZ84&lt;=Thresholds!$D$49,"LM",IF('GNI per capita'!AZ84&lt;=Thresholds!$E$49,"UM","H")))</f>
        <v>UM</v>
      </c>
      <c r="BA84" s="42" t="str">
        <f>IF('GNI per capita'!BA84&lt;=Thresholds!$C$50,"L",IF('GNI per capita'!BA84&lt;=Thresholds!$D$50,"LM",IF('GNI per capita'!BA84&lt;=Thresholds!$E$50,"UM","H")))</f>
        <v>UM</v>
      </c>
      <c r="BB84" s="42" t="str">
        <f>IF('GNI per capita'!BB84&lt;=Thresholds!$C$51,"L",IF('GNI per capita'!BB84&lt;=Thresholds!$D$51,"LM",IF('GNI per capita'!BB84&lt;=Thresholds!$E$51,"UM","H")))</f>
        <v>UM</v>
      </c>
      <c r="BC84" s="42" t="str">
        <f>IF('GNI per capita'!BC84&lt;=Thresholds!$C$52,"L",IF('GNI per capita'!BC84&lt;=Thresholds!$D$52,"LM",IF('GNI per capita'!BC84&lt;=Thresholds!$E$52,"UM","H")))</f>
        <v>UM</v>
      </c>
      <c r="BD84" s="42" t="str">
        <f>IF('GNI per capita'!BD84&lt;=Thresholds!$C$53,"L",IF('GNI per capita'!BD84&lt;=Thresholds!$D$53,"LM",IF('GNI per capita'!BD84&lt;=Thresholds!$E$53,"UM","H")))</f>
        <v>UM</v>
      </c>
      <c r="BE84" s="42" t="str">
        <f>IF('GNI per capita'!BE84&lt;=Thresholds!$C$54,"L",IF('GNI per capita'!BE84&lt;=Thresholds!$D$54,"LM",IF('GNI per capita'!BE84&lt;=Thresholds!$E$54,"UM","H")))</f>
        <v>UM</v>
      </c>
      <c r="BF84" s="42" t="str">
        <f>IF('GNI per capita'!BF84&lt;=Thresholds!$C$55,"L",IF('GNI per capita'!BF84&lt;=Thresholds!$D$55,"LM",IF('GNI per capita'!BF84&lt;=Thresholds!$E$55,"UM","H")))</f>
        <v>UM</v>
      </c>
      <c r="BG84" s="42" t="str">
        <f>IF('GNI per capita'!BG84&lt;=Thresholds!$C$56,"L",IF('GNI per capita'!BG84&lt;=Thresholds!$D$56,"LM",IF('GNI per capita'!BG84&lt;=Thresholds!$E$56,"UM","H")))</f>
        <v>UM</v>
      </c>
      <c r="BH84" s="42" t="str">
        <f>IF('GNI per capita'!BH84&lt;=Thresholds!$C$57,"L",IF('GNI per capita'!BH84&lt;=Thresholds!$D$57,"LM",IF('GNI per capita'!BH84&lt;=Thresholds!$E$57,"UM","H")))</f>
        <v>UM</v>
      </c>
      <c r="BI84" s="42" t="str">
        <f>IF('GNI per capita'!BI84&lt;=Thresholds!$C$58,"L",IF('GNI per capita'!BI84&lt;=Thresholds!$D$58,"LM",IF('GNI per capita'!BI84&lt;=Thresholds!$E$58,"UM","H")))</f>
        <v>UM</v>
      </c>
      <c r="BJ84" s="42" t="str">
        <f>IF('GNI per capita'!BJ84&lt;=Thresholds!$C$59,"L",IF('GNI per capita'!BJ84&lt;=Thresholds!$D$59,"LM",IF('GNI per capita'!BJ84&lt;=Thresholds!$E$59,"UM","H")))</f>
        <v>UM</v>
      </c>
      <c r="BK84" s="42" t="str">
        <f>IF('GNI per capita'!BK84&lt;=Thresholds!$C$60,"L",IF('GNI per capita'!BK84&lt;=Thresholds!$D$60,"LM",IF('GNI per capita'!BK84&lt;=Thresholds!$E$60,"UM","H")))</f>
        <v>UM</v>
      </c>
      <c r="BL84" s="42" t="str">
        <f>IF('GNI per capita'!BL84&lt;=Thresholds!$C$61,"L",IF('GNI per capita'!BL84&lt;=Thresholds!$D$61,"LM",IF('GNI per capita'!BL84&lt;=Thresholds!$E$61,"UM","H")))</f>
        <v>UM</v>
      </c>
      <c r="BM84" s="42" t="str">
        <f>IF('GNI per capita'!BM84&lt;=Thresholds!$C$62,"L",IF('GNI per capita'!BM84&lt;=Thresholds!$D$62,"LM",IF('GNI per capita'!BM84&lt;=Thresholds!$E$62,"UM","H")))</f>
        <v>H</v>
      </c>
      <c r="BN84" s="42" t="str">
        <f>IF('GNI per capita'!BN84&lt;=Thresholds!$C$63,"L",IF('GNI per capita'!BN84&lt;=Thresholds!$D$63,"LM",IF('GNI per capita'!BN84&lt;=Thresholds!$E$63,"UM","H")))</f>
        <v>H</v>
      </c>
      <c r="BO84" s="42" t="str">
        <f>IF('GNI per capita'!BO84&lt;=Thresholds!$C$64,"L",IF('GNI per capita'!BO84&lt;=Thresholds!$D$64,"LM",IF('GNI per capita'!BO84&lt;=Thresholds!$E$64,"UM","H")))</f>
        <v>H</v>
      </c>
      <c r="BP84" s="42" t="str">
        <f>IF('GNI per capita'!BP84&lt;=Thresholds!$C$65,"L",IF('GNI per capita'!BP84&lt;=Thresholds!$D$65,"LM",IF('GNI per capita'!BP84&lt;=Thresholds!$E$65,"UM","H")))</f>
        <v>H</v>
      </c>
      <c r="BQ84" s="42" t="str">
        <f>IF('GNI per capita'!BQ84&lt;=Thresholds!$C$66,"L",IF('GNI per capita'!BQ84&lt;=Thresholds!$D$66,"LM",IF('GNI per capita'!BQ84&lt;=Thresholds!$E$66,"UM","H")))</f>
        <v>H</v>
      </c>
      <c r="BR84" s="42" t="str">
        <f>IF('GNI per capita'!BR84&lt;=Thresholds!$C$67,"L",IF('GNI per capita'!BR84&lt;=Thresholds!$D$67,"LM",IF('GNI per capita'!BR84&lt;=Thresholds!$E$67,"UM","H")))</f>
        <v>H</v>
      </c>
      <c r="BS84" s="42" t="str">
        <f>IF('GNI per capita'!BS84&lt;=Thresholds!$C$68,"L",IF('GNI per capita'!BS84&lt;=Thresholds!$D$68,"LM",IF('GNI per capita'!BS84&lt;=Thresholds!$E$68,"UM","H")))</f>
        <v>H</v>
      </c>
    </row>
    <row r="85" spans="1:71" x14ac:dyDescent="0.2">
      <c r="A85" s="2" t="s">
        <v>376</v>
      </c>
      <c r="B85" s="2" t="s">
        <v>377</v>
      </c>
      <c r="C85" s="11" t="s">
        <v>210</v>
      </c>
      <c r="G85" s="2" t="s">
        <v>378</v>
      </c>
      <c r="H85" s="41" t="s">
        <v>75</v>
      </c>
      <c r="I85" s="41" t="s">
        <v>75</v>
      </c>
      <c r="J85" s="41" t="s">
        <v>75</v>
      </c>
      <c r="K85" s="41" t="s">
        <v>75</v>
      </c>
      <c r="L85" s="41" t="s">
        <v>75</v>
      </c>
      <c r="M85" s="41" t="s">
        <v>75</v>
      </c>
      <c r="N85" s="41" t="s">
        <v>75</v>
      </c>
      <c r="O85" s="41" t="s">
        <v>75</v>
      </c>
      <c r="P85" s="41" t="s">
        <v>75</v>
      </c>
      <c r="Q85" s="41" t="s">
        <v>75</v>
      </c>
      <c r="R85" s="41" t="s">
        <v>75</v>
      </c>
      <c r="S85" s="41" t="s">
        <v>75</v>
      </c>
      <c r="T85" s="41" t="s">
        <v>75</v>
      </c>
      <c r="U85" s="41" t="s">
        <v>75</v>
      </c>
      <c r="V85" s="41" t="s">
        <v>75</v>
      </c>
      <c r="W85" s="41" t="s">
        <v>75</v>
      </c>
      <c r="X85" s="41" t="s">
        <v>75</v>
      </c>
      <c r="Y85" s="41" t="s">
        <v>75</v>
      </c>
      <c r="Z85" s="41" t="s">
        <v>75</v>
      </c>
      <c r="AA85" s="41" t="s">
        <v>75</v>
      </c>
      <c r="AB85" s="41" t="s">
        <v>75</v>
      </c>
      <c r="AC85" s="41" t="s">
        <v>75</v>
      </c>
      <c r="AD85" s="41" t="s">
        <v>75</v>
      </c>
      <c r="AE85" s="41" t="s">
        <v>75</v>
      </c>
      <c r="AF85" s="41" t="s">
        <v>75</v>
      </c>
      <c r="AG85" s="41" t="s">
        <v>75</v>
      </c>
      <c r="AH85" s="41" t="s">
        <v>75</v>
      </c>
      <c r="AI85" s="41" t="s">
        <v>75</v>
      </c>
      <c r="AJ85" s="41" t="s">
        <v>75</v>
      </c>
      <c r="AK85" s="41" t="s">
        <v>75</v>
      </c>
      <c r="AL85" s="41" t="s">
        <v>75</v>
      </c>
      <c r="AM85" s="41" t="s">
        <v>75</v>
      </c>
      <c r="AN85" s="41" t="s">
        <v>75</v>
      </c>
      <c r="AO85" s="41" t="s">
        <v>75</v>
      </c>
      <c r="AP85" s="41" t="s">
        <v>75</v>
      </c>
      <c r="AQ85" s="41" t="s">
        <v>210</v>
      </c>
      <c r="AR85" s="41" t="s">
        <v>210</v>
      </c>
      <c r="AS85" s="41" t="s">
        <v>210</v>
      </c>
      <c r="AT85" s="41" t="s">
        <v>210</v>
      </c>
      <c r="AU85" s="42" t="str">
        <f>IF('GNI per capita'!AU85&lt;=Thresholds!$C$44,"L",IF('GNI per capita'!AU85&lt;=Thresholds!$D$44,"LM",IF('GNI per capita'!AU85&lt;=Thresholds!$E$44,"UM","H")))</f>
        <v>LM</v>
      </c>
      <c r="AV85" s="42" t="str">
        <f>IF('GNI per capita'!AV85&lt;=Thresholds!$C$45,"L",IF('GNI per capita'!AV85&lt;=Thresholds!$D$45,"LM",IF('GNI per capita'!AV85&lt;=Thresholds!$E$45,"UM","H")))</f>
        <v>LM</v>
      </c>
      <c r="AW85" s="42" t="str">
        <f>IF('GNI per capita'!AW85&lt;=Thresholds!$C$46,"L",IF('GNI per capita'!AW85&lt;=Thresholds!$D$46,"LM",IF('GNI per capita'!AW85&lt;=Thresholds!$E$46,"UM","H")))</f>
        <v>LM</v>
      </c>
      <c r="AX85" s="42" t="str">
        <f>IF('GNI per capita'!AX85&lt;=Thresholds!$C$47,"L",IF('GNI per capita'!AX85&lt;=Thresholds!$D$47,"LM",IF('GNI per capita'!AX85&lt;=Thresholds!$E$47,"UM","H")))</f>
        <v>LM</v>
      </c>
      <c r="AY85" s="42" t="str">
        <f>IF('GNI per capita'!AY85&lt;=Thresholds!$C$48,"L",IF('GNI per capita'!AY85&lt;=Thresholds!$D$48,"LM",IF('GNI per capita'!AY85&lt;=Thresholds!$E$48,"UM","H")))</f>
        <v>LM</v>
      </c>
      <c r="AZ85" s="42" t="str">
        <f>IF('GNI per capita'!AZ85&lt;=Thresholds!$C$49,"L",IF('GNI per capita'!AZ85&lt;=Thresholds!$D$49,"LM",IF('GNI per capita'!AZ85&lt;=Thresholds!$E$49,"UM","H")))</f>
        <v>LM</v>
      </c>
      <c r="BA85" s="42" t="str">
        <f>IF('GNI per capita'!BA85&lt;=Thresholds!$C$50,"L",IF('GNI per capita'!BA85&lt;=Thresholds!$D$50,"LM",IF('GNI per capita'!BA85&lt;=Thresholds!$E$50,"UM","H")))</f>
        <v>LM</v>
      </c>
      <c r="BB85" s="42" t="str">
        <f>IF('GNI per capita'!BB85&lt;=Thresholds!$C$51,"L",IF('GNI per capita'!BB85&lt;=Thresholds!$D$51,"LM",IF('GNI per capita'!BB85&lt;=Thresholds!$E$51,"UM","H")))</f>
        <v>LM</v>
      </c>
      <c r="BC85" s="42" t="str">
        <f>IF('GNI per capita'!BC85&lt;=Thresholds!$C$52,"L",IF('GNI per capita'!BC85&lt;=Thresholds!$D$52,"LM",IF('GNI per capita'!BC85&lt;=Thresholds!$E$52,"UM","H")))</f>
        <v>LM</v>
      </c>
      <c r="BD85" s="42" t="str">
        <f>IF('GNI per capita'!BD85&lt;=Thresholds!$C$53,"L",IF('GNI per capita'!BD85&lt;=Thresholds!$D$53,"LM",IF('GNI per capita'!BD85&lt;=Thresholds!$E$53,"UM","H")))</f>
        <v>LM</v>
      </c>
      <c r="BE85" s="42" t="str">
        <f>IF('GNI per capita'!BE85&lt;=Thresholds!$C$54,"L",IF('GNI per capita'!BE85&lt;=Thresholds!$D$54,"LM",IF('GNI per capita'!BE85&lt;=Thresholds!$E$54,"UM","H")))</f>
        <v>LM</v>
      </c>
      <c r="BF85" s="42" t="str">
        <f>IF('GNI per capita'!BF85&lt;=Thresholds!$C$55,"L",IF('GNI per capita'!BF85&lt;=Thresholds!$D$55,"LM",IF('GNI per capita'!BF85&lt;=Thresholds!$E$55,"UM","H")))</f>
        <v>LM</v>
      </c>
      <c r="BG85" s="42" t="str">
        <f>IF('GNI per capita'!BG85&lt;=Thresholds!$C$56,"L",IF('GNI per capita'!BG85&lt;=Thresholds!$D$56,"LM",IF('GNI per capita'!BG85&lt;=Thresholds!$E$56,"UM","H")))</f>
        <v>LM</v>
      </c>
      <c r="BH85" s="42" t="str">
        <f>IF('GNI per capita'!BH85&lt;=Thresholds!$C$57,"L",IF('GNI per capita'!BH85&lt;=Thresholds!$D$57,"LM",IF('GNI per capita'!BH85&lt;=Thresholds!$E$57,"UM","H")))</f>
        <v>LM</v>
      </c>
      <c r="BI85" s="42" t="str">
        <f>IF('GNI per capita'!BI85&lt;=Thresholds!$C$58,"L",IF('GNI per capita'!BI85&lt;=Thresholds!$D$58,"LM",IF('GNI per capita'!BI85&lt;=Thresholds!$E$58,"UM","H")))</f>
        <v>LM</v>
      </c>
      <c r="BJ85" s="42" t="str">
        <f>IF('GNI per capita'!BJ85&lt;=Thresholds!$C$59,"L",IF('GNI per capita'!BJ85&lt;=Thresholds!$D$59,"LM",IF('GNI per capita'!BJ85&lt;=Thresholds!$E$59,"UM","H")))</f>
        <v>LM</v>
      </c>
      <c r="BK85" s="42" t="str">
        <f>IF('GNI per capita'!BK85&lt;=Thresholds!$C$60,"L",IF('GNI per capita'!BK85&lt;=Thresholds!$D$60,"LM",IF('GNI per capita'!BK85&lt;=Thresholds!$E$60,"UM","H")))</f>
        <v>UM</v>
      </c>
      <c r="BL85" s="42" t="str">
        <f>IF('GNI per capita'!BL85&lt;=Thresholds!$C$61,"L",IF('GNI per capita'!BL85&lt;=Thresholds!$D$61,"LM",IF('GNI per capita'!BL85&lt;=Thresholds!$E$61,"UM","H")))</f>
        <v>UM</v>
      </c>
      <c r="BM85" s="42" t="str">
        <f>IF('GNI per capita'!BM85&lt;=Thresholds!$C$62,"L",IF('GNI per capita'!BM85&lt;=Thresholds!$D$62,"LM",IF('GNI per capita'!BM85&lt;=Thresholds!$E$62,"UM","H")))</f>
        <v>UM</v>
      </c>
      <c r="BN85" s="42" t="str">
        <f>IF('GNI per capita'!BN85&lt;=Thresholds!$C$63,"L",IF('GNI per capita'!BN85&lt;=Thresholds!$D$63,"LM",IF('GNI per capita'!BN85&lt;=Thresholds!$E$63,"UM","H")))</f>
        <v>UM</v>
      </c>
      <c r="BO85" s="42" t="str">
        <f>IF('GNI per capita'!BO85&lt;=Thresholds!$C$64,"L",IF('GNI per capita'!BO85&lt;=Thresholds!$D$64,"LM",IF('GNI per capita'!BO85&lt;=Thresholds!$E$64,"UM","H")))</f>
        <v>UM</v>
      </c>
      <c r="BP85" s="42" t="str">
        <f>IF('GNI per capita'!BP85&lt;=Thresholds!$C$65,"L",IF('GNI per capita'!BP85&lt;=Thresholds!$D$65,"LM",IF('GNI per capita'!BP85&lt;=Thresholds!$E$65,"UM","H")))</f>
        <v>UM</v>
      </c>
      <c r="BQ85" s="42" t="str">
        <f>IF('GNI per capita'!BQ85&lt;=Thresholds!$C$66,"L",IF('GNI per capita'!BQ85&lt;=Thresholds!$D$66,"LM",IF('GNI per capita'!BQ85&lt;=Thresholds!$E$66,"UM","H")))</f>
        <v>UM</v>
      </c>
      <c r="BR85" s="42" t="str">
        <f>IF('GNI per capita'!BR85&lt;=Thresholds!$C$67,"L",IF('GNI per capita'!BR85&lt;=Thresholds!$D$67,"LM",IF('GNI per capita'!BR85&lt;=Thresholds!$E$67,"UM","H")))</f>
        <v>UM</v>
      </c>
      <c r="BS85" s="42" t="str">
        <f>IF('GNI per capita'!BS85&lt;=Thresholds!$C$68,"L",IF('GNI per capita'!BS85&lt;=Thresholds!$D$68,"LM",IF('GNI per capita'!BS85&lt;=Thresholds!$E$68,"UM","H")))</f>
        <v>UM</v>
      </c>
    </row>
    <row r="86" spans="1:71" x14ac:dyDescent="0.2">
      <c r="A86" s="2" t="s">
        <v>379</v>
      </c>
      <c r="B86" s="2" t="s">
        <v>380</v>
      </c>
      <c r="C86" s="11" t="s">
        <v>75</v>
      </c>
      <c r="G86" s="2" t="s">
        <v>162</v>
      </c>
      <c r="H86" s="41" t="s">
        <v>75</v>
      </c>
      <c r="I86" s="41" t="s">
        <v>75</v>
      </c>
      <c r="J86" s="41" t="s">
        <v>75</v>
      </c>
      <c r="K86" s="41" t="s">
        <v>75</v>
      </c>
      <c r="L86" s="41" t="s">
        <v>75</v>
      </c>
      <c r="M86" s="41" t="s">
        <v>75</v>
      </c>
      <c r="N86" s="41" t="s">
        <v>75</v>
      </c>
      <c r="O86" s="41" t="s">
        <v>75</v>
      </c>
      <c r="P86" s="41" t="s">
        <v>75</v>
      </c>
      <c r="Q86" s="41" t="s">
        <v>75</v>
      </c>
      <c r="R86" s="41" t="s">
        <v>75</v>
      </c>
      <c r="S86" s="41" t="s">
        <v>75</v>
      </c>
      <c r="T86" s="41" t="s">
        <v>75</v>
      </c>
      <c r="U86" s="41" t="s">
        <v>75</v>
      </c>
      <c r="V86" s="41" t="s">
        <v>75</v>
      </c>
      <c r="W86" s="41" t="s">
        <v>75</v>
      </c>
      <c r="X86" s="41" t="s">
        <v>75</v>
      </c>
      <c r="Y86" s="41" t="s">
        <v>75</v>
      </c>
      <c r="Z86" s="41" t="s">
        <v>75</v>
      </c>
      <c r="AA86" s="41" t="s">
        <v>75</v>
      </c>
      <c r="AB86" s="41" t="s">
        <v>75</v>
      </c>
      <c r="AC86" s="41" t="s">
        <v>75</v>
      </c>
      <c r="AD86" s="41" t="s">
        <v>75</v>
      </c>
      <c r="AE86" s="41" t="s">
        <v>75</v>
      </c>
      <c r="AF86" s="41" t="s">
        <v>75</v>
      </c>
      <c r="AG86" s="41" t="s">
        <v>75</v>
      </c>
      <c r="AH86" s="41" t="s">
        <v>75</v>
      </c>
      <c r="AI86" s="41" t="s">
        <v>75</v>
      </c>
      <c r="AJ86" s="41" t="s">
        <v>75</v>
      </c>
      <c r="AK86" s="41" t="s">
        <v>75</v>
      </c>
      <c r="AL86" s="41" t="s">
        <v>75</v>
      </c>
      <c r="AM86" s="41" t="s">
        <v>75</v>
      </c>
      <c r="AN86" s="41" t="s">
        <v>75</v>
      </c>
      <c r="AO86" s="41" t="s">
        <v>75</v>
      </c>
      <c r="AP86" s="41" t="s">
        <v>75</v>
      </c>
      <c r="AQ86" s="41" t="s">
        <v>75</v>
      </c>
      <c r="AR86" s="41" t="s">
        <v>75</v>
      </c>
      <c r="AS86" s="41" t="s">
        <v>75</v>
      </c>
      <c r="AT86" s="41" t="s">
        <v>75</v>
      </c>
      <c r="AU86" s="42" t="str">
        <f>IF('GNI per capita'!AU86&lt;=Thresholds!$C$44,"L",IF('GNI per capita'!AU86&lt;=Thresholds!$D$44,"LM",IF('GNI per capita'!AU86&lt;=Thresholds!$E$44,"UM","H")))</f>
        <v>L</v>
      </c>
      <c r="AV86" s="42" t="str">
        <f>IF('GNI per capita'!AV86&lt;=Thresholds!$C$45,"L",IF('GNI per capita'!AV86&lt;=Thresholds!$D$45,"LM",IF('GNI per capita'!AV86&lt;=Thresholds!$E$45,"UM","H")))</f>
        <v>LM</v>
      </c>
      <c r="AW86" s="42" t="str">
        <f>IF('GNI per capita'!AW86&lt;=Thresholds!$C$46,"L",IF('GNI per capita'!AW86&lt;=Thresholds!$D$46,"LM",IF('GNI per capita'!AW86&lt;=Thresholds!$E$46,"UM","H")))</f>
        <v>LM</v>
      </c>
      <c r="AX86" s="42" t="str">
        <f>IF('GNI per capita'!AX86&lt;=Thresholds!$C$47,"L",IF('GNI per capita'!AX86&lt;=Thresholds!$D$47,"LM",IF('GNI per capita'!AX86&lt;=Thresholds!$E$47,"UM","H")))</f>
        <v>LM</v>
      </c>
      <c r="AY86" s="42" t="str">
        <f>IF('GNI per capita'!AY86&lt;=Thresholds!$C$48,"L",IF('GNI per capita'!AY86&lt;=Thresholds!$D$48,"LM",IF('GNI per capita'!AY86&lt;=Thresholds!$E$48,"UM","H")))</f>
        <v>LM</v>
      </c>
      <c r="AZ86" s="42" t="str">
        <f>IF('GNI per capita'!AZ86&lt;=Thresholds!$C$49,"L",IF('GNI per capita'!AZ86&lt;=Thresholds!$D$49,"LM",IF('GNI per capita'!AZ86&lt;=Thresholds!$E$49,"UM","H")))</f>
        <v>LM</v>
      </c>
      <c r="BA86" s="42" t="str">
        <f>IF('GNI per capita'!BA86&lt;=Thresholds!$C$50,"L",IF('GNI per capita'!BA86&lt;=Thresholds!$D$50,"LM",IF('GNI per capita'!BA86&lt;=Thresholds!$E$50,"UM","H")))</f>
        <v>LM</v>
      </c>
      <c r="BB86" s="42" t="str">
        <f>IF('GNI per capita'!BB86&lt;=Thresholds!$C$51,"L",IF('GNI per capita'!BB86&lt;=Thresholds!$D$51,"LM",IF('GNI per capita'!BB86&lt;=Thresholds!$E$51,"UM","H")))</f>
        <v>LM</v>
      </c>
      <c r="BC86" s="42" t="str">
        <f>IF('GNI per capita'!BC86&lt;=Thresholds!$C$52,"L",IF('GNI per capita'!BC86&lt;=Thresholds!$D$52,"LM",IF('GNI per capita'!BC86&lt;=Thresholds!$E$52,"UM","H")))</f>
        <v>LM</v>
      </c>
      <c r="BD86" s="42" t="str">
        <f>IF('GNI per capita'!BD86&lt;=Thresholds!$C$53,"L",IF('GNI per capita'!BD86&lt;=Thresholds!$D$53,"LM",IF('GNI per capita'!BD86&lt;=Thresholds!$E$53,"UM","H")))</f>
        <v>LM</v>
      </c>
      <c r="BE86" s="42" t="str">
        <f>IF('GNI per capita'!BE86&lt;=Thresholds!$C$54,"L",IF('GNI per capita'!BE86&lt;=Thresholds!$D$54,"LM",IF('GNI per capita'!BE86&lt;=Thresholds!$E$54,"UM","H")))</f>
        <v>LM</v>
      </c>
      <c r="BF86" s="42" t="str">
        <f>IF('GNI per capita'!BF86&lt;=Thresholds!$C$55,"L",IF('GNI per capita'!BF86&lt;=Thresholds!$D$55,"LM",IF('GNI per capita'!BF86&lt;=Thresholds!$E$55,"UM","H")))</f>
        <v>LM</v>
      </c>
      <c r="BG86" s="42" t="str">
        <f>IF('GNI per capita'!BG86&lt;=Thresholds!$C$56,"L",IF('GNI per capita'!BG86&lt;=Thresholds!$D$56,"LM",IF('GNI per capita'!BG86&lt;=Thresholds!$E$56,"UM","H")))</f>
        <v>LM</v>
      </c>
      <c r="BH86" s="42" t="str">
        <f>IF('GNI per capita'!BH86&lt;=Thresholds!$C$57,"L",IF('GNI per capita'!BH86&lt;=Thresholds!$D$57,"LM",IF('GNI per capita'!BH86&lt;=Thresholds!$E$57,"UM","H")))</f>
        <v>LM</v>
      </c>
      <c r="BI86" s="42" t="str">
        <f>IF('GNI per capita'!BI86&lt;=Thresholds!$C$58,"L",IF('GNI per capita'!BI86&lt;=Thresholds!$D$58,"LM",IF('GNI per capita'!BI86&lt;=Thresholds!$E$58,"UM","H")))</f>
        <v>LM</v>
      </c>
      <c r="BJ86" s="42" t="str">
        <f>IF('GNI per capita'!BJ86&lt;=Thresholds!$C$59,"L",IF('GNI per capita'!BJ86&lt;=Thresholds!$D$59,"LM",IF('GNI per capita'!BJ86&lt;=Thresholds!$E$59,"UM","H")))</f>
        <v>LM</v>
      </c>
      <c r="BK86" s="42" t="str">
        <f>IF('GNI per capita'!BK86&lt;=Thresholds!$C$60,"L",IF('GNI per capita'!BK86&lt;=Thresholds!$D$60,"LM",IF('GNI per capita'!BK86&lt;=Thresholds!$E$60,"UM","H")))</f>
        <v>LM</v>
      </c>
      <c r="BL86" s="42" t="str">
        <f>IF('GNI per capita'!BL86&lt;=Thresholds!$C$61,"L",IF('GNI per capita'!BL86&lt;=Thresholds!$D$61,"LM",IF('GNI per capita'!BL86&lt;=Thresholds!$E$61,"UM","H")))</f>
        <v>LM</v>
      </c>
      <c r="BM86" s="42" t="str">
        <f>IF('GNI per capita'!BM86&lt;=Thresholds!$C$62,"L",IF('GNI per capita'!BM86&lt;=Thresholds!$D$62,"LM",IF('GNI per capita'!BM86&lt;=Thresholds!$E$62,"UM","H")))</f>
        <v>LM</v>
      </c>
      <c r="BN86" s="42" t="str">
        <f>IF('GNI per capita'!BN86&lt;=Thresholds!$C$63,"L",IF('GNI per capita'!BN86&lt;=Thresholds!$D$63,"LM",IF('GNI per capita'!BN86&lt;=Thresholds!$E$63,"UM","H")))</f>
        <v>LM</v>
      </c>
      <c r="BO86" s="42" t="str">
        <f>IF('GNI per capita'!BO86&lt;=Thresholds!$C$64,"L",IF('GNI per capita'!BO86&lt;=Thresholds!$D$64,"LM",IF('GNI per capita'!BO86&lt;=Thresholds!$E$64,"UM","H")))</f>
        <v>LM</v>
      </c>
      <c r="BP86" s="42" t="str">
        <f>IF('GNI per capita'!BP86&lt;=Thresholds!$C$65,"L",IF('GNI per capita'!BP86&lt;=Thresholds!$D$65,"LM",IF('GNI per capita'!BP86&lt;=Thresholds!$E$65,"UM","H")))</f>
        <v>LM</v>
      </c>
      <c r="BQ86" s="42" t="str">
        <f>IF('GNI per capita'!BQ86&lt;=Thresholds!$C$66,"L",IF('GNI per capita'!BQ86&lt;=Thresholds!$D$66,"LM",IF('GNI per capita'!BQ86&lt;=Thresholds!$E$66,"UM","H")))</f>
        <v>LM</v>
      </c>
      <c r="BR86" s="42" t="str">
        <f>IF('GNI per capita'!BR86&lt;=Thresholds!$C$67,"L",IF('GNI per capita'!BR86&lt;=Thresholds!$D$67,"LM",IF('GNI per capita'!BR86&lt;=Thresholds!$E$67,"UM","H")))</f>
        <v>LM</v>
      </c>
      <c r="BS86" s="42" t="str">
        <f>IF('GNI per capita'!BS86&lt;=Thresholds!$C$68,"L",IF('GNI per capita'!BS86&lt;=Thresholds!$D$68,"LM",IF('GNI per capita'!BS86&lt;=Thresholds!$E$68,"UM","H")))</f>
        <v>LM</v>
      </c>
    </row>
    <row r="87" spans="1:71" x14ac:dyDescent="0.2">
      <c r="A87" s="2" t="s">
        <v>381</v>
      </c>
      <c r="B87" s="2" t="s">
        <v>382</v>
      </c>
      <c r="C87" s="11" t="s">
        <v>79</v>
      </c>
      <c r="G87" s="2" t="s">
        <v>162</v>
      </c>
      <c r="H87" s="41" t="s">
        <v>75</v>
      </c>
      <c r="I87" s="41" t="s">
        <v>75</v>
      </c>
      <c r="J87" s="41" t="s">
        <v>75</v>
      </c>
      <c r="K87" s="41" t="s">
        <v>75</v>
      </c>
      <c r="L87" s="41" t="s">
        <v>75</v>
      </c>
      <c r="M87" s="41" t="s">
        <v>75</v>
      </c>
      <c r="N87" s="41" t="s">
        <v>75</v>
      </c>
      <c r="O87" s="41" t="s">
        <v>75</v>
      </c>
      <c r="P87" s="41" t="s">
        <v>75</v>
      </c>
      <c r="Q87" s="41" t="s">
        <v>75</v>
      </c>
      <c r="R87" s="41" t="s">
        <v>210</v>
      </c>
      <c r="S87" s="41" t="s">
        <v>210</v>
      </c>
      <c r="T87" s="41" t="s">
        <v>210</v>
      </c>
      <c r="U87" s="41" t="s">
        <v>210</v>
      </c>
      <c r="V87" s="41" t="s">
        <v>210</v>
      </c>
      <c r="W87" s="41" t="s">
        <v>210</v>
      </c>
      <c r="X87" s="41" t="s">
        <v>210</v>
      </c>
      <c r="Y87" s="41" t="s">
        <v>210</v>
      </c>
      <c r="Z87" s="41" t="s">
        <v>210</v>
      </c>
      <c r="AA87" s="41" t="s">
        <v>210</v>
      </c>
      <c r="AB87" s="41" t="s">
        <v>210</v>
      </c>
      <c r="AC87" s="41" t="s">
        <v>210</v>
      </c>
      <c r="AD87" s="41" t="s">
        <v>210</v>
      </c>
      <c r="AE87" s="41" t="s">
        <v>210</v>
      </c>
      <c r="AF87" s="41" t="s">
        <v>210</v>
      </c>
      <c r="AG87" s="41" t="s">
        <v>210</v>
      </c>
      <c r="AH87" s="41" t="s">
        <v>210</v>
      </c>
      <c r="AI87" s="41" t="s">
        <v>210</v>
      </c>
      <c r="AJ87" s="41" t="s">
        <v>82</v>
      </c>
      <c r="AK87" s="41" t="s">
        <v>82</v>
      </c>
      <c r="AL87" s="41" t="s">
        <v>82</v>
      </c>
      <c r="AM87" s="41" t="s">
        <v>82</v>
      </c>
      <c r="AN87" s="41" t="s">
        <v>82</v>
      </c>
      <c r="AO87" s="41" t="s">
        <v>82</v>
      </c>
      <c r="AP87" s="41" t="s">
        <v>82</v>
      </c>
      <c r="AQ87" s="41" t="s">
        <v>79</v>
      </c>
      <c r="AR87" s="41" t="s">
        <v>79</v>
      </c>
      <c r="AS87" s="41" t="s">
        <v>79</v>
      </c>
      <c r="AT87" s="41" t="s">
        <v>79</v>
      </c>
      <c r="AU87" s="42" t="str">
        <f>IF('GNI per capita'!AU87&lt;=Thresholds!$C$44,"L",IF('GNI per capita'!AU87&lt;=Thresholds!$D$44,"LM",IF('GNI per capita'!AU87&lt;=Thresholds!$E$44,"UM","H")))</f>
        <v>H</v>
      </c>
      <c r="AV87" s="42" t="str">
        <f>IF('GNI per capita'!AV87&lt;=Thresholds!$C$45,"L",IF('GNI per capita'!AV87&lt;=Thresholds!$D$45,"LM",IF('GNI per capita'!AV87&lt;=Thresholds!$E$45,"UM","H")))</f>
        <v>H</v>
      </c>
      <c r="AW87" s="42" t="str">
        <f>IF('GNI per capita'!AW87&lt;=Thresholds!$C$46,"L",IF('GNI per capita'!AW87&lt;=Thresholds!$D$46,"LM",IF('GNI per capita'!AW87&lt;=Thresholds!$E$46,"UM","H")))</f>
        <v>H</v>
      </c>
      <c r="AX87" s="42" t="str">
        <f>IF('GNI per capita'!AX87&lt;=Thresholds!$C$47,"L",IF('GNI per capita'!AX87&lt;=Thresholds!$D$47,"LM",IF('GNI per capita'!AX87&lt;=Thresholds!$E$47,"UM","H")))</f>
        <v>H</v>
      </c>
      <c r="AY87" s="42" t="str">
        <f>IF('GNI per capita'!AY87&lt;=Thresholds!$C$48,"L",IF('GNI per capita'!AY87&lt;=Thresholds!$D$48,"LM",IF('GNI per capita'!AY87&lt;=Thresholds!$E$48,"UM","H")))</f>
        <v>H</v>
      </c>
      <c r="AZ87" s="42" t="str">
        <f>IF('GNI per capita'!AZ87&lt;=Thresholds!$C$49,"L",IF('GNI per capita'!AZ87&lt;=Thresholds!$D$49,"LM",IF('GNI per capita'!AZ87&lt;=Thresholds!$E$49,"UM","H")))</f>
        <v>H</v>
      </c>
      <c r="BA87" s="42" t="str">
        <f>IF('GNI per capita'!BA87&lt;=Thresholds!$C$50,"L",IF('GNI per capita'!BA87&lt;=Thresholds!$D$50,"LM",IF('GNI per capita'!BA87&lt;=Thresholds!$E$50,"UM","H")))</f>
        <v>H</v>
      </c>
      <c r="BB87" s="42" t="str">
        <f>IF('GNI per capita'!BB87&lt;=Thresholds!$C$51,"L",IF('GNI per capita'!BB87&lt;=Thresholds!$D$51,"LM",IF('GNI per capita'!BB87&lt;=Thresholds!$E$51,"UM","H")))</f>
        <v>H</v>
      </c>
      <c r="BC87" s="42" t="str">
        <f>IF('GNI per capita'!BC87&lt;=Thresholds!$C$52,"L",IF('GNI per capita'!BC87&lt;=Thresholds!$D$52,"LM",IF('GNI per capita'!BC87&lt;=Thresholds!$E$52,"UM","H")))</f>
        <v>H</v>
      </c>
      <c r="BD87" s="42" t="str">
        <f>IF('GNI per capita'!BD87&lt;=Thresholds!$C$53,"L",IF('GNI per capita'!BD87&lt;=Thresholds!$D$53,"LM",IF('GNI per capita'!BD87&lt;=Thresholds!$E$53,"UM","H")))</f>
        <v>H</v>
      </c>
      <c r="BE87" s="42" t="str">
        <f>IF('GNI per capita'!BE87&lt;=Thresholds!$C$54,"L",IF('GNI per capita'!BE87&lt;=Thresholds!$D$54,"LM",IF('GNI per capita'!BE87&lt;=Thresholds!$E$54,"UM","H")))</f>
        <v>H</v>
      </c>
      <c r="BF87" s="42" t="str">
        <f>IF('GNI per capita'!BF87&lt;=Thresholds!$C$55,"L",IF('GNI per capita'!BF87&lt;=Thresholds!$D$55,"LM",IF('GNI per capita'!BF87&lt;=Thresholds!$E$55,"UM","H")))</f>
        <v>H</v>
      </c>
      <c r="BG87" s="42" t="str">
        <f>IF('GNI per capita'!BG87&lt;=Thresholds!$C$56,"L",IF('GNI per capita'!BG87&lt;=Thresholds!$D$56,"LM",IF('GNI per capita'!BG87&lt;=Thresholds!$E$56,"UM","H")))</f>
        <v>H</v>
      </c>
      <c r="BH87" s="42" t="str">
        <f>IF('GNI per capita'!BH87&lt;=Thresholds!$C$57,"L",IF('GNI per capita'!BH87&lt;=Thresholds!$D$57,"LM",IF('GNI per capita'!BH87&lt;=Thresholds!$E$57,"UM","H")))</f>
        <v>H</v>
      </c>
      <c r="BI87" s="42" t="str">
        <f>IF('GNI per capita'!BI87&lt;=Thresholds!$C$58,"L",IF('GNI per capita'!BI87&lt;=Thresholds!$D$58,"LM",IF('GNI per capita'!BI87&lt;=Thresholds!$E$58,"UM","H")))</f>
        <v>H</v>
      </c>
      <c r="BJ87" s="42" t="str">
        <f>IF('GNI per capita'!BJ87&lt;=Thresholds!$C$59,"L",IF('GNI per capita'!BJ87&lt;=Thresholds!$D$59,"LM",IF('GNI per capita'!BJ87&lt;=Thresholds!$E$59,"UM","H")))</f>
        <v>H</v>
      </c>
      <c r="BK87" s="42" t="str">
        <f>IF('GNI per capita'!BK87&lt;=Thresholds!$C$60,"L",IF('GNI per capita'!BK87&lt;=Thresholds!$D$60,"LM",IF('GNI per capita'!BK87&lt;=Thresholds!$E$60,"UM","H")))</f>
        <v>H</v>
      </c>
      <c r="BL87" s="42" t="str">
        <f>IF('GNI per capita'!BL87&lt;=Thresholds!$C$61,"L",IF('GNI per capita'!BL87&lt;=Thresholds!$D$61,"LM",IF('GNI per capita'!BL87&lt;=Thresholds!$E$61,"UM","H")))</f>
        <v>H</v>
      </c>
      <c r="BM87" s="42" t="str">
        <f>IF('GNI per capita'!BM87&lt;=Thresholds!$C$62,"L",IF('GNI per capita'!BM87&lt;=Thresholds!$D$62,"LM",IF('GNI per capita'!BM87&lt;=Thresholds!$E$62,"UM","H")))</f>
        <v>H</v>
      </c>
      <c r="BN87" s="42" t="str">
        <f>IF('GNI per capita'!BN87&lt;=Thresholds!$C$63,"L",IF('GNI per capita'!BN87&lt;=Thresholds!$D$63,"LM",IF('GNI per capita'!BN87&lt;=Thresholds!$E$63,"UM","H")))</f>
        <v>H</v>
      </c>
      <c r="BO87" s="42" t="str">
        <f>IF('GNI per capita'!BO87&lt;=Thresholds!$C$64,"L",IF('GNI per capita'!BO87&lt;=Thresholds!$D$64,"LM",IF('GNI per capita'!BO87&lt;=Thresholds!$E$64,"UM","H")))</f>
        <v>H</v>
      </c>
      <c r="BP87" s="42" t="str">
        <f>IF('GNI per capita'!BP87&lt;=Thresholds!$C$65,"L",IF('GNI per capita'!BP87&lt;=Thresholds!$D$65,"LM",IF('GNI per capita'!BP87&lt;=Thresholds!$E$65,"UM","H")))</f>
        <v>H</v>
      </c>
      <c r="BQ87" s="42" t="str">
        <f>IF('GNI per capita'!BQ87&lt;=Thresholds!$C$66,"L",IF('GNI per capita'!BQ87&lt;=Thresholds!$D$66,"LM",IF('GNI per capita'!BQ87&lt;=Thresholds!$E$66,"UM","H")))</f>
        <v>H</v>
      </c>
      <c r="BR87" s="42" t="str">
        <f>IF('GNI per capita'!BR87&lt;=Thresholds!$C$67,"L",IF('GNI per capita'!BR87&lt;=Thresholds!$D$67,"LM",IF('GNI per capita'!BR87&lt;=Thresholds!$E$67,"UM","H")))</f>
        <v>H</v>
      </c>
      <c r="BS87" s="42" t="str">
        <f>IF('GNI per capita'!BS87&lt;=Thresholds!$C$68,"L",IF('GNI per capita'!BS87&lt;=Thresholds!$D$68,"LM",IF('GNI per capita'!BS87&lt;=Thresholds!$E$68,"UM","H")))</f>
        <v>H</v>
      </c>
    </row>
    <row r="88" spans="1:71" x14ac:dyDescent="0.2">
      <c r="A88" s="2" t="s">
        <v>383</v>
      </c>
      <c r="B88" s="2" t="s">
        <v>384</v>
      </c>
      <c r="C88" s="11" t="s">
        <v>210</v>
      </c>
      <c r="G88" s="2" t="s">
        <v>162</v>
      </c>
      <c r="H88" s="41" t="s">
        <v>75</v>
      </c>
      <c r="I88" s="41" t="s">
        <v>75</v>
      </c>
      <c r="J88" s="41" t="s">
        <v>75</v>
      </c>
      <c r="K88" s="41" t="s">
        <v>75</v>
      </c>
      <c r="L88" s="41" t="s">
        <v>75</v>
      </c>
      <c r="M88" s="41" t="s">
        <v>75</v>
      </c>
      <c r="N88" s="41" t="s">
        <v>75</v>
      </c>
      <c r="O88" s="41" t="s">
        <v>75</v>
      </c>
      <c r="P88" s="41" t="s">
        <v>75</v>
      </c>
      <c r="Q88" s="41" t="s">
        <v>75</v>
      </c>
      <c r="R88" s="41" t="s">
        <v>75</v>
      </c>
      <c r="S88" s="41" t="s">
        <v>75</v>
      </c>
      <c r="T88" s="41" t="s">
        <v>75</v>
      </c>
      <c r="U88" s="41" t="s">
        <v>75</v>
      </c>
      <c r="V88" s="41" t="s">
        <v>75</v>
      </c>
      <c r="W88" s="41" t="s">
        <v>75</v>
      </c>
      <c r="X88" s="41" t="s">
        <v>75</v>
      </c>
      <c r="Y88" s="41" t="s">
        <v>75</v>
      </c>
      <c r="Z88" s="41" t="s">
        <v>75</v>
      </c>
      <c r="AA88" s="41" t="s">
        <v>75</v>
      </c>
      <c r="AB88" s="41" t="s">
        <v>75</v>
      </c>
      <c r="AC88" s="41" t="s">
        <v>75</v>
      </c>
      <c r="AD88" s="41" t="s">
        <v>75</v>
      </c>
      <c r="AE88" s="41" t="s">
        <v>75</v>
      </c>
      <c r="AF88" s="41" t="s">
        <v>75</v>
      </c>
      <c r="AG88" s="41" t="s">
        <v>75</v>
      </c>
      <c r="AH88" s="41" t="s">
        <v>75</v>
      </c>
      <c r="AI88" s="41" t="s">
        <v>75</v>
      </c>
      <c r="AJ88" s="41" t="s">
        <v>75</v>
      </c>
      <c r="AK88" s="41" t="s">
        <v>75</v>
      </c>
      <c r="AL88" s="41" t="s">
        <v>75</v>
      </c>
      <c r="AM88" s="41" t="s">
        <v>75</v>
      </c>
      <c r="AN88" s="41" t="s">
        <v>75</v>
      </c>
      <c r="AO88" s="41" t="s">
        <v>210</v>
      </c>
      <c r="AP88" s="41" t="s">
        <v>210</v>
      </c>
      <c r="AQ88" s="41" t="s">
        <v>210</v>
      </c>
      <c r="AR88" s="41" t="s">
        <v>210</v>
      </c>
      <c r="AS88" s="41" t="s">
        <v>210</v>
      </c>
      <c r="AT88" s="41" t="s">
        <v>210</v>
      </c>
      <c r="AU88" s="42" t="str">
        <f>IF('GNI per capita'!AU88&lt;=Thresholds!$C$44,"L",IF('GNI per capita'!AU88&lt;=Thresholds!$D$44,"LM",IF('GNI per capita'!AU88&lt;=Thresholds!$E$44,"UM","H")))</f>
        <v>LM</v>
      </c>
      <c r="AV88" s="42" t="str">
        <f>IF('GNI per capita'!AV88&lt;=Thresholds!$C$45,"L",IF('GNI per capita'!AV88&lt;=Thresholds!$D$45,"LM",IF('GNI per capita'!AV88&lt;=Thresholds!$E$45,"UM","H")))</f>
        <v>LM</v>
      </c>
      <c r="AW88" s="42" t="str">
        <f>IF('GNI per capita'!AW88&lt;=Thresholds!$C$46,"L",IF('GNI per capita'!AW88&lt;=Thresholds!$D$46,"LM",IF('GNI per capita'!AW88&lt;=Thresholds!$E$46,"UM","H")))</f>
        <v>LM</v>
      </c>
      <c r="AX88" s="42" t="str">
        <f>IF('GNI per capita'!AX88&lt;=Thresholds!$C$47,"L",IF('GNI per capita'!AX88&lt;=Thresholds!$D$47,"LM",IF('GNI per capita'!AX88&lt;=Thresholds!$E$47,"UM","H")))</f>
        <v>LM</v>
      </c>
      <c r="AY88" s="42" t="str">
        <f>IF('GNI per capita'!AY88&lt;=Thresholds!$C$48,"L",IF('GNI per capita'!AY88&lt;=Thresholds!$D$48,"LM",IF('GNI per capita'!AY88&lt;=Thresholds!$E$48,"UM","H")))</f>
        <v>LM</v>
      </c>
      <c r="AZ88" s="42" t="str">
        <f>IF('GNI per capita'!AZ88&lt;=Thresholds!$C$49,"L",IF('GNI per capita'!AZ88&lt;=Thresholds!$D$49,"LM",IF('GNI per capita'!AZ88&lt;=Thresholds!$E$49,"UM","H")))</f>
        <v>LM</v>
      </c>
      <c r="BA88" s="42" t="str">
        <f>IF('GNI per capita'!BA88&lt;=Thresholds!$C$50,"L",IF('GNI per capita'!BA88&lt;=Thresholds!$D$50,"LM",IF('GNI per capita'!BA88&lt;=Thresholds!$E$50,"UM","H")))</f>
        <v>LM</v>
      </c>
      <c r="BB88" s="42" t="str">
        <f>IF('GNI per capita'!BB88&lt;=Thresholds!$C$51,"L",IF('GNI per capita'!BB88&lt;=Thresholds!$D$51,"LM",IF('GNI per capita'!BB88&lt;=Thresholds!$E$51,"UM","H")))</f>
        <v>LM</v>
      </c>
      <c r="BC88" s="42" t="str">
        <f>IF('GNI per capita'!BC88&lt;=Thresholds!$C$52,"L",IF('GNI per capita'!BC88&lt;=Thresholds!$D$52,"LM",IF('GNI per capita'!BC88&lt;=Thresholds!$E$52,"UM","H")))</f>
        <v>LM</v>
      </c>
      <c r="BD88" s="42" t="str">
        <f>IF('GNI per capita'!BD88&lt;=Thresholds!$C$53,"L",IF('GNI per capita'!BD88&lt;=Thresholds!$D$53,"LM",IF('GNI per capita'!BD88&lt;=Thresholds!$E$53,"UM","H")))</f>
        <v>LM</v>
      </c>
      <c r="BE88" s="42" t="str">
        <f>IF('GNI per capita'!BE88&lt;=Thresholds!$C$54,"L",IF('GNI per capita'!BE88&lt;=Thresholds!$D$54,"LM",IF('GNI per capita'!BE88&lt;=Thresholds!$E$54,"UM","H")))</f>
        <v>LM</v>
      </c>
      <c r="BF88" s="42" t="str">
        <f>IF('GNI per capita'!BF88&lt;=Thresholds!$C$55,"L",IF('GNI per capita'!BF88&lt;=Thresholds!$D$55,"LM",IF('GNI per capita'!BF88&lt;=Thresholds!$E$55,"UM","H")))</f>
        <v>LM</v>
      </c>
      <c r="BG88" s="42" t="str">
        <f>IF('GNI per capita'!BG88&lt;=Thresholds!$C$56,"L",IF('GNI per capita'!BG88&lt;=Thresholds!$D$56,"LM",IF('GNI per capita'!BG88&lt;=Thresholds!$E$56,"UM","H")))</f>
        <v>LM</v>
      </c>
      <c r="BH88" s="42" t="str">
        <f>IF('GNI per capita'!BH88&lt;=Thresholds!$C$57,"L",IF('GNI per capita'!BH88&lt;=Thresholds!$D$57,"LM",IF('GNI per capita'!BH88&lt;=Thresholds!$E$57,"UM","H")))</f>
        <v>LM</v>
      </c>
      <c r="BI88" s="42" t="str">
        <f>IF('GNI per capita'!BI88&lt;=Thresholds!$C$58,"L",IF('GNI per capita'!BI88&lt;=Thresholds!$D$58,"LM",IF('GNI per capita'!BI88&lt;=Thresholds!$E$58,"UM","H")))</f>
        <v>LM</v>
      </c>
      <c r="BJ88" s="42" t="str">
        <f>IF('GNI per capita'!BJ88&lt;=Thresholds!$C$59,"L",IF('GNI per capita'!BJ88&lt;=Thresholds!$D$59,"LM",IF('GNI per capita'!BJ88&lt;=Thresholds!$E$59,"UM","H")))</f>
        <v>LM</v>
      </c>
      <c r="BK88" s="42" t="str">
        <f>IF('GNI per capita'!BK88&lt;=Thresholds!$C$60,"L",IF('GNI per capita'!BK88&lt;=Thresholds!$D$60,"LM",IF('GNI per capita'!BK88&lt;=Thresholds!$E$60,"UM","H")))</f>
        <v>LM</v>
      </c>
      <c r="BL88" s="42" t="str">
        <f>IF('GNI per capita'!BL88&lt;=Thresholds!$C$61,"L",IF('GNI per capita'!BL88&lt;=Thresholds!$D$61,"LM",IF('GNI per capita'!BL88&lt;=Thresholds!$E$61,"UM","H")))</f>
        <v>LM</v>
      </c>
      <c r="BM88" s="42" t="str">
        <f>IF('GNI per capita'!BM88&lt;=Thresholds!$C$62,"L",IF('GNI per capita'!BM88&lt;=Thresholds!$D$62,"LM",IF('GNI per capita'!BM88&lt;=Thresholds!$E$62,"UM","H")))</f>
        <v>LM</v>
      </c>
      <c r="BN88" s="42" t="str">
        <f>IF('GNI per capita'!BN88&lt;=Thresholds!$C$63,"L",IF('GNI per capita'!BN88&lt;=Thresholds!$D$63,"LM",IF('GNI per capita'!BN88&lt;=Thresholds!$E$63,"UM","H")))</f>
        <v>LM</v>
      </c>
      <c r="BO88" s="42" t="str">
        <f>IF('GNI per capita'!BO88&lt;=Thresholds!$C$64,"L",IF('GNI per capita'!BO88&lt;=Thresholds!$D$64,"LM",IF('GNI per capita'!BO88&lt;=Thresholds!$E$64,"UM","H")))</f>
        <v>LM</v>
      </c>
      <c r="BP88" s="42" t="str">
        <f>IF('GNI per capita'!BP88&lt;=Thresholds!$C$65,"L",IF('GNI per capita'!BP88&lt;=Thresholds!$D$65,"LM",IF('GNI per capita'!BP88&lt;=Thresholds!$E$65,"UM","H")))</f>
        <v>LM</v>
      </c>
      <c r="BQ88" s="42" t="str">
        <f>IF('GNI per capita'!BQ88&lt;=Thresholds!$C$66,"L",IF('GNI per capita'!BQ88&lt;=Thresholds!$D$66,"LM",IF('GNI per capita'!BQ88&lt;=Thresholds!$E$66,"UM","H")))</f>
        <v>LM</v>
      </c>
      <c r="BR88" s="42" t="str">
        <f>IF('GNI per capita'!BR88&lt;=Thresholds!$C$67,"L",IF('GNI per capita'!BR88&lt;=Thresholds!$D$67,"LM",IF('GNI per capita'!BR88&lt;=Thresholds!$E$67,"UM","H")))</f>
        <v>LM</v>
      </c>
      <c r="BS88" s="42" t="str">
        <f>IF('GNI per capita'!BS88&lt;=Thresholds!$C$68,"L",IF('GNI per capita'!BS88&lt;=Thresholds!$D$68,"LM",IF('GNI per capita'!BS88&lt;=Thresholds!$E$68,"UM","H")))</f>
        <v>LM</v>
      </c>
    </row>
    <row r="89" spans="1:71" x14ac:dyDescent="0.2">
      <c r="A89" s="2" t="s">
        <v>385</v>
      </c>
      <c r="B89" s="2" t="s">
        <v>386</v>
      </c>
      <c r="C89" s="11" t="s">
        <v>210</v>
      </c>
      <c r="G89" s="2" t="s">
        <v>162</v>
      </c>
      <c r="H89" s="41" t="s">
        <v>210</v>
      </c>
      <c r="I89" s="41" t="s">
        <v>210</v>
      </c>
      <c r="J89" s="41" t="s">
        <v>210</v>
      </c>
      <c r="K89" s="41" t="s">
        <v>75</v>
      </c>
      <c r="L89" s="41" t="s">
        <v>75</v>
      </c>
      <c r="M89" s="41" t="s">
        <v>75</v>
      </c>
      <c r="N89" s="41" t="s">
        <v>75</v>
      </c>
      <c r="O89" s="41" t="s">
        <v>75</v>
      </c>
      <c r="P89" s="41" t="s">
        <v>75</v>
      </c>
      <c r="Q89" s="41" t="s">
        <v>75</v>
      </c>
      <c r="R89" s="41" t="s">
        <v>75</v>
      </c>
      <c r="S89" s="41" t="s">
        <v>75</v>
      </c>
      <c r="T89" s="41" t="s">
        <v>210</v>
      </c>
      <c r="U89" s="41" t="s">
        <v>210</v>
      </c>
      <c r="V89" s="41" t="s">
        <v>210</v>
      </c>
      <c r="W89" s="41" t="s">
        <v>210</v>
      </c>
      <c r="X89" s="41" t="s">
        <v>210</v>
      </c>
      <c r="Y89" s="41" t="s">
        <v>210</v>
      </c>
      <c r="Z89" s="41" t="s">
        <v>210</v>
      </c>
      <c r="AA89" s="41" t="s">
        <v>210</v>
      </c>
      <c r="AB89" s="41" t="s">
        <v>210</v>
      </c>
      <c r="AC89" s="41" t="s">
        <v>210</v>
      </c>
      <c r="AD89" s="41" t="s">
        <v>210</v>
      </c>
      <c r="AE89" s="41" t="s">
        <v>210</v>
      </c>
      <c r="AF89" s="41" t="s">
        <v>210</v>
      </c>
      <c r="AG89" s="41" t="s">
        <v>210</v>
      </c>
      <c r="AH89" s="41" t="s">
        <v>210</v>
      </c>
      <c r="AI89" s="41" t="s">
        <v>210</v>
      </c>
      <c r="AJ89" s="41" t="s">
        <v>210</v>
      </c>
      <c r="AK89" s="41" t="s">
        <v>210</v>
      </c>
      <c r="AL89" s="41" t="s">
        <v>210</v>
      </c>
      <c r="AM89" s="41" t="s">
        <v>210</v>
      </c>
      <c r="AN89" s="41" t="s">
        <v>210</v>
      </c>
      <c r="AO89" s="41" t="s">
        <v>210</v>
      </c>
      <c r="AP89" s="41" t="s">
        <v>210</v>
      </c>
      <c r="AQ89" s="41" t="s">
        <v>210</v>
      </c>
      <c r="AR89" s="41" t="s">
        <v>210</v>
      </c>
      <c r="AS89" s="41" t="s">
        <v>210</v>
      </c>
      <c r="AT89" s="41" t="s">
        <v>210</v>
      </c>
      <c r="AU89" s="42" t="str">
        <f>IF('GNI per capita'!AU89&lt;=Thresholds!$C$44,"L",IF('GNI per capita'!AU89&lt;=Thresholds!$D$44,"LM",IF('GNI per capita'!AU89&lt;=Thresholds!$E$44,"UM","H")))</f>
        <v>LM</v>
      </c>
      <c r="AV89" s="42" t="str">
        <f>IF('GNI per capita'!AV89&lt;=Thresholds!$C$45,"L",IF('GNI per capita'!AV89&lt;=Thresholds!$D$45,"LM",IF('GNI per capita'!AV89&lt;=Thresholds!$E$45,"UM","H")))</f>
        <v>LM</v>
      </c>
      <c r="AW89" s="42" t="str">
        <f>IF('GNI per capita'!AW89&lt;=Thresholds!$C$46,"L",IF('GNI per capita'!AW89&lt;=Thresholds!$D$46,"LM",IF('GNI per capita'!AW89&lt;=Thresholds!$E$46,"UM","H")))</f>
        <v>LM</v>
      </c>
      <c r="AX89" s="42" t="str">
        <f>IF('GNI per capita'!AX89&lt;=Thresholds!$C$47,"L",IF('GNI per capita'!AX89&lt;=Thresholds!$D$47,"LM",IF('GNI per capita'!AX89&lt;=Thresholds!$E$47,"UM","H")))</f>
        <v>LM</v>
      </c>
      <c r="AY89" s="42" t="str">
        <f>IF('GNI per capita'!AY89&lt;=Thresholds!$C$48,"L",IF('GNI per capita'!AY89&lt;=Thresholds!$D$48,"LM",IF('GNI per capita'!AY89&lt;=Thresholds!$E$48,"UM","H")))</f>
        <v>LM</v>
      </c>
      <c r="AZ89" s="42" t="str">
        <f>IF('GNI per capita'!AZ89&lt;=Thresholds!$C$49,"L",IF('GNI per capita'!AZ89&lt;=Thresholds!$D$49,"LM",IF('GNI per capita'!AZ89&lt;=Thresholds!$E$49,"UM","H")))</f>
        <v>LM</v>
      </c>
      <c r="BA89" s="42" t="str">
        <f>IF('GNI per capita'!BA89&lt;=Thresholds!$C$50,"L",IF('GNI per capita'!BA89&lt;=Thresholds!$D$50,"LM",IF('GNI per capita'!BA89&lt;=Thresholds!$E$50,"UM","H")))</f>
        <v>LM</v>
      </c>
      <c r="BB89" s="42" t="str">
        <f>IF('GNI per capita'!BB89&lt;=Thresholds!$C$51,"L",IF('GNI per capita'!BB89&lt;=Thresholds!$D$51,"LM",IF('GNI per capita'!BB89&lt;=Thresholds!$E$51,"UM","H")))</f>
        <v>LM</v>
      </c>
      <c r="BC89" s="42" t="str">
        <f>IF('GNI per capita'!BC89&lt;=Thresholds!$C$52,"L",IF('GNI per capita'!BC89&lt;=Thresholds!$D$52,"LM",IF('GNI per capita'!BC89&lt;=Thresholds!$E$52,"UM","H")))</f>
        <v>UM</v>
      </c>
      <c r="BD89" s="42" t="str">
        <f>IF('GNI per capita'!BD89&lt;=Thresholds!$C$53,"L",IF('GNI per capita'!BD89&lt;=Thresholds!$D$53,"LM",IF('GNI per capita'!BD89&lt;=Thresholds!$E$53,"UM","H")))</f>
        <v>UM</v>
      </c>
      <c r="BE89" s="42" t="str">
        <f>IF('GNI per capita'!BE89&lt;=Thresholds!$C$54,"L",IF('GNI per capita'!BE89&lt;=Thresholds!$D$54,"LM",IF('GNI per capita'!BE89&lt;=Thresholds!$E$54,"UM","H")))</f>
        <v>UM</v>
      </c>
      <c r="BF89" s="42" t="str">
        <f>IF('GNI per capita'!BF89&lt;=Thresholds!$C$55,"L",IF('GNI per capita'!BF89&lt;=Thresholds!$D$55,"LM",IF('GNI per capita'!BF89&lt;=Thresholds!$E$55,"UM","H")))</f>
        <v>UM</v>
      </c>
      <c r="BG89" s="42" t="str">
        <f>IF('GNI per capita'!BG89&lt;=Thresholds!$C$56,"L",IF('GNI per capita'!BG89&lt;=Thresholds!$D$56,"LM",IF('GNI per capita'!BG89&lt;=Thresholds!$E$56,"UM","H")))</f>
        <v>UM</v>
      </c>
      <c r="BH89" s="42" t="str">
        <f>IF('GNI per capita'!BH89&lt;=Thresholds!$C$57,"L",IF('GNI per capita'!BH89&lt;=Thresholds!$D$57,"LM",IF('GNI per capita'!BH89&lt;=Thresholds!$E$57,"UM","H")))</f>
        <v>UM</v>
      </c>
      <c r="BI89" s="42" t="str">
        <f>IF('GNI per capita'!BI89&lt;=Thresholds!$C$58,"L",IF('GNI per capita'!BI89&lt;=Thresholds!$D$58,"LM",IF('GNI per capita'!BI89&lt;=Thresholds!$E$58,"UM","H")))</f>
        <v>UM</v>
      </c>
      <c r="BJ89" s="42" t="str">
        <f>IF('GNI per capita'!BJ89&lt;=Thresholds!$C$59,"L",IF('GNI per capita'!BJ89&lt;=Thresholds!$D$59,"LM",IF('GNI per capita'!BJ89&lt;=Thresholds!$E$59,"UM","H")))</f>
        <v>UM</v>
      </c>
      <c r="BK89" s="42" t="str">
        <f>IF('GNI per capita'!BK89&lt;=Thresholds!$C$60,"L",IF('GNI per capita'!BK89&lt;=Thresholds!$D$60,"LM",IF('GNI per capita'!BK89&lt;=Thresholds!$E$60,"UM","H")))</f>
        <v>UM</v>
      </c>
      <c r="BL89" s="42" t="str">
        <f>IF('GNI per capita'!BL89&lt;=Thresholds!$C$61,"L",IF('GNI per capita'!BL89&lt;=Thresholds!$D$61,"LM",IF('GNI per capita'!BL89&lt;=Thresholds!$E$61,"UM","H")))</f>
        <v>UM</v>
      </c>
      <c r="BM89" s="42" t="str">
        <f>IF('GNI per capita'!BM89&lt;=Thresholds!$C$62,"L",IF('GNI per capita'!BM89&lt;=Thresholds!$D$62,"LM",IF('GNI per capita'!BM89&lt;=Thresholds!$E$62,"UM","H")))</f>
        <v>UM</v>
      </c>
      <c r="BN89" s="42" t="str">
        <f>IF('GNI per capita'!BN89&lt;=Thresholds!$C$63,"L",IF('GNI per capita'!BN89&lt;=Thresholds!$D$63,"LM",IF('GNI per capita'!BN89&lt;=Thresholds!$E$63,"UM","H")))</f>
        <v>UM</v>
      </c>
      <c r="BO89" s="42" t="str">
        <f>IF('GNI per capita'!BO89&lt;=Thresholds!$C$64,"L",IF('GNI per capita'!BO89&lt;=Thresholds!$D$64,"LM",IF('GNI per capita'!BO89&lt;=Thresholds!$E$64,"UM","H")))</f>
        <v>UM</v>
      </c>
      <c r="BP89" s="42" t="str">
        <f>IF('GNI per capita'!BP89&lt;=Thresholds!$C$65,"L",IF('GNI per capita'!BP89&lt;=Thresholds!$D$65,"LM",IF('GNI per capita'!BP89&lt;=Thresholds!$E$65,"UM","H")))</f>
        <v>UM</v>
      </c>
      <c r="BQ89" s="42" t="str">
        <f>IF('GNI per capita'!BQ89&lt;=Thresholds!$C$66,"L",IF('GNI per capita'!BQ89&lt;=Thresholds!$D$66,"LM",IF('GNI per capita'!BQ89&lt;=Thresholds!$E$66,"UM","H")))</f>
        <v>UM</v>
      </c>
      <c r="BR89" s="42" t="str">
        <f>IF('GNI per capita'!BR89&lt;=Thresholds!$C$67,"L",IF('GNI per capita'!BR89&lt;=Thresholds!$D$67,"LM",IF('GNI per capita'!BR89&lt;=Thresholds!$E$67,"UM","H")))</f>
        <v>UM</v>
      </c>
      <c r="BS89" s="42" t="str">
        <f>IF('GNI per capita'!BS89&lt;=Thresholds!$C$68,"L",IF('GNI per capita'!BS89&lt;=Thresholds!$D$68,"LM",IF('GNI per capita'!BS89&lt;=Thresholds!$E$68,"UM","H")))</f>
        <v>UM</v>
      </c>
    </row>
    <row r="90" spans="1:71" x14ac:dyDescent="0.2">
      <c r="A90" s="2" t="s">
        <v>387</v>
      </c>
      <c r="B90" s="2" t="s">
        <v>388</v>
      </c>
      <c r="C90" s="11" t="s">
        <v>79</v>
      </c>
      <c r="G90" s="2" t="s">
        <v>162</v>
      </c>
      <c r="H90" s="41" t="s">
        <v>79</v>
      </c>
      <c r="I90" s="41" t="s">
        <v>79</v>
      </c>
      <c r="J90" s="41" t="s">
        <v>79</v>
      </c>
      <c r="K90" s="41" t="s">
        <v>79</v>
      </c>
      <c r="L90" s="41" t="s">
        <v>79</v>
      </c>
      <c r="M90" s="41" t="s">
        <v>79</v>
      </c>
      <c r="N90" s="41" t="s">
        <v>79</v>
      </c>
      <c r="O90" s="41" t="s">
        <v>79</v>
      </c>
      <c r="P90" s="41" t="s">
        <v>79</v>
      </c>
      <c r="Q90" s="41" t="s">
        <v>79</v>
      </c>
      <c r="R90" s="41" t="s">
        <v>79</v>
      </c>
      <c r="S90" s="41" t="s">
        <v>79</v>
      </c>
      <c r="T90" s="41" t="s">
        <v>79</v>
      </c>
      <c r="U90" s="41" t="s">
        <v>79</v>
      </c>
      <c r="V90" s="41" t="s">
        <v>79</v>
      </c>
      <c r="W90" s="41" t="s">
        <v>79</v>
      </c>
      <c r="X90" s="41" t="s">
        <v>79</v>
      </c>
      <c r="Y90" s="41" t="s">
        <v>79</v>
      </c>
      <c r="Z90" s="41" t="s">
        <v>79</v>
      </c>
      <c r="AA90" s="41" t="s">
        <v>79</v>
      </c>
      <c r="AB90" s="41" t="s">
        <v>79</v>
      </c>
      <c r="AC90" s="41" t="s">
        <v>79</v>
      </c>
      <c r="AD90" s="41" t="s">
        <v>79</v>
      </c>
      <c r="AE90" s="41" t="s">
        <v>79</v>
      </c>
      <c r="AF90" s="41" t="s">
        <v>79</v>
      </c>
      <c r="AG90" s="41" t="s">
        <v>79</v>
      </c>
      <c r="AH90" s="41" t="s">
        <v>79</v>
      </c>
      <c r="AI90" s="41" t="s">
        <v>79</v>
      </c>
      <c r="AJ90" s="41" t="s">
        <v>79</v>
      </c>
      <c r="AK90" s="41" t="s">
        <v>79</v>
      </c>
      <c r="AL90" s="41" t="s">
        <v>79</v>
      </c>
      <c r="AM90" s="41" t="s">
        <v>79</v>
      </c>
      <c r="AN90" s="41" t="s">
        <v>79</v>
      </c>
      <c r="AO90" s="41" t="s">
        <v>79</v>
      </c>
      <c r="AP90" s="41" t="s">
        <v>79</v>
      </c>
      <c r="AQ90" s="41" t="s">
        <v>79</v>
      </c>
      <c r="AR90" s="41" t="s">
        <v>79</v>
      </c>
      <c r="AS90" s="41" t="s">
        <v>79</v>
      </c>
      <c r="AT90" s="41" t="s">
        <v>79</v>
      </c>
      <c r="AU90" s="42" t="str">
        <f>IF('GNI per capita'!AU90&lt;=Thresholds!$C$44,"L",IF('GNI per capita'!AU90&lt;=Thresholds!$D$44,"LM",IF('GNI per capita'!AU90&lt;=Thresholds!$E$44,"UM","H")))</f>
        <v>H</v>
      </c>
      <c r="AV90" s="42" t="str">
        <f>IF('GNI per capita'!AV90&lt;=Thresholds!$C$45,"L",IF('GNI per capita'!AV90&lt;=Thresholds!$D$45,"LM",IF('GNI per capita'!AV90&lt;=Thresholds!$E$45,"UM","H")))</f>
        <v>H</v>
      </c>
      <c r="AW90" s="42" t="str">
        <f>IF('GNI per capita'!AW90&lt;=Thresholds!$C$46,"L",IF('GNI per capita'!AW90&lt;=Thresholds!$D$46,"LM",IF('GNI per capita'!AW90&lt;=Thresholds!$E$46,"UM","H")))</f>
        <v>H</v>
      </c>
      <c r="AX90" s="42" t="str">
        <f>IF('GNI per capita'!AX90&lt;=Thresholds!$C$47,"L",IF('GNI per capita'!AX90&lt;=Thresholds!$D$47,"LM",IF('GNI per capita'!AX90&lt;=Thresholds!$E$47,"UM","H")))</f>
        <v>H</v>
      </c>
      <c r="AY90" s="42" t="str">
        <f>IF('GNI per capita'!AY90&lt;=Thresholds!$C$48,"L",IF('GNI per capita'!AY90&lt;=Thresholds!$D$48,"LM",IF('GNI per capita'!AY90&lt;=Thresholds!$E$48,"UM","H")))</f>
        <v>H</v>
      </c>
      <c r="AZ90" s="42" t="str">
        <f>IF('GNI per capita'!AZ90&lt;=Thresholds!$C$49,"L",IF('GNI per capita'!AZ90&lt;=Thresholds!$D$49,"LM",IF('GNI per capita'!AZ90&lt;=Thresholds!$E$49,"UM","H")))</f>
        <v>H</v>
      </c>
      <c r="BA90" s="42" t="str">
        <f>IF('GNI per capita'!BA90&lt;=Thresholds!$C$50,"L",IF('GNI per capita'!BA90&lt;=Thresholds!$D$50,"LM",IF('GNI per capita'!BA90&lt;=Thresholds!$E$50,"UM","H")))</f>
        <v>H</v>
      </c>
      <c r="BB90" s="42" t="str">
        <f>IF('GNI per capita'!BB90&lt;=Thresholds!$C$51,"L",IF('GNI per capita'!BB90&lt;=Thresholds!$D$51,"LM",IF('GNI per capita'!BB90&lt;=Thresholds!$E$51,"UM","H")))</f>
        <v>H</v>
      </c>
      <c r="BC90" s="42" t="str">
        <f>IF('GNI per capita'!BC90&lt;=Thresholds!$C$52,"L",IF('GNI per capita'!BC90&lt;=Thresholds!$D$52,"LM",IF('GNI per capita'!BC90&lt;=Thresholds!$E$52,"UM","H")))</f>
        <v>H</v>
      </c>
      <c r="BD90" s="42" t="str">
        <f>IF('GNI per capita'!BD90&lt;=Thresholds!$C$53,"L",IF('GNI per capita'!BD90&lt;=Thresholds!$D$53,"LM",IF('GNI per capita'!BD90&lt;=Thresholds!$E$53,"UM","H")))</f>
        <v>H</v>
      </c>
      <c r="BE90" s="42" t="str">
        <f>IF('GNI per capita'!BE90&lt;=Thresholds!$C$54,"L",IF('GNI per capita'!BE90&lt;=Thresholds!$D$54,"LM",IF('GNI per capita'!BE90&lt;=Thresholds!$E$54,"UM","H")))</f>
        <v>H</v>
      </c>
      <c r="BF90" s="42" t="str">
        <f>IF('GNI per capita'!BF90&lt;=Thresholds!$C$55,"L",IF('GNI per capita'!BF90&lt;=Thresholds!$D$55,"LM",IF('GNI per capita'!BF90&lt;=Thresholds!$E$55,"UM","H")))</f>
        <v>H</v>
      </c>
      <c r="BG90" s="42" t="str">
        <f>IF('GNI per capita'!BG90&lt;=Thresholds!$C$56,"L",IF('GNI per capita'!BG90&lt;=Thresholds!$D$56,"LM",IF('GNI per capita'!BG90&lt;=Thresholds!$E$56,"UM","H")))</f>
        <v>H</v>
      </c>
      <c r="BH90" s="42" t="str">
        <f>IF('GNI per capita'!BH90&lt;=Thresholds!$C$57,"L",IF('GNI per capita'!BH90&lt;=Thresholds!$D$57,"LM",IF('GNI per capita'!BH90&lt;=Thresholds!$E$57,"UM","H")))</f>
        <v>H</v>
      </c>
      <c r="BI90" s="42" t="str">
        <f>IF('GNI per capita'!BI90&lt;=Thresholds!$C$58,"L",IF('GNI per capita'!BI90&lt;=Thresholds!$D$58,"LM",IF('GNI per capita'!BI90&lt;=Thresholds!$E$58,"UM","H")))</f>
        <v>H</v>
      </c>
      <c r="BJ90" s="42" t="str">
        <f>IF('GNI per capita'!BJ90&lt;=Thresholds!$C$59,"L",IF('GNI per capita'!BJ90&lt;=Thresholds!$D$59,"LM",IF('GNI per capita'!BJ90&lt;=Thresholds!$E$59,"UM","H")))</f>
        <v>H</v>
      </c>
      <c r="BK90" s="42" t="str">
        <f>IF('GNI per capita'!BK90&lt;=Thresholds!$C$60,"L",IF('GNI per capita'!BK90&lt;=Thresholds!$D$60,"LM",IF('GNI per capita'!BK90&lt;=Thresholds!$E$60,"UM","H")))</f>
        <v>H</v>
      </c>
      <c r="BL90" s="42" t="str">
        <f>IF('GNI per capita'!BL90&lt;=Thresholds!$C$61,"L",IF('GNI per capita'!BL90&lt;=Thresholds!$D$61,"LM",IF('GNI per capita'!BL90&lt;=Thresholds!$E$61,"UM","H")))</f>
        <v>H</v>
      </c>
      <c r="BM90" s="42" t="str">
        <f>IF('GNI per capita'!BM90&lt;=Thresholds!$C$62,"L",IF('GNI per capita'!BM90&lt;=Thresholds!$D$62,"LM",IF('GNI per capita'!BM90&lt;=Thresholds!$E$62,"UM","H")))</f>
        <v>H</v>
      </c>
      <c r="BN90" s="42" t="str">
        <f>IF('GNI per capita'!BN90&lt;=Thresholds!$C$63,"L",IF('GNI per capita'!BN90&lt;=Thresholds!$D$63,"LM",IF('GNI per capita'!BN90&lt;=Thresholds!$E$63,"UM","H")))</f>
        <v>H</v>
      </c>
      <c r="BO90" s="42" t="str">
        <f>IF('GNI per capita'!BO90&lt;=Thresholds!$C$64,"L",IF('GNI per capita'!BO90&lt;=Thresholds!$D$64,"LM",IF('GNI per capita'!BO90&lt;=Thresholds!$E$64,"UM","H")))</f>
        <v>H</v>
      </c>
      <c r="BP90" s="42" t="str">
        <f>IF('GNI per capita'!BP90&lt;=Thresholds!$C$65,"L",IF('GNI per capita'!BP90&lt;=Thresholds!$D$65,"LM",IF('GNI per capita'!BP90&lt;=Thresholds!$E$65,"UM","H")))</f>
        <v>H</v>
      </c>
      <c r="BQ90" s="42" t="str">
        <f>IF('GNI per capita'!BQ90&lt;=Thresholds!$C$66,"L",IF('GNI per capita'!BQ90&lt;=Thresholds!$D$66,"LM",IF('GNI per capita'!BQ90&lt;=Thresholds!$E$66,"UM","H")))</f>
        <v>H</v>
      </c>
      <c r="BR90" s="42" t="str">
        <f>IF('GNI per capita'!BR90&lt;=Thresholds!$C$67,"L",IF('GNI per capita'!BR90&lt;=Thresholds!$D$67,"LM",IF('GNI per capita'!BR90&lt;=Thresholds!$E$67,"UM","H")))</f>
        <v>H</v>
      </c>
      <c r="BS90" s="42" t="str">
        <f>IF('GNI per capita'!BS90&lt;=Thresholds!$C$68,"L",IF('GNI per capita'!BS90&lt;=Thresholds!$D$68,"LM",IF('GNI per capita'!BS90&lt;=Thresholds!$E$68,"UM","H")))</f>
        <v>H</v>
      </c>
    </row>
    <row r="91" spans="1:71" x14ac:dyDescent="0.2">
      <c r="A91" s="2" t="s">
        <v>389</v>
      </c>
      <c r="B91" s="2" t="s">
        <v>390</v>
      </c>
      <c r="C91" s="11" t="s">
        <v>79</v>
      </c>
      <c r="G91" s="2" t="s">
        <v>162</v>
      </c>
      <c r="H91" s="41" t="s">
        <v>82</v>
      </c>
      <c r="I91" s="41" t="s">
        <v>82</v>
      </c>
      <c r="J91" s="41" t="s">
        <v>82</v>
      </c>
      <c r="K91" s="41" t="s">
        <v>82</v>
      </c>
      <c r="L91" s="41" t="s">
        <v>82</v>
      </c>
      <c r="M91" s="41" t="s">
        <v>82</v>
      </c>
      <c r="N91" s="41" t="s">
        <v>82</v>
      </c>
      <c r="O91" s="41" t="s">
        <v>82</v>
      </c>
      <c r="P91" s="41" t="s">
        <v>82</v>
      </c>
      <c r="Q91" s="41" t="s">
        <v>82</v>
      </c>
      <c r="R91" s="41" t="s">
        <v>82</v>
      </c>
      <c r="S91" s="41" t="s">
        <v>82</v>
      </c>
      <c r="T91" s="41" t="s">
        <v>82</v>
      </c>
      <c r="U91" s="41" t="s">
        <v>82</v>
      </c>
      <c r="V91" s="41" t="s">
        <v>82</v>
      </c>
      <c r="W91" s="41" t="s">
        <v>82</v>
      </c>
      <c r="X91" s="41" t="s">
        <v>82</v>
      </c>
      <c r="Y91" s="41" t="s">
        <v>82</v>
      </c>
      <c r="Z91" s="41" t="s">
        <v>82</v>
      </c>
      <c r="AA91" s="41" t="s">
        <v>82</v>
      </c>
      <c r="AB91" s="41" t="s">
        <v>79</v>
      </c>
      <c r="AC91" s="41" t="s">
        <v>79</v>
      </c>
      <c r="AD91" s="41" t="s">
        <v>79</v>
      </c>
      <c r="AE91" s="41" t="s">
        <v>79</v>
      </c>
      <c r="AF91" s="41" t="s">
        <v>79</v>
      </c>
      <c r="AG91" s="41" t="s">
        <v>82</v>
      </c>
      <c r="AH91" s="41" t="s">
        <v>82</v>
      </c>
      <c r="AI91" s="41" t="s">
        <v>79</v>
      </c>
      <c r="AJ91" s="41" t="s">
        <v>79</v>
      </c>
      <c r="AK91" s="41" t="s">
        <v>79</v>
      </c>
      <c r="AL91" s="41" t="s">
        <v>79</v>
      </c>
      <c r="AM91" s="41" t="s">
        <v>79</v>
      </c>
      <c r="AN91" s="41" t="s">
        <v>79</v>
      </c>
      <c r="AO91" s="41" t="s">
        <v>79</v>
      </c>
      <c r="AP91" s="41" t="s">
        <v>79</v>
      </c>
      <c r="AQ91" s="41" t="s">
        <v>79</v>
      </c>
      <c r="AR91" s="41" t="s">
        <v>79</v>
      </c>
      <c r="AS91" s="41" t="s">
        <v>79</v>
      </c>
      <c r="AT91" s="41" t="s">
        <v>79</v>
      </c>
      <c r="AU91" s="42" t="str">
        <f>IF('GNI per capita'!AU91&lt;=Thresholds!$C$44,"L",IF('GNI per capita'!AU91&lt;=Thresholds!$D$44,"LM",IF('GNI per capita'!AU91&lt;=Thresholds!$E$44,"UM","H")))</f>
        <v>H</v>
      </c>
      <c r="AV91" s="42" t="str">
        <f>IF('GNI per capita'!AV91&lt;=Thresholds!$C$45,"L",IF('GNI per capita'!AV91&lt;=Thresholds!$D$45,"LM",IF('GNI per capita'!AV91&lt;=Thresholds!$E$45,"UM","H")))</f>
        <v>H</v>
      </c>
      <c r="AW91" s="42" t="str">
        <f>IF('GNI per capita'!AW91&lt;=Thresholds!$C$46,"L",IF('GNI per capita'!AW91&lt;=Thresholds!$D$46,"LM",IF('GNI per capita'!AW91&lt;=Thresholds!$E$46,"UM","H")))</f>
        <v>H</v>
      </c>
      <c r="AX91" s="42" t="str">
        <f>IF('GNI per capita'!AX91&lt;=Thresholds!$C$47,"L",IF('GNI per capita'!AX91&lt;=Thresholds!$D$47,"LM",IF('GNI per capita'!AX91&lt;=Thresholds!$E$47,"UM","H")))</f>
        <v>H</v>
      </c>
      <c r="AY91" s="42" t="str">
        <f>IF('GNI per capita'!AY91&lt;=Thresholds!$C$48,"L",IF('GNI per capita'!AY91&lt;=Thresholds!$D$48,"LM",IF('GNI per capita'!AY91&lt;=Thresholds!$E$48,"UM","H")))</f>
        <v>H</v>
      </c>
      <c r="AZ91" s="42" t="str">
        <f>IF('GNI per capita'!AZ91&lt;=Thresholds!$C$49,"L",IF('GNI per capita'!AZ91&lt;=Thresholds!$D$49,"LM",IF('GNI per capita'!AZ91&lt;=Thresholds!$E$49,"UM","H")))</f>
        <v>H</v>
      </c>
      <c r="BA91" s="42" t="str">
        <f>IF('GNI per capita'!BA91&lt;=Thresholds!$C$50,"L",IF('GNI per capita'!BA91&lt;=Thresholds!$D$50,"LM",IF('GNI per capita'!BA91&lt;=Thresholds!$E$50,"UM","H")))</f>
        <v>H</v>
      </c>
      <c r="BB91" s="42" t="str">
        <f>IF('GNI per capita'!BB91&lt;=Thresholds!$C$51,"L",IF('GNI per capita'!BB91&lt;=Thresholds!$D$51,"LM",IF('GNI per capita'!BB91&lt;=Thresholds!$E$51,"UM","H")))</f>
        <v>H</v>
      </c>
      <c r="BC91" s="42" t="str">
        <f>IF('GNI per capita'!BC91&lt;=Thresholds!$C$52,"L",IF('GNI per capita'!BC91&lt;=Thresholds!$D$52,"LM",IF('GNI per capita'!BC91&lt;=Thresholds!$E$52,"UM","H")))</f>
        <v>H</v>
      </c>
      <c r="BD91" s="42" t="str">
        <f>IF('GNI per capita'!BD91&lt;=Thresholds!$C$53,"L",IF('GNI per capita'!BD91&lt;=Thresholds!$D$53,"LM",IF('GNI per capita'!BD91&lt;=Thresholds!$E$53,"UM","H")))</f>
        <v>H</v>
      </c>
      <c r="BE91" s="42" t="str">
        <f>IF('GNI per capita'!BE91&lt;=Thresholds!$C$54,"L",IF('GNI per capita'!BE91&lt;=Thresholds!$D$54,"LM",IF('GNI per capita'!BE91&lt;=Thresholds!$E$54,"UM","H")))</f>
        <v>H</v>
      </c>
      <c r="BF91" s="42" t="str">
        <f>IF('GNI per capita'!BF91&lt;=Thresholds!$C$55,"L",IF('GNI per capita'!BF91&lt;=Thresholds!$D$55,"LM",IF('GNI per capita'!BF91&lt;=Thresholds!$E$55,"UM","H")))</f>
        <v>H</v>
      </c>
      <c r="BG91" s="42" t="str">
        <f>IF('GNI per capita'!BG91&lt;=Thresholds!$C$56,"L",IF('GNI per capita'!BG91&lt;=Thresholds!$D$56,"LM",IF('GNI per capita'!BG91&lt;=Thresholds!$E$56,"UM","H")))</f>
        <v>H</v>
      </c>
      <c r="BH91" s="42" t="str">
        <f>IF('GNI per capita'!BH91&lt;=Thresholds!$C$57,"L",IF('GNI per capita'!BH91&lt;=Thresholds!$D$57,"LM",IF('GNI per capita'!BH91&lt;=Thresholds!$E$57,"UM","H")))</f>
        <v>H</v>
      </c>
      <c r="BI91" s="42" t="str">
        <f>IF('GNI per capita'!BI91&lt;=Thresholds!$C$58,"L",IF('GNI per capita'!BI91&lt;=Thresholds!$D$58,"LM",IF('GNI per capita'!BI91&lt;=Thresholds!$E$58,"UM","H")))</f>
        <v>H</v>
      </c>
      <c r="BJ91" s="42" t="str">
        <f>IF('GNI per capita'!BJ91&lt;=Thresholds!$C$59,"L",IF('GNI per capita'!BJ91&lt;=Thresholds!$D$59,"LM",IF('GNI per capita'!BJ91&lt;=Thresholds!$E$59,"UM","H")))</f>
        <v>H</v>
      </c>
      <c r="BK91" s="42" t="str">
        <f>IF('GNI per capita'!BK91&lt;=Thresholds!$C$60,"L",IF('GNI per capita'!BK91&lt;=Thresholds!$D$60,"LM",IF('GNI per capita'!BK91&lt;=Thresholds!$E$60,"UM","H")))</f>
        <v>H</v>
      </c>
      <c r="BL91" s="42" t="str">
        <f>IF('GNI per capita'!BL91&lt;=Thresholds!$C$61,"L",IF('GNI per capita'!BL91&lt;=Thresholds!$D$61,"LM",IF('GNI per capita'!BL91&lt;=Thresholds!$E$61,"UM","H")))</f>
        <v>H</v>
      </c>
      <c r="BM91" s="42" t="str">
        <f>IF('GNI per capita'!BM91&lt;=Thresholds!$C$62,"L",IF('GNI per capita'!BM91&lt;=Thresholds!$D$62,"LM",IF('GNI per capita'!BM91&lt;=Thresholds!$E$62,"UM","H")))</f>
        <v>H</v>
      </c>
      <c r="BN91" s="42" t="str">
        <f>IF('GNI per capita'!BN91&lt;=Thresholds!$C$63,"L",IF('GNI per capita'!BN91&lt;=Thresholds!$D$63,"LM",IF('GNI per capita'!BN91&lt;=Thresholds!$E$63,"UM","H")))</f>
        <v>H</v>
      </c>
      <c r="BO91" s="42" t="str">
        <f>IF('GNI per capita'!BO91&lt;=Thresholds!$C$64,"L",IF('GNI per capita'!BO91&lt;=Thresholds!$D$64,"LM",IF('GNI per capita'!BO91&lt;=Thresholds!$E$64,"UM","H")))</f>
        <v>H</v>
      </c>
      <c r="BP91" s="42" t="str">
        <f>IF('GNI per capita'!BP91&lt;=Thresholds!$C$65,"L",IF('GNI per capita'!BP91&lt;=Thresholds!$D$65,"LM",IF('GNI per capita'!BP91&lt;=Thresholds!$E$65,"UM","H")))</f>
        <v>H</v>
      </c>
      <c r="BQ91" s="42" t="str">
        <f>IF('GNI per capita'!BQ91&lt;=Thresholds!$C$66,"L",IF('GNI per capita'!BQ91&lt;=Thresholds!$D$66,"LM",IF('GNI per capita'!BQ91&lt;=Thresholds!$E$66,"UM","H")))</f>
        <v>H</v>
      </c>
      <c r="BR91" s="42" t="str">
        <f>IF('GNI per capita'!BR91&lt;=Thresholds!$C$67,"L",IF('GNI per capita'!BR91&lt;=Thresholds!$D$67,"LM",IF('GNI per capita'!BR91&lt;=Thresholds!$E$67,"UM","H")))</f>
        <v>H</v>
      </c>
      <c r="BS91" s="42" t="str">
        <f>IF('GNI per capita'!BS91&lt;=Thresholds!$C$68,"L",IF('GNI per capita'!BS91&lt;=Thresholds!$D$68,"LM",IF('GNI per capita'!BS91&lt;=Thresholds!$E$68,"UM","H")))</f>
        <v>H</v>
      </c>
    </row>
    <row r="92" spans="1:71" x14ac:dyDescent="0.2">
      <c r="A92" s="2" t="s">
        <v>391</v>
      </c>
      <c r="B92" s="2" t="s">
        <v>392</v>
      </c>
      <c r="C92" s="11" t="s">
        <v>79</v>
      </c>
      <c r="G92" s="2" t="s">
        <v>393</v>
      </c>
      <c r="H92" s="41" t="s">
        <v>79</v>
      </c>
      <c r="I92" s="41" t="s">
        <v>79</v>
      </c>
      <c r="J92" s="41" t="s">
        <v>79</v>
      </c>
      <c r="K92" s="41" t="s">
        <v>79</v>
      </c>
      <c r="L92" s="41" t="s">
        <v>79</v>
      </c>
      <c r="M92" s="41" t="s">
        <v>79</v>
      </c>
      <c r="N92" s="41" t="s">
        <v>79</v>
      </c>
      <c r="O92" s="41" t="s">
        <v>79</v>
      </c>
      <c r="P92" s="41" t="s">
        <v>79</v>
      </c>
      <c r="Q92" s="41" t="s">
        <v>79</v>
      </c>
      <c r="R92" s="41" t="s">
        <v>79</v>
      </c>
      <c r="S92" s="41" t="s">
        <v>79</v>
      </c>
      <c r="T92" s="41" t="s">
        <v>79</v>
      </c>
      <c r="U92" s="41" t="s">
        <v>79</v>
      </c>
      <c r="V92" s="41" t="s">
        <v>79</v>
      </c>
      <c r="W92" s="41" t="s">
        <v>79</v>
      </c>
      <c r="X92" s="41" t="s">
        <v>79</v>
      </c>
      <c r="Y92" s="41" t="s">
        <v>79</v>
      </c>
      <c r="Z92" s="41" t="s">
        <v>79</v>
      </c>
      <c r="AA92" s="41" t="s">
        <v>79</v>
      </c>
      <c r="AB92" s="41" t="s">
        <v>79</v>
      </c>
      <c r="AC92" s="41" t="s">
        <v>79</v>
      </c>
      <c r="AD92" s="41" t="s">
        <v>79</v>
      </c>
      <c r="AE92" s="41" t="s">
        <v>79</v>
      </c>
      <c r="AF92" s="41" t="s">
        <v>79</v>
      </c>
      <c r="AG92" s="41" t="s">
        <v>79</v>
      </c>
      <c r="AH92" s="41" t="s">
        <v>79</v>
      </c>
      <c r="AI92" s="41" t="s">
        <v>79</v>
      </c>
      <c r="AJ92" s="41" t="s">
        <v>79</v>
      </c>
      <c r="AK92" s="41" t="s">
        <v>79</v>
      </c>
      <c r="AL92" s="41" t="s">
        <v>79</v>
      </c>
      <c r="AM92" s="41" t="s">
        <v>79</v>
      </c>
      <c r="AN92" s="41" t="s">
        <v>79</v>
      </c>
      <c r="AO92" s="41" t="s">
        <v>79</v>
      </c>
      <c r="AP92" s="41" t="s">
        <v>79</v>
      </c>
      <c r="AQ92" s="41" t="s">
        <v>79</v>
      </c>
      <c r="AR92" s="41" t="s">
        <v>79</v>
      </c>
      <c r="AS92" s="41" t="s">
        <v>79</v>
      </c>
      <c r="AT92" s="41" t="s">
        <v>79</v>
      </c>
      <c r="AU92" s="42" t="str">
        <f>IF('GNI per capita'!AU92&lt;=Thresholds!$C$44,"L",IF('GNI per capita'!AU92&lt;=Thresholds!$D$44,"LM",IF('GNI per capita'!AU92&lt;=Thresholds!$E$44,"UM","H")))</f>
        <v>H</v>
      </c>
      <c r="AV92" s="42" t="str">
        <f>IF('GNI per capita'!AV92&lt;=Thresholds!$C$45,"L",IF('GNI per capita'!AV92&lt;=Thresholds!$D$45,"LM",IF('GNI per capita'!AV92&lt;=Thresholds!$E$45,"UM","H")))</f>
        <v>H</v>
      </c>
      <c r="AW92" s="42" t="str">
        <f>IF('GNI per capita'!AW92&lt;=Thresholds!$C$46,"L",IF('GNI per capita'!AW92&lt;=Thresholds!$D$46,"LM",IF('GNI per capita'!AW92&lt;=Thresholds!$E$46,"UM","H")))</f>
        <v>H</v>
      </c>
      <c r="AX92" s="42" t="str">
        <f>IF('GNI per capita'!AX92&lt;=Thresholds!$C$47,"L",IF('GNI per capita'!AX92&lt;=Thresholds!$D$47,"LM",IF('GNI per capita'!AX92&lt;=Thresholds!$E$47,"UM","H")))</f>
        <v>H</v>
      </c>
      <c r="AY92" s="42" t="str">
        <f>IF('GNI per capita'!AY92&lt;=Thresholds!$C$48,"L",IF('GNI per capita'!AY92&lt;=Thresholds!$D$48,"LM",IF('GNI per capita'!AY92&lt;=Thresholds!$E$48,"UM","H")))</f>
        <v>H</v>
      </c>
      <c r="AZ92" s="42" t="str">
        <f>IF('GNI per capita'!AZ92&lt;=Thresholds!$C$49,"L",IF('GNI per capita'!AZ92&lt;=Thresholds!$D$49,"LM",IF('GNI per capita'!AZ92&lt;=Thresholds!$E$49,"UM","H")))</f>
        <v>H</v>
      </c>
      <c r="BA92" s="42" t="str">
        <f>IF('GNI per capita'!BA92&lt;=Thresholds!$C$50,"L",IF('GNI per capita'!BA92&lt;=Thresholds!$D$50,"LM",IF('GNI per capita'!BA92&lt;=Thresholds!$E$50,"UM","H")))</f>
        <v>H</v>
      </c>
      <c r="BB92" s="42" t="str">
        <f>IF('GNI per capita'!BB92&lt;=Thresholds!$C$51,"L",IF('GNI per capita'!BB92&lt;=Thresholds!$D$51,"LM",IF('GNI per capita'!BB92&lt;=Thresholds!$E$51,"UM","H")))</f>
        <v>H</v>
      </c>
      <c r="BC92" s="42" t="str">
        <f>IF('GNI per capita'!BC92&lt;=Thresholds!$C$52,"L",IF('GNI per capita'!BC92&lt;=Thresholds!$D$52,"LM",IF('GNI per capita'!BC92&lt;=Thresholds!$E$52,"UM","H")))</f>
        <v>H</v>
      </c>
      <c r="BD92" s="42" t="str">
        <f>IF('GNI per capita'!BD92&lt;=Thresholds!$C$53,"L",IF('GNI per capita'!BD92&lt;=Thresholds!$D$53,"LM",IF('GNI per capita'!BD92&lt;=Thresholds!$E$53,"UM","H")))</f>
        <v>H</v>
      </c>
      <c r="BE92" s="42" t="str">
        <f>IF('GNI per capita'!BE92&lt;=Thresholds!$C$54,"L",IF('GNI per capita'!BE92&lt;=Thresholds!$D$54,"LM",IF('GNI per capita'!BE92&lt;=Thresholds!$E$54,"UM","H")))</f>
        <v>H</v>
      </c>
      <c r="BF92" s="42" t="str">
        <f>IF('GNI per capita'!BF92&lt;=Thresholds!$C$55,"L",IF('GNI per capita'!BF92&lt;=Thresholds!$D$55,"LM",IF('GNI per capita'!BF92&lt;=Thresholds!$E$55,"UM","H")))</f>
        <v>H</v>
      </c>
      <c r="BG92" s="42" t="str">
        <f>IF('GNI per capita'!BG92&lt;=Thresholds!$C$56,"L",IF('GNI per capita'!BG92&lt;=Thresholds!$D$56,"LM",IF('GNI per capita'!BG92&lt;=Thresholds!$E$56,"UM","H")))</f>
        <v>H</v>
      </c>
      <c r="BH92" s="42" t="str">
        <f>IF('GNI per capita'!BH92&lt;=Thresholds!$C$57,"L",IF('GNI per capita'!BH92&lt;=Thresholds!$D$57,"LM",IF('GNI per capita'!BH92&lt;=Thresholds!$E$57,"UM","H")))</f>
        <v>H</v>
      </c>
      <c r="BI92" s="42" t="str">
        <f>IF('GNI per capita'!BI92&lt;=Thresholds!$C$58,"L",IF('GNI per capita'!BI92&lt;=Thresholds!$D$58,"LM",IF('GNI per capita'!BI92&lt;=Thresholds!$E$58,"UM","H")))</f>
        <v>H</v>
      </c>
      <c r="BJ92" s="42" t="str">
        <f>IF('GNI per capita'!BJ92&lt;=Thresholds!$C$59,"L",IF('GNI per capita'!BJ92&lt;=Thresholds!$D$59,"LM",IF('GNI per capita'!BJ92&lt;=Thresholds!$E$59,"UM","H")))</f>
        <v>H</v>
      </c>
      <c r="BK92" s="42" t="str">
        <f>IF('GNI per capita'!BK92&lt;=Thresholds!$C$60,"L",IF('GNI per capita'!BK92&lt;=Thresholds!$D$60,"LM",IF('GNI per capita'!BK92&lt;=Thresholds!$E$60,"UM","H")))</f>
        <v>H</v>
      </c>
      <c r="BL92" s="42" t="str">
        <f>IF('GNI per capita'!BL92&lt;=Thresholds!$C$61,"L",IF('GNI per capita'!BL92&lt;=Thresholds!$D$61,"LM",IF('GNI per capita'!BL92&lt;=Thresholds!$E$61,"UM","H")))</f>
        <v>H</v>
      </c>
      <c r="BM92" s="42" t="str">
        <f>IF('GNI per capita'!BM92&lt;=Thresholds!$C$62,"L",IF('GNI per capita'!BM92&lt;=Thresholds!$D$62,"LM",IF('GNI per capita'!BM92&lt;=Thresholds!$E$62,"UM","H")))</f>
        <v>H</v>
      </c>
      <c r="BN92" s="42" t="str">
        <f>IF('GNI per capita'!BN92&lt;=Thresholds!$C$63,"L",IF('GNI per capita'!BN92&lt;=Thresholds!$D$63,"LM",IF('GNI per capita'!BN92&lt;=Thresholds!$E$63,"UM","H")))</f>
        <v>H</v>
      </c>
      <c r="BO92" s="42" t="str">
        <f>IF('GNI per capita'!BO92&lt;=Thresholds!$C$64,"L",IF('GNI per capita'!BO92&lt;=Thresholds!$D$64,"LM",IF('GNI per capita'!BO92&lt;=Thresholds!$E$64,"UM","H")))</f>
        <v>H</v>
      </c>
      <c r="BP92" s="42" t="str">
        <f>IF('GNI per capita'!BP92&lt;=Thresholds!$C$65,"L",IF('GNI per capita'!BP92&lt;=Thresholds!$D$65,"LM",IF('GNI per capita'!BP92&lt;=Thresholds!$E$65,"UM","H")))</f>
        <v>H</v>
      </c>
      <c r="BQ92" s="42" t="str">
        <f>IF('GNI per capita'!BQ92&lt;=Thresholds!$C$66,"L",IF('GNI per capita'!BQ92&lt;=Thresholds!$D$66,"LM",IF('GNI per capita'!BQ92&lt;=Thresholds!$E$66,"UM","H")))</f>
        <v>H</v>
      </c>
      <c r="BR92" s="42" t="str">
        <f>IF('GNI per capita'!BR92&lt;=Thresholds!$C$67,"L",IF('GNI per capita'!BR92&lt;=Thresholds!$D$67,"LM",IF('GNI per capita'!BR92&lt;=Thresholds!$E$67,"UM","H")))</f>
        <v>H</v>
      </c>
      <c r="BS92" s="42" t="str">
        <f>IF('GNI per capita'!BS92&lt;=Thresholds!$C$68,"L",IF('GNI per capita'!BS92&lt;=Thresholds!$D$68,"LM",IF('GNI per capita'!BS92&lt;=Thresholds!$E$68,"UM","H")))</f>
        <v>H</v>
      </c>
    </row>
    <row r="93" spans="1:71" x14ac:dyDescent="0.2">
      <c r="A93" s="2" t="s">
        <v>394</v>
      </c>
      <c r="B93" s="2" t="s">
        <v>395</v>
      </c>
      <c r="C93" s="11" t="s">
        <v>210</v>
      </c>
      <c r="G93" s="2" t="s">
        <v>162</v>
      </c>
      <c r="H93" s="41" t="s">
        <v>75</v>
      </c>
      <c r="I93" s="41" t="s">
        <v>75</v>
      </c>
      <c r="J93" s="41" t="s">
        <v>75</v>
      </c>
      <c r="K93" s="41" t="s">
        <v>75</v>
      </c>
      <c r="L93" s="41" t="s">
        <v>75</v>
      </c>
      <c r="M93" s="41" t="s">
        <v>75</v>
      </c>
      <c r="N93" s="41" t="s">
        <v>75</v>
      </c>
      <c r="O93" s="41" t="s">
        <v>75</v>
      </c>
      <c r="P93" s="41" t="s">
        <v>75</v>
      </c>
      <c r="Q93" s="41" t="s">
        <v>75</v>
      </c>
      <c r="R93" s="41" t="s">
        <v>75</v>
      </c>
      <c r="S93" s="41" t="s">
        <v>75</v>
      </c>
      <c r="T93" s="41" t="s">
        <v>75</v>
      </c>
      <c r="U93" s="41" t="s">
        <v>75</v>
      </c>
      <c r="V93" s="41" t="s">
        <v>75</v>
      </c>
      <c r="W93" s="41" t="s">
        <v>75</v>
      </c>
      <c r="X93" s="41" t="s">
        <v>75</v>
      </c>
      <c r="Y93" s="41" t="s">
        <v>75</v>
      </c>
      <c r="Z93" s="41" t="s">
        <v>75</v>
      </c>
      <c r="AA93" s="41" t="s">
        <v>75</v>
      </c>
      <c r="AB93" s="41" t="s">
        <v>210</v>
      </c>
      <c r="AC93" s="41" t="s">
        <v>210</v>
      </c>
      <c r="AD93" s="41" t="s">
        <v>210</v>
      </c>
      <c r="AE93" s="41" t="s">
        <v>210</v>
      </c>
      <c r="AF93" s="41" t="s">
        <v>210</v>
      </c>
      <c r="AG93" s="41" t="s">
        <v>210</v>
      </c>
      <c r="AH93" s="41" t="s">
        <v>210</v>
      </c>
      <c r="AI93" s="41" t="s">
        <v>210</v>
      </c>
      <c r="AJ93" s="41" t="s">
        <v>210</v>
      </c>
      <c r="AK93" s="41" t="s">
        <v>210</v>
      </c>
      <c r="AL93" s="41" t="s">
        <v>210</v>
      </c>
      <c r="AM93" s="41" t="s">
        <v>210</v>
      </c>
      <c r="AN93" s="41" t="s">
        <v>210</v>
      </c>
      <c r="AO93" s="41" t="s">
        <v>210</v>
      </c>
      <c r="AP93" s="41" t="s">
        <v>210</v>
      </c>
      <c r="AQ93" s="41" t="s">
        <v>210</v>
      </c>
      <c r="AR93" s="41" t="s">
        <v>210</v>
      </c>
      <c r="AS93" s="41" t="s">
        <v>210</v>
      </c>
      <c r="AT93" s="41" t="s">
        <v>210</v>
      </c>
      <c r="AU93" s="42" t="str">
        <f>IF('GNI per capita'!AU93&lt;=Thresholds!$C$44,"L",IF('GNI per capita'!AU93&lt;=Thresholds!$D$44,"LM",IF('GNI per capita'!AU93&lt;=Thresholds!$E$44,"UM","H")))</f>
        <v>LM</v>
      </c>
      <c r="AV93" s="42" t="str">
        <f>IF('GNI per capita'!AV93&lt;=Thresholds!$C$45,"L",IF('GNI per capita'!AV93&lt;=Thresholds!$D$45,"LM",IF('GNI per capita'!AV93&lt;=Thresholds!$E$45,"UM","H")))</f>
        <v>LM</v>
      </c>
      <c r="AW93" s="42" t="str">
        <f>IF('GNI per capita'!AW93&lt;=Thresholds!$C$46,"L",IF('GNI per capita'!AW93&lt;=Thresholds!$D$46,"LM",IF('GNI per capita'!AW93&lt;=Thresholds!$E$46,"UM","H")))</f>
        <v>LM</v>
      </c>
      <c r="AX93" s="42" t="str">
        <f>IF('GNI per capita'!AX93&lt;=Thresholds!$C$47,"L",IF('GNI per capita'!AX93&lt;=Thresholds!$D$47,"LM",IF('GNI per capita'!AX93&lt;=Thresholds!$E$47,"UM","H")))</f>
        <v>LM</v>
      </c>
      <c r="AY93" s="42" t="str">
        <f>IF('GNI per capita'!AY93&lt;=Thresholds!$C$48,"L",IF('GNI per capita'!AY93&lt;=Thresholds!$D$48,"LM",IF('GNI per capita'!AY93&lt;=Thresholds!$E$48,"UM","H")))</f>
        <v>LM</v>
      </c>
      <c r="AZ93" s="42" t="str">
        <f>IF('GNI per capita'!AZ93&lt;=Thresholds!$C$49,"L",IF('GNI per capita'!AZ93&lt;=Thresholds!$D$49,"LM",IF('GNI per capita'!AZ93&lt;=Thresholds!$E$49,"UM","H")))</f>
        <v>LM</v>
      </c>
      <c r="BA93" s="42" t="str">
        <f>IF('GNI per capita'!BA93&lt;=Thresholds!$C$50,"L",IF('GNI per capita'!BA93&lt;=Thresholds!$D$50,"LM",IF('GNI per capita'!BA93&lt;=Thresholds!$E$50,"UM","H")))</f>
        <v>LM</v>
      </c>
      <c r="BB93" s="42" t="str">
        <f>IF('GNI per capita'!BB93&lt;=Thresholds!$C$51,"L",IF('GNI per capita'!BB93&lt;=Thresholds!$D$51,"LM",IF('GNI per capita'!BB93&lt;=Thresholds!$E$51,"UM","H")))</f>
        <v>LM</v>
      </c>
      <c r="BC93" s="42" t="str">
        <f>IF('GNI per capita'!BC93&lt;=Thresholds!$C$52,"L",IF('GNI per capita'!BC93&lt;=Thresholds!$D$52,"LM",IF('GNI per capita'!BC93&lt;=Thresholds!$E$52,"UM","H")))</f>
        <v>LM</v>
      </c>
      <c r="BD93" s="42" t="str">
        <f>IF('GNI per capita'!BD93&lt;=Thresholds!$C$53,"L",IF('GNI per capita'!BD93&lt;=Thresholds!$D$53,"LM",IF('GNI per capita'!BD93&lt;=Thresholds!$E$53,"UM","H")))</f>
        <v>LM</v>
      </c>
      <c r="BE93" s="42" t="str">
        <f>IF('GNI per capita'!BE93&lt;=Thresholds!$C$54,"L",IF('GNI per capita'!BE93&lt;=Thresholds!$D$54,"LM",IF('GNI per capita'!BE93&lt;=Thresholds!$E$54,"UM","H")))</f>
        <v>UM</v>
      </c>
      <c r="BF93" s="42" t="str">
        <f>IF('GNI per capita'!BF93&lt;=Thresholds!$C$55,"L",IF('GNI per capita'!BF93&lt;=Thresholds!$D$55,"LM",IF('GNI per capita'!BF93&lt;=Thresholds!$E$55,"UM","H")))</f>
        <v>UM</v>
      </c>
      <c r="BG93" s="42" t="str">
        <f>IF('GNI per capita'!BG93&lt;=Thresholds!$C$56,"L",IF('GNI per capita'!BG93&lt;=Thresholds!$D$56,"LM",IF('GNI per capita'!BG93&lt;=Thresholds!$E$56,"UM","H")))</f>
        <v>UM</v>
      </c>
      <c r="BH93" s="42" t="str">
        <f>IF('GNI per capita'!BH93&lt;=Thresholds!$C$57,"L",IF('GNI per capita'!BH93&lt;=Thresholds!$D$57,"LM",IF('GNI per capita'!BH93&lt;=Thresholds!$E$57,"UM","H")))</f>
        <v>UM</v>
      </c>
      <c r="BI93" s="42" t="str">
        <f>IF('GNI per capita'!BI93&lt;=Thresholds!$C$58,"L",IF('GNI per capita'!BI93&lt;=Thresholds!$D$58,"LM",IF('GNI per capita'!BI93&lt;=Thresholds!$E$58,"UM","H")))</f>
        <v>UM</v>
      </c>
      <c r="BJ93" s="42" t="str">
        <f>IF('GNI per capita'!BJ93&lt;=Thresholds!$C$59,"L",IF('GNI per capita'!BJ93&lt;=Thresholds!$D$59,"LM",IF('GNI per capita'!BJ93&lt;=Thresholds!$E$59,"UM","H")))</f>
        <v>UM</v>
      </c>
      <c r="BK93" s="42" t="str">
        <f>IF('GNI per capita'!BK93&lt;=Thresholds!$C$60,"L",IF('GNI per capita'!BK93&lt;=Thresholds!$D$60,"LM",IF('GNI per capita'!BK93&lt;=Thresholds!$E$60,"UM","H")))</f>
        <v>UM</v>
      </c>
      <c r="BL93" s="42" t="str">
        <f>IF('GNI per capita'!BL93&lt;=Thresholds!$C$61,"L",IF('GNI per capita'!BL93&lt;=Thresholds!$D$61,"LM",IF('GNI per capita'!BL93&lt;=Thresholds!$E$61,"UM","H")))</f>
        <v>UM</v>
      </c>
      <c r="BM93" s="42" t="str">
        <f>IF('GNI per capita'!BM93&lt;=Thresholds!$C$62,"L",IF('GNI per capita'!BM93&lt;=Thresholds!$D$62,"LM",IF('GNI per capita'!BM93&lt;=Thresholds!$E$62,"UM","H")))</f>
        <v>UM</v>
      </c>
      <c r="BN93" s="42" t="str">
        <f>IF('GNI per capita'!BN93&lt;=Thresholds!$C$63,"L",IF('GNI per capita'!BN93&lt;=Thresholds!$D$63,"LM",IF('GNI per capita'!BN93&lt;=Thresholds!$E$63,"UM","H")))</f>
        <v>UM</v>
      </c>
      <c r="BO93" s="42" t="str">
        <f>IF('GNI per capita'!BO93&lt;=Thresholds!$C$64,"L",IF('GNI per capita'!BO93&lt;=Thresholds!$D$64,"LM",IF('GNI per capita'!BO93&lt;=Thresholds!$E$64,"UM","H")))</f>
        <v>UM</v>
      </c>
      <c r="BP93" s="42" t="str">
        <f>IF('GNI per capita'!BP93&lt;=Thresholds!$C$65,"L",IF('GNI per capita'!BP93&lt;=Thresholds!$D$65,"LM",IF('GNI per capita'!BP93&lt;=Thresholds!$E$65,"UM","H")))</f>
        <v>UM</v>
      </c>
      <c r="BQ93" s="42" t="str">
        <f>IF('GNI per capita'!BQ93&lt;=Thresholds!$C$66,"L",IF('GNI per capita'!BQ93&lt;=Thresholds!$D$66,"LM",IF('GNI per capita'!BQ93&lt;=Thresholds!$E$66,"UM","H")))</f>
        <v>UM</v>
      </c>
      <c r="BR93" s="42" t="str">
        <f>IF('GNI per capita'!BR93&lt;=Thresholds!$C$67,"L",IF('GNI per capita'!BR93&lt;=Thresholds!$D$67,"LM",IF('GNI per capita'!BR93&lt;=Thresholds!$E$67,"UM","H")))</f>
        <v>UM</v>
      </c>
      <c r="BS93" s="42" t="str">
        <f>IF('GNI per capita'!BS93&lt;=Thresholds!$C$68,"L",IF('GNI per capita'!BS93&lt;=Thresholds!$D$68,"LM",IF('GNI per capita'!BS93&lt;=Thresholds!$E$68,"UM","H")))</f>
        <v>UM</v>
      </c>
    </row>
    <row r="94" spans="1:71" x14ac:dyDescent="0.2">
      <c r="A94" s="2" t="s">
        <v>396</v>
      </c>
      <c r="B94" s="2" t="s">
        <v>397</v>
      </c>
      <c r="C94" s="11" t="s">
        <v>82</v>
      </c>
      <c r="G94" s="2" t="s">
        <v>162</v>
      </c>
      <c r="H94" s="41" t="s">
        <v>75</v>
      </c>
      <c r="I94" s="41" t="s">
        <v>75</v>
      </c>
      <c r="J94" s="41" t="s">
        <v>75</v>
      </c>
      <c r="K94" s="41" t="s">
        <v>75</v>
      </c>
      <c r="L94" s="41" t="s">
        <v>75</v>
      </c>
      <c r="M94" s="41" t="s">
        <v>75</v>
      </c>
      <c r="N94" s="41" t="s">
        <v>210</v>
      </c>
      <c r="O94" s="41" t="s">
        <v>210</v>
      </c>
      <c r="P94" s="41" t="s">
        <v>210</v>
      </c>
      <c r="Q94" s="41" t="s">
        <v>210</v>
      </c>
      <c r="R94" s="41" t="s">
        <v>210</v>
      </c>
      <c r="S94" s="41" t="s">
        <v>75</v>
      </c>
      <c r="T94" s="41" t="s">
        <v>75</v>
      </c>
      <c r="U94" s="41" t="s">
        <v>75</v>
      </c>
      <c r="V94" s="41" t="s">
        <v>75</v>
      </c>
      <c r="W94" s="41" t="s">
        <v>75</v>
      </c>
      <c r="X94" s="41" t="s">
        <v>210</v>
      </c>
      <c r="Y94" s="41" t="s">
        <v>210</v>
      </c>
      <c r="Z94" s="41" t="s">
        <v>210</v>
      </c>
      <c r="AA94" s="41" t="s">
        <v>210</v>
      </c>
      <c r="AB94" s="41" t="s">
        <v>210</v>
      </c>
      <c r="AC94" s="41" t="s">
        <v>210</v>
      </c>
      <c r="AD94" s="41" t="s">
        <v>210</v>
      </c>
      <c r="AE94" s="41" t="s">
        <v>210</v>
      </c>
      <c r="AF94" s="41" t="s">
        <v>210</v>
      </c>
      <c r="AG94" s="41" t="s">
        <v>210</v>
      </c>
      <c r="AH94" s="41" t="s">
        <v>210</v>
      </c>
      <c r="AI94" s="41" t="s">
        <v>210</v>
      </c>
      <c r="AJ94" s="41" t="s">
        <v>210</v>
      </c>
      <c r="AK94" s="41" t="s">
        <v>210</v>
      </c>
      <c r="AL94" s="41" t="s">
        <v>210</v>
      </c>
      <c r="AM94" s="41" t="s">
        <v>210</v>
      </c>
      <c r="AN94" s="41" t="s">
        <v>82</v>
      </c>
      <c r="AO94" s="41" t="s">
        <v>210</v>
      </c>
      <c r="AP94" s="41" t="s">
        <v>210</v>
      </c>
      <c r="AQ94" s="41" t="s">
        <v>82</v>
      </c>
      <c r="AR94" s="41" t="s">
        <v>82</v>
      </c>
      <c r="AS94" s="41" t="s">
        <v>82</v>
      </c>
      <c r="AT94" s="41" t="s">
        <v>82</v>
      </c>
      <c r="AU94" s="42" t="str">
        <f>IF('GNI per capita'!AU94&lt;=Thresholds!$C$44,"L",IF('GNI per capita'!AU94&lt;=Thresholds!$D$44,"LM",IF('GNI per capita'!AU94&lt;=Thresholds!$E$44,"UM","H")))</f>
        <v>UM</v>
      </c>
      <c r="AV94" s="42" t="str">
        <f>IF('GNI per capita'!AV94&lt;=Thresholds!$C$45,"L",IF('GNI per capita'!AV94&lt;=Thresholds!$D$45,"LM",IF('GNI per capita'!AV94&lt;=Thresholds!$E$45,"UM","H")))</f>
        <v>UM</v>
      </c>
      <c r="AW94" s="42" t="str">
        <f>IF('GNI per capita'!AW94&lt;=Thresholds!$C$46,"L",IF('GNI per capita'!AW94&lt;=Thresholds!$D$46,"LM",IF('GNI per capita'!AW94&lt;=Thresholds!$E$46,"UM","H")))</f>
        <v>UM</v>
      </c>
      <c r="AX94" s="42" t="str">
        <f>IF('GNI per capita'!AX94&lt;=Thresholds!$C$47,"L",IF('GNI per capita'!AX94&lt;=Thresholds!$D$47,"LM",IF('GNI per capita'!AX94&lt;=Thresholds!$E$47,"UM","H")))</f>
        <v>UM</v>
      </c>
      <c r="AY94" s="42" t="str">
        <f>IF('GNI per capita'!AY94&lt;=Thresholds!$C$48,"L",IF('GNI per capita'!AY94&lt;=Thresholds!$D$48,"LM",IF('GNI per capita'!AY94&lt;=Thresholds!$E$48,"UM","H")))</f>
        <v>UM</v>
      </c>
      <c r="AZ94" s="42" t="str">
        <f>IF('GNI per capita'!AZ94&lt;=Thresholds!$C$49,"L",IF('GNI per capita'!AZ94&lt;=Thresholds!$D$49,"LM",IF('GNI per capita'!AZ94&lt;=Thresholds!$E$49,"UM","H")))</f>
        <v>UM</v>
      </c>
      <c r="BA94" s="42" t="str">
        <f>IF('GNI per capita'!BA94&lt;=Thresholds!$C$50,"L",IF('GNI per capita'!BA94&lt;=Thresholds!$D$50,"LM",IF('GNI per capita'!BA94&lt;=Thresholds!$E$50,"UM","H")))</f>
        <v>UM</v>
      </c>
      <c r="BB94" s="42" t="str">
        <f>IF('GNI per capita'!BB94&lt;=Thresholds!$C$51,"L",IF('GNI per capita'!BB94&lt;=Thresholds!$D$51,"LM",IF('GNI per capita'!BB94&lt;=Thresholds!$E$51,"UM","H")))</f>
        <v>UM</v>
      </c>
      <c r="BC94" s="42" t="str">
        <f>IF('GNI per capita'!BC94&lt;=Thresholds!$C$52,"L",IF('GNI per capita'!BC94&lt;=Thresholds!$D$52,"LM",IF('GNI per capita'!BC94&lt;=Thresholds!$E$52,"UM","H")))</f>
        <v>UM</v>
      </c>
      <c r="BD94" s="42" t="str">
        <f>IF('GNI per capita'!BD94&lt;=Thresholds!$C$53,"L",IF('GNI per capita'!BD94&lt;=Thresholds!$D$53,"LM",IF('GNI per capita'!BD94&lt;=Thresholds!$E$53,"UM","H")))</f>
        <v>UM</v>
      </c>
      <c r="BE94" s="42" t="str">
        <f>IF('GNI per capita'!BE94&lt;=Thresholds!$C$54,"L",IF('GNI per capita'!BE94&lt;=Thresholds!$D$54,"LM",IF('GNI per capita'!BE94&lt;=Thresholds!$E$54,"UM","H")))</f>
        <v>UM</v>
      </c>
      <c r="BF94" s="42" t="str">
        <f>IF('GNI per capita'!BF94&lt;=Thresholds!$C$55,"L",IF('GNI per capita'!BF94&lt;=Thresholds!$D$55,"LM",IF('GNI per capita'!BF94&lt;=Thresholds!$E$55,"UM","H")))</f>
        <v>UM</v>
      </c>
      <c r="BG94" s="42" t="str">
        <f>IF('GNI per capita'!BG94&lt;=Thresholds!$C$56,"L",IF('GNI per capita'!BG94&lt;=Thresholds!$D$56,"LM",IF('GNI per capita'!BG94&lt;=Thresholds!$E$56,"UM","H")))</f>
        <v>UM</v>
      </c>
      <c r="BH94" s="42" t="str">
        <f>IF('GNI per capita'!BH94&lt;=Thresholds!$C$57,"L",IF('GNI per capita'!BH94&lt;=Thresholds!$D$57,"LM",IF('GNI per capita'!BH94&lt;=Thresholds!$E$57,"UM","H")))</f>
        <v>UM</v>
      </c>
      <c r="BI94" s="42" t="str">
        <f>IF('GNI per capita'!BI94&lt;=Thresholds!$C$58,"L",IF('GNI per capita'!BI94&lt;=Thresholds!$D$58,"LM",IF('GNI per capita'!BI94&lt;=Thresholds!$E$58,"UM","H")))</f>
        <v>UM</v>
      </c>
      <c r="BJ94" s="42" t="str">
        <f>IF('GNI per capita'!BJ94&lt;=Thresholds!$C$59,"L",IF('GNI per capita'!BJ94&lt;=Thresholds!$D$59,"LM",IF('GNI per capita'!BJ94&lt;=Thresholds!$E$59,"UM","H")))</f>
        <v>UM</v>
      </c>
      <c r="BK94" s="42" t="str">
        <f>IF('GNI per capita'!BK94&lt;=Thresholds!$C$60,"L",IF('GNI per capita'!BK94&lt;=Thresholds!$D$60,"LM",IF('GNI per capita'!BK94&lt;=Thresholds!$E$60,"UM","H")))</f>
        <v>UM</v>
      </c>
      <c r="BL94" s="42" t="str">
        <f>IF('GNI per capita'!BL94&lt;=Thresholds!$C$61,"L",IF('GNI per capita'!BL94&lt;=Thresholds!$D$61,"LM",IF('GNI per capita'!BL94&lt;=Thresholds!$E$61,"UM","H")))</f>
        <v>UM</v>
      </c>
      <c r="BM94" s="42" t="str">
        <f>IF('GNI per capita'!BM94&lt;=Thresholds!$C$62,"L",IF('GNI per capita'!BM94&lt;=Thresholds!$D$62,"LM",IF('GNI per capita'!BM94&lt;=Thresholds!$E$62,"UM","H")))</f>
        <v>UM</v>
      </c>
      <c r="BN94" s="42" t="str">
        <f>IF('GNI per capita'!BN94&lt;=Thresholds!$C$63,"L",IF('GNI per capita'!BN94&lt;=Thresholds!$D$63,"LM",IF('GNI per capita'!BN94&lt;=Thresholds!$E$63,"UM","H")))</f>
        <v>UM</v>
      </c>
      <c r="BO94" s="42" t="str">
        <f>IF('GNI per capita'!BO94&lt;=Thresholds!$C$64,"L",IF('GNI per capita'!BO94&lt;=Thresholds!$D$64,"LM",IF('GNI per capita'!BO94&lt;=Thresholds!$E$64,"UM","H")))</f>
        <v>UM</v>
      </c>
      <c r="BP94" s="42" t="str">
        <f>IF('GNI per capita'!BP94&lt;=Thresholds!$C$65,"L",IF('GNI per capita'!BP94&lt;=Thresholds!$D$65,"LM",IF('GNI per capita'!BP94&lt;=Thresholds!$E$65,"UM","H")))</f>
        <v>UM</v>
      </c>
      <c r="BQ94" s="42" t="str">
        <f>IF('GNI per capita'!BQ94&lt;=Thresholds!$C$66,"L",IF('GNI per capita'!BQ94&lt;=Thresholds!$D$66,"LM",IF('GNI per capita'!BQ94&lt;=Thresholds!$E$66,"UM","H")))</f>
        <v>UM</v>
      </c>
      <c r="BR94" s="42" t="str">
        <f>IF('GNI per capita'!BR94&lt;=Thresholds!$C$67,"L",IF('GNI per capita'!BR94&lt;=Thresholds!$D$67,"LM",IF('GNI per capita'!BR94&lt;=Thresholds!$E$67,"UM","H")))</f>
        <v>UM</v>
      </c>
      <c r="BS94" s="42" t="str">
        <f>IF('GNI per capita'!BS94&lt;=Thresholds!$C$68,"L",IF('GNI per capita'!BS94&lt;=Thresholds!$D$68,"LM",IF('GNI per capita'!BS94&lt;=Thresholds!$E$68,"UM","H")))</f>
        <v>UM</v>
      </c>
    </row>
    <row r="95" spans="1:71" x14ac:dyDescent="0.2">
      <c r="A95" s="2" t="s">
        <v>398</v>
      </c>
      <c r="B95" s="2" t="s">
        <v>399</v>
      </c>
      <c r="C95" s="11" t="s">
        <v>82</v>
      </c>
      <c r="G95" s="2" t="s">
        <v>400</v>
      </c>
      <c r="H95" s="41" t="s">
        <v>82</v>
      </c>
      <c r="I95" s="41" t="s">
        <v>82</v>
      </c>
      <c r="J95" s="41" t="s">
        <v>82</v>
      </c>
      <c r="K95" s="41" t="s">
        <v>210</v>
      </c>
      <c r="L95" s="41" t="s">
        <v>210</v>
      </c>
      <c r="M95" s="41" t="s">
        <v>210</v>
      </c>
      <c r="N95" s="41" t="s">
        <v>210</v>
      </c>
      <c r="O95" s="41" t="s">
        <v>210</v>
      </c>
      <c r="P95" s="41" t="s">
        <v>210</v>
      </c>
      <c r="Q95" s="41" t="s">
        <v>210</v>
      </c>
      <c r="R95" s="41" t="s">
        <v>210</v>
      </c>
      <c r="S95" s="41" t="s">
        <v>210</v>
      </c>
      <c r="T95" s="41" t="s">
        <v>210</v>
      </c>
      <c r="U95" s="41" t="s">
        <v>210</v>
      </c>
      <c r="V95" s="41" t="s">
        <v>210</v>
      </c>
      <c r="W95" s="41" t="s">
        <v>210</v>
      </c>
      <c r="X95" s="41" t="s">
        <v>210</v>
      </c>
      <c r="Y95" s="41" t="s">
        <v>210</v>
      </c>
      <c r="Z95" s="41" t="s">
        <v>210</v>
      </c>
      <c r="AA95" s="41" t="s">
        <v>210</v>
      </c>
      <c r="AB95" s="41" t="s">
        <v>210</v>
      </c>
      <c r="AC95" s="41" t="s">
        <v>210</v>
      </c>
      <c r="AD95" s="41" t="s">
        <v>82</v>
      </c>
      <c r="AE95" s="41" t="s">
        <v>82</v>
      </c>
      <c r="AF95" s="41" t="s">
        <v>82</v>
      </c>
      <c r="AG95" s="41" t="s">
        <v>82</v>
      </c>
      <c r="AH95" s="41" t="s">
        <v>82</v>
      </c>
      <c r="AI95" s="41" t="s">
        <v>82</v>
      </c>
      <c r="AJ95" s="41" t="s">
        <v>82</v>
      </c>
      <c r="AK95" s="41" t="s">
        <v>82</v>
      </c>
      <c r="AL95" s="41" t="s">
        <v>82</v>
      </c>
      <c r="AM95" s="41" t="s">
        <v>82</v>
      </c>
      <c r="AN95" s="41" t="s">
        <v>82</v>
      </c>
      <c r="AO95" s="41" t="s">
        <v>210</v>
      </c>
      <c r="AP95" s="41" t="s">
        <v>210</v>
      </c>
      <c r="AQ95" s="41" t="s">
        <v>210</v>
      </c>
      <c r="AR95" s="41" t="s">
        <v>82</v>
      </c>
      <c r="AS95" s="41" t="s">
        <v>82</v>
      </c>
      <c r="AT95" s="41" t="s">
        <v>82</v>
      </c>
      <c r="AU95" s="42" t="str">
        <f>IF('GNI per capita'!AU95&lt;=Thresholds!$C$44,"L",IF('GNI per capita'!AU95&lt;=Thresholds!$D$44,"LM",IF('GNI per capita'!AU95&lt;=Thresholds!$E$44,"UM","H")))</f>
        <v>UM</v>
      </c>
      <c r="AV95" s="42" t="str">
        <f>IF('GNI per capita'!AV95&lt;=Thresholds!$C$45,"L",IF('GNI per capita'!AV95&lt;=Thresholds!$D$45,"LM",IF('GNI per capita'!AV95&lt;=Thresholds!$E$45,"UM","H")))</f>
        <v>UM</v>
      </c>
      <c r="AW95" s="42" t="str">
        <f>IF('GNI per capita'!AW95&lt;=Thresholds!$C$46,"L",IF('GNI per capita'!AW95&lt;=Thresholds!$D$46,"LM",IF('GNI per capita'!AW95&lt;=Thresholds!$E$46,"UM","H")))</f>
        <v>UM</v>
      </c>
      <c r="AX95" s="42" t="str">
        <f>IF('GNI per capita'!AX95&lt;=Thresholds!$C$47,"L",IF('GNI per capita'!AX95&lt;=Thresholds!$D$47,"LM",IF('GNI per capita'!AX95&lt;=Thresholds!$E$47,"UM","H")))</f>
        <v>UM</v>
      </c>
      <c r="AY95" s="42" t="str">
        <f>IF('GNI per capita'!AY95&lt;=Thresholds!$C$48,"L",IF('GNI per capita'!AY95&lt;=Thresholds!$D$48,"LM",IF('GNI per capita'!AY95&lt;=Thresholds!$E$48,"UM","H")))</f>
        <v>UM</v>
      </c>
      <c r="AZ95" s="42" t="str">
        <f>IF('GNI per capita'!AZ95&lt;=Thresholds!$C$49,"L",IF('GNI per capita'!AZ95&lt;=Thresholds!$D$49,"LM",IF('GNI per capita'!AZ95&lt;=Thresholds!$E$49,"UM","H")))</f>
        <v>UM</v>
      </c>
      <c r="BA95" s="42" t="str">
        <f>IF('GNI per capita'!BA95&lt;=Thresholds!$C$50,"L",IF('GNI per capita'!BA95&lt;=Thresholds!$D$50,"LM",IF('GNI per capita'!BA95&lt;=Thresholds!$E$50,"UM","H")))</f>
        <v>UM</v>
      </c>
      <c r="BB95" s="42" t="str">
        <f>IF('GNI per capita'!BB95&lt;=Thresholds!$C$51,"L",IF('GNI per capita'!BB95&lt;=Thresholds!$D$51,"LM",IF('GNI per capita'!BB95&lt;=Thresholds!$E$51,"UM","H")))</f>
        <v>UM</v>
      </c>
      <c r="BC95" s="42" t="str">
        <f>IF('GNI per capita'!BC95&lt;=Thresholds!$C$52,"L",IF('GNI per capita'!BC95&lt;=Thresholds!$D$52,"LM",IF('GNI per capita'!BC95&lt;=Thresholds!$E$52,"UM","H")))</f>
        <v>UM</v>
      </c>
      <c r="BD95" s="42" t="str">
        <f>IF('GNI per capita'!BD95&lt;=Thresholds!$C$53,"L",IF('GNI per capita'!BD95&lt;=Thresholds!$D$53,"LM",IF('GNI per capita'!BD95&lt;=Thresholds!$E$53,"UM","H")))</f>
        <v>UM</v>
      </c>
      <c r="BE95" s="42" t="str">
        <f>IF('GNI per capita'!BE95&lt;=Thresholds!$C$54,"L",IF('GNI per capita'!BE95&lt;=Thresholds!$D$54,"LM",IF('GNI per capita'!BE95&lt;=Thresholds!$E$54,"UM","H")))</f>
        <v>UM</v>
      </c>
      <c r="BF95" s="42" t="str">
        <f>IF('GNI per capita'!BF95&lt;=Thresholds!$C$55,"L",IF('GNI per capita'!BF95&lt;=Thresholds!$D$55,"LM",IF('GNI per capita'!BF95&lt;=Thresholds!$E$55,"UM","H")))</f>
        <v>UM</v>
      </c>
      <c r="BG95" s="42" t="str">
        <f>IF('GNI per capita'!BG95&lt;=Thresholds!$C$56,"L",IF('GNI per capita'!BG95&lt;=Thresholds!$D$56,"LM",IF('GNI per capita'!BG95&lt;=Thresholds!$E$56,"UM","H")))</f>
        <v>UM</v>
      </c>
      <c r="BH95" s="42" t="str">
        <f>IF('GNI per capita'!BH95&lt;=Thresholds!$C$57,"L",IF('GNI per capita'!BH95&lt;=Thresholds!$D$57,"LM",IF('GNI per capita'!BH95&lt;=Thresholds!$E$57,"UM","H")))</f>
        <v>UM</v>
      </c>
      <c r="BI95" s="42" t="str">
        <f>IF('GNI per capita'!BI95&lt;=Thresholds!$C$58,"L",IF('GNI per capita'!BI95&lt;=Thresholds!$D$58,"LM",IF('GNI per capita'!BI95&lt;=Thresholds!$E$58,"UM","H")))</f>
        <v>UM</v>
      </c>
      <c r="BJ95" s="42" t="str">
        <f>IF('GNI per capita'!BJ95&lt;=Thresholds!$C$59,"L",IF('GNI per capita'!BJ95&lt;=Thresholds!$D$59,"LM",IF('GNI per capita'!BJ95&lt;=Thresholds!$E$59,"UM","H")))</f>
        <v>UM</v>
      </c>
      <c r="BK95" s="42" t="str">
        <f>IF('GNI per capita'!BK95&lt;=Thresholds!$C$60,"L",IF('GNI per capita'!BK95&lt;=Thresholds!$D$60,"LM",IF('GNI per capita'!BK95&lt;=Thresholds!$E$60,"UM","H")))</f>
        <v>UM</v>
      </c>
      <c r="BL95" s="42" t="str">
        <f>IF('GNI per capita'!BL95&lt;=Thresholds!$C$61,"L",IF('GNI per capita'!BL95&lt;=Thresholds!$D$61,"LM",IF('GNI per capita'!BL95&lt;=Thresholds!$E$61,"UM","H")))</f>
        <v>UM</v>
      </c>
      <c r="BM95" s="42" t="str">
        <f>IF('GNI per capita'!BM95&lt;=Thresholds!$C$62,"L",IF('GNI per capita'!BM95&lt;=Thresholds!$D$62,"LM",IF('GNI per capita'!BM95&lt;=Thresholds!$E$62,"UM","H")))</f>
        <v>UM</v>
      </c>
      <c r="BN95" s="42" t="str">
        <f>IF('GNI per capita'!BN95&lt;=Thresholds!$C$63,"L",IF('GNI per capita'!BN95&lt;=Thresholds!$D$63,"LM",IF('GNI per capita'!BN95&lt;=Thresholds!$E$63,"UM","H")))</f>
        <v>UM</v>
      </c>
      <c r="BO95" s="42" t="str">
        <f>IF('GNI per capita'!BO95&lt;=Thresholds!$C$64,"L",IF('GNI per capita'!BO95&lt;=Thresholds!$D$64,"LM",IF('GNI per capita'!BO95&lt;=Thresholds!$E$64,"UM","H")))</f>
        <v>UM</v>
      </c>
      <c r="BP95" s="42" t="str">
        <f>IF('GNI per capita'!BP95&lt;=Thresholds!$C$65,"L",IF('GNI per capita'!BP95&lt;=Thresholds!$D$65,"LM",IF('GNI per capita'!BP95&lt;=Thresholds!$E$65,"UM","H")))</f>
        <v>UM</v>
      </c>
      <c r="BQ95" s="42" t="str">
        <f>IF('GNI per capita'!BQ95&lt;=Thresholds!$C$66,"L",IF('GNI per capita'!BQ95&lt;=Thresholds!$D$66,"LM",IF('GNI per capita'!BQ95&lt;=Thresholds!$E$66,"UM","H")))</f>
        <v>UM</v>
      </c>
      <c r="BR95" s="42" t="str">
        <f>IF('GNI per capita'!BR95&lt;=Thresholds!$C$67,"L",IF('GNI per capita'!BR95&lt;=Thresholds!$D$67,"LM",IF('GNI per capita'!BR95&lt;=Thresholds!$E$67,"UM","H")))</f>
        <v>UM</v>
      </c>
      <c r="BS95" s="42" t="str">
        <f>IF('GNI per capita'!BS95&lt;=Thresholds!$C$68,"L",IF('GNI per capita'!BS95&lt;=Thresholds!$D$68,"LM",IF('GNI per capita'!BS95&lt;=Thresholds!$E$68,"UM","H")))</f>
        <v>UM</v>
      </c>
    </row>
    <row r="96" spans="1:71" x14ac:dyDescent="0.2">
      <c r="A96" s="2" t="s">
        <v>401</v>
      </c>
      <c r="B96" s="2" t="s">
        <v>402</v>
      </c>
      <c r="C96" s="11" t="s">
        <v>82</v>
      </c>
      <c r="G96" s="2" t="s">
        <v>284</v>
      </c>
      <c r="H96" s="41" t="s">
        <v>82</v>
      </c>
      <c r="I96" s="41" t="s">
        <v>82</v>
      </c>
      <c r="J96" s="41" t="s">
        <v>82</v>
      </c>
      <c r="K96" s="41" t="s">
        <v>82</v>
      </c>
      <c r="L96" s="41" t="s">
        <v>210</v>
      </c>
      <c r="M96" s="41" t="s">
        <v>210</v>
      </c>
      <c r="N96" s="41" t="s">
        <v>210</v>
      </c>
      <c r="O96" s="41" t="s">
        <v>210</v>
      </c>
      <c r="P96" s="41" t="s">
        <v>210</v>
      </c>
      <c r="Q96" s="41" t="s">
        <v>210</v>
      </c>
      <c r="R96" s="41" t="s">
        <v>210</v>
      </c>
      <c r="S96" s="41" t="s">
        <v>210</v>
      </c>
      <c r="T96" s="41" t="s">
        <v>210</v>
      </c>
      <c r="U96" s="41" t="s">
        <v>210</v>
      </c>
      <c r="V96" s="41" t="s">
        <v>210</v>
      </c>
      <c r="W96" s="41" t="s">
        <v>210</v>
      </c>
      <c r="X96" s="41" t="s">
        <v>210</v>
      </c>
      <c r="Y96" s="41" t="s">
        <v>210</v>
      </c>
      <c r="Z96" s="41" t="s">
        <v>210</v>
      </c>
      <c r="AA96" s="41" t="s">
        <v>210</v>
      </c>
      <c r="AB96" s="41" t="s">
        <v>210</v>
      </c>
      <c r="AC96" s="41" t="s">
        <v>210</v>
      </c>
      <c r="AD96" s="41" t="s">
        <v>210</v>
      </c>
      <c r="AE96" s="41" t="s">
        <v>210</v>
      </c>
      <c r="AF96" s="41" t="s">
        <v>210</v>
      </c>
      <c r="AG96" s="41" t="s">
        <v>82</v>
      </c>
      <c r="AH96" s="41" t="s">
        <v>82</v>
      </c>
      <c r="AI96" s="41" t="s">
        <v>82</v>
      </c>
      <c r="AJ96" s="41" t="s">
        <v>82</v>
      </c>
      <c r="AK96" s="41" t="s">
        <v>82</v>
      </c>
      <c r="AL96" s="41" t="s">
        <v>82</v>
      </c>
      <c r="AM96" s="41" t="s">
        <v>82</v>
      </c>
      <c r="AN96" s="41" t="s">
        <v>82</v>
      </c>
      <c r="AO96" s="41" t="s">
        <v>82</v>
      </c>
      <c r="AP96" s="41" t="s">
        <v>82</v>
      </c>
      <c r="AQ96" s="41" t="s">
        <v>82</v>
      </c>
      <c r="AR96" s="41" t="s">
        <v>82</v>
      </c>
      <c r="AS96" s="41" t="s">
        <v>82</v>
      </c>
      <c r="AT96" s="41" t="s">
        <v>82</v>
      </c>
      <c r="AU96" s="42" t="str">
        <f>IF('GNI per capita'!AU96&lt;=Thresholds!$C$44,"L",IF('GNI per capita'!AU96&lt;=Thresholds!$D$44,"LM",IF('GNI per capita'!AU96&lt;=Thresholds!$E$44,"UM","H")))</f>
        <v>UM</v>
      </c>
      <c r="AV96" s="42" t="str">
        <f>IF('GNI per capita'!AV96&lt;=Thresholds!$C$45,"L",IF('GNI per capita'!AV96&lt;=Thresholds!$D$45,"LM",IF('GNI per capita'!AV96&lt;=Thresholds!$E$45,"UM","H")))</f>
        <v>UM</v>
      </c>
      <c r="AW96" s="42" t="str">
        <f>IF('GNI per capita'!AW96&lt;=Thresholds!$C$46,"L",IF('GNI per capita'!AW96&lt;=Thresholds!$D$46,"LM",IF('GNI per capita'!AW96&lt;=Thresholds!$E$46,"UM","H")))</f>
        <v>UM</v>
      </c>
      <c r="AX96" s="42" t="str">
        <f>IF('GNI per capita'!AX96&lt;=Thresholds!$C$47,"L",IF('GNI per capita'!AX96&lt;=Thresholds!$D$47,"LM",IF('GNI per capita'!AX96&lt;=Thresholds!$E$47,"UM","H")))</f>
        <v>UM</v>
      </c>
      <c r="AY96" s="42" t="str">
        <f>IF('GNI per capita'!AY96&lt;=Thresholds!$C$48,"L",IF('GNI per capita'!AY96&lt;=Thresholds!$D$48,"LM",IF('GNI per capita'!AY96&lt;=Thresholds!$E$48,"UM","H")))</f>
        <v>UM</v>
      </c>
      <c r="AZ96" s="42" t="str">
        <f>IF('GNI per capita'!AZ96&lt;=Thresholds!$C$49,"L",IF('GNI per capita'!AZ96&lt;=Thresholds!$D$49,"LM",IF('GNI per capita'!AZ96&lt;=Thresholds!$E$49,"UM","H")))</f>
        <v>UM</v>
      </c>
      <c r="BA96" s="42" t="str">
        <f>IF('GNI per capita'!BA96&lt;=Thresholds!$C$50,"L",IF('GNI per capita'!BA96&lt;=Thresholds!$D$50,"LM",IF('GNI per capita'!BA96&lt;=Thresholds!$E$50,"UM","H")))</f>
        <v>UM</v>
      </c>
      <c r="BB96" s="42" t="str">
        <f>IF('GNI per capita'!BB96&lt;=Thresholds!$C$51,"L",IF('GNI per capita'!BB96&lt;=Thresholds!$D$51,"LM",IF('GNI per capita'!BB96&lt;=Thresholds!$E$51,"UM","H")))</f>
        <v>UM</v>
      </c>
      <c r="BC96" s="42" t="str">
        <f>IF('GNI per capita'!BC96&lt;=Thresholds!$C$52,"L",IF('GNI per capita'!BC96&lt;=Thresholds!$D$52,"LM",IF('GNI per capita'!BC96&lt;=Thresholds!$E$52,"UM","H")))</f>
        <v>UM</v>
      </c>
      <c r="BD96" s="42" t="str">
        <f>IF('GNI per capita'!BD96&lt;=Thresholds!$C$53,"L",IF('GNI per capita'!BD96&lt;=Thresholds!$D$53,"LM",IF('GNI per capita'!BD96&lt;=Thresholds!$E$53,"UM","H")))</f>
        <v>UM</v>
      </c>
      <c r="BE96" s="42" t="str">
        <f>IF('GNI per capita'!BE96&lt;=Thresholds!$C$54,"L",IF('GNI per capita'!BE96&lt;=Thresholds!$D$54,"LM",IF('GNI per capita'!BE96&lt;=Thresholds!$E$54,"UM","H")))</f>
        <v>UM</v>
      </c>
      <c r="BF96" s="42" t="str">
        <f>IF('GNI per capita'!BF96&lt;=Thresholds!$C$55,"L",IF('GNI per capita'!BF96&lt;=Thresholds!$D$55,"LM",IF('GNI per capita'!BF96&lt;=Thresholds!$E$55,"UM","H")))</f>
        <v>UM</v>
      </c>
      <c r="BG96" s="42" t="str">
        <f>IF('GNI per capita'!BG96&lt;=Thresholds!$C$56,"L",IF('GNI per capita'!BG96&lt;=Thresholds!$D$56,"LM",IF('GNI per capita'!BG96&lt;=Thresholds!$E$56,"UM","H")))</f>
        <v>UM</v>
      </c>
      <c r="BH96" s="42" t="str">
        <f>IF('GNI per capita'!BH96&lt;=Thresholds!$C$57,"L",IF('GNI per capita'!BH96&lt;=Thresholds!$D$57,"LM",IF('GNI per capita'!BH96&lt;=Thresholds!$E$57,"UM","H")))</f>
        <v>UM</v>
      </c>
      <c r="BI96" s="42" t="str">
        <f>IF('GNI per capita'!BI96&lt;=Thresholds!$C$58,"L",IF('GNI per capita'!BI96&lt;=Thresholds!$D$58,"LM",IF('GNI per capita'!BI96&lt;=Thresholds!$E$58,"UM","H")))</f>
        <v>UM</v>
      </c>
      <c r="BJ96" s="42" t="str">
        <f>IF('GNI per capita'!BJ96&lt;=Thresholds!$C$59,"L",IF('GNI per capita'!BJ96&lt;=Thresholds!$D$59,"LM",IF('GNI per capita'!BJ96&lt;=Thresholds!$E$59,"UM","H")))</f>
        <v>UM</v>
      </c>
      <c r="BK96" s="42" t="str">
        <f>IF('GNI per capita'!BK96&lt;=Thresholds!$C$60,"L",IF('GNI per capita'!BK96&lt;=Thresholds!$D$60,"LM",IF('GNI per capita'!BK96&lt;=Thresholds!$E$60,"UM","H")))</f>
        <v>UM</v>
      </c>
      <c r="BL96" s="42" t="str">
        <f>IF('GNI per capita'!BL96&lt;=Thresholds!$C$61,"L",IF('GNI per capita'!BL96&lt;=Thresholds!$D$61,"LM",IF('GNI per capita'!BL96&lt;=Thresholds!$E$61,"UM","H")))</f>
        <v>UM</v>
      </c>
      <c r="BM96" s="42" t="str">
        <f>IF('GNI per capita'!BM96&lt;=Thresholds!$C$62,"L",IF('GNI per capita'!BM96&lt;=Thresholds!$D$62,"LM",IF('GNI per capita'!BM96&lt;=Thresholds!$E$62,"UM","H")))</f>
        <v>UM</v>
      </c>
      <c r="BN96" s="42" t="str">
        <f>IF('GNI per capita'!BN96&lt;=Thresholds!$C$63,"L",IF('GNI per capita'!BN96&lt;=Thresholds!$D$63,"LM",IF('GNI per capita'!BN96&lt;=Thresholds!$E$63,"UM","H")))</f>
        <v>UM</v>
      </c>
      <c r="BO96" s="42" t="str">
        <f>IF('GNI per capita'!BO96&lt;=Thresholds!$C$64,"L",IF('GNI per capita'!BO96&lt;=Thresholds!$D$64,"LM",IF('GNI per capita'!BO96&lt;=Thresholds!$E$64,"UM","H")))</f>
        <v>UM</v>
      </c>
      <c r="BP96" s="42" t="str">
        <f>IF('GNI per capita'!BP96&lt;=Thresholds!$C$65,"L",IF('GNI per capita'!BP96&lt;=Thresholds!$D$65,"LM",IF('GNI per capita'!BP96&lt;=Thresholds!$E$65,"UM","H")))</f>
        <v>UM</v>
      </c>
      <c r="BQ96" s="42" t="str">
        <f>IF('GNI per capita'!BQ96&lt;=Thresholds!$C$66,"L",IF('GNI per capita'!BQ96&lt;=Thresholds!$D$66,"LM",IF('GNI per capita'!BQ96&lt;=Thresholds!$E$66,"UM","H")))</f>
        <v>UM</v>
      </c>
      <c r="BR96" s="42" t="str">
        <f>IF('GNI per capita'!BR96&lt;=Thresholds!$C$67,"L",IF('GNI per capita'!BR96&lt;=Thresholds!$D$67,"LM",IF('GNI per capita'!BR96&lt;=Thresholds!$E$67,"UM","H")))</f>
        <v>UM</v>
      </c>
      <c r="BS96" s="42" t="str">
        <f>IF('GNI per capita'!BS96&lt;=Thresholds!$C$68,"L",IF('GNI per capita'!BS96&lt;=Thresholds!$D$68,"LM",IF('GNI per capita'!BS96&lt;=Thresholds!$E$68,"UM","H")))</f>
        <v>UM</v>
      </c>
    </row>
    <row r="97" spans="1:71" x14ac:dyDescent="0.2">
      <c r="A97" s="2" t="s">
        <v>403</v>
      </c>
      <c r="B97" s="2" t="s">
        <v>404</v>
      </c>
      <c r="C97" s="11" t="s">
        <v>79</v>
      </c>
      <c r="G97" s="2" t="s">
        <v>162</v>
      </c>
      <c r="H97" s="41" t="s">
        <v>79</v>
      </c>
      <c r="I97" s="41" t="s">
        <v>79</v>
      </c>
      <c r="J97" s="41" t="s">
        <v>79</v>
      </c>
      <c r="K97" s="41" t="s">
        <v>79</v>
      </c>
      <c r="L97" s="41" t="s">
        <v>79</v>
      </c>
      <c r="M97" s="41" t="s">
        <v>79</v>
      </c>
      <c r="N97" s="41" t="s">
        <v>79</v>
      </c>
      <c r="O97" s="41" t="s">
        <v>79</v>
      </c>
      <c r="P97" s="41" t="s">
        <v>79</v>
      </c>
      <c r="Q97" s="41" t="s">
        <v>79</v>
      </c>
      <c r="R97" s="41" t="s">
        <v>79</v>
      </c>
      <c r="S97" s="41" t="s">
        <v>79</v>
      </c>
      <c r="T97" s="41" t="s">
        <v>79</v>
      </c>
      <c r="U97" s="41" t="s">
        <v>79</v>
      </c>
      <c r="V97" s="41" t="s">
        <v>79</v>
      </c>
      <c r="W97" s="41" t="s">
        <v>79</v>
      </c>
      <c r="X97" s="41" t="s">
        <v>79</v>
      </c>
      <c r="Y97" s="41" t="s">
        <v>79</v>
      </c>
      <c r="Z97" s="41" t="s">
        <v>79</v>
      </c>
      <c r="AA97" s="41" t="s">
        <v>79</v>
      </c>
      <c r="AB97" s="41" t="s">
        <v>79</v>
      </c>
      <c r="AC97" s="41" t="s">
        <v>79</v>
      </c>
      <c r="AD97" s="41" t="s">
        <v>79</v>
      </c>
      <c r="AE97" s="41" t="s">
        <v>79</v>
      </c>
      <c r="AF97" s="41" t="s">
        <v>79</v>
      </c>
      <c r="AG97" s="41" t="s">
        <v>79</v>
      </c>
      <c r="AH97" s="41" t="s">
        <v>79</v>
      </c>
      <c r="AI97" s="41" t="s">
        <v>79</v>
      </c>
      <c r="AJ97" s="41" t="s">
        <v>79</v>
      </c>
      <c r="AK97" s="41" t="s">
        <v>79</v>
      </c>
      <c r="AL97" s="41" t="s">
        <v>79</v>
      </c>
      <c r="AM97" s="41" t="s">
        <v>79</v>
      </c>
      <c r="AN97" s="41" t="s">
        <v>79</v>
      </c>
      <c r="AO97" s="41" t="s">
        <v>79</v>
      </c>
      <c r="AP97" s="41" t="s">
        <v>79</v>
      </c>
      <c r="AQ97" s="41" t="s">
        <v>79</v>
      </c>
      <c r="AR97" s="41" t="s">
        <v>79</v>
      </c>
      <c r="AS97" s="41" t="s">
        <v>79</v>
      </c>
      <c r="AT97" s="41" t="s">
        <v>79</v>
      </c>
      <c r="AU97" s="42" t="str">
        <f>IF('GNI per capita'!AU97&lt;=Thresholds!$C$44,"L",IF('GNI per capita'!AU97&lt;=Thresholds!$D$44,"LM",IF('GNI per capita'!AU97&lt;=Thresholds!$E$44,"UM","H")))</f>
        <v>H</v>
      </c>
      <c r="AV97" s="42" t="str">
        <f>IF('GNI per capita'!AV97&lt;=Thresholds!$C$45,"L",IF('GNI per capita'!AV97&lt;=Thresholds!$D$45,"LM",IF('GNI per capita'!AV97&lt;=Thresholds!$E$45,"UM","H")))</f>
        <v>H</v>
      </c>
      <c r="AW97" s="42" t="str">
        <f>IF('GNI per capita'!AW97&lt;=Thresholds!$C$46,"L",IF('GNI per capita'!AW97&lt;=Thresholds!$D$46,"LM",IF('GNI per capita'!AW97&lt;=Thresholds!$E$46,"UM","H")))</f>
        <v>H</v>
      </c>
      <c r="AX97" s="42" t="str">
        <f>IF('GNI per capita'!AX97&lt;=Thresholds!$C$47,"L",IF('GNI per capita'!AX97&lt;=Thresholds!$D$47,"LM",IF('GNI per capita'!AX97&lt;=Thresholds!$E$47,"UM","H")))</f>
        <v>H</v>
      </c>
      <c r="AY97" s="42" t="str">
        <f>IF('GNI per capita'!AY97&lt;=Thresholds!$C$48,"L",IF('GNI per capita'!AY97&lt;=Thresholds!$D$48,"LM",IF('GNI per capita'!AY97&lt;=Thresholds!$E$48,"UM","H")))</f>
        <v>H</v>
      </c>
      <c r="AZ97" s="42" t="str">
        <f>IF('GNI per capita'!AZ97&lt;=Thresholds!$C$49,"L",IF('GNI per capita'!AZ97&lt;=Thresholds!$D$49,"LM",IF('GNI per capita'!AZ97&lt;=Thresholds!$E$49,"UM","H")))</f>
        <v>H</v>
      </c>
      <c r="BA97" s="42" t="str">
        <f>IF('GNI per capita'!BA97&lt;=Thresholds!$C$50,"L",IF('GNI per capita'!BA97&lt;=Thresholds!$D$50,"LM",IF('GNI per capita'!BA97&lt;=Thresholds!$E$50,"UM","H")))</f>
        <v>H</v>
      </c>
      <c r="BB97" s="42" t="str">
        <f>IF('GNI per capita'!BB97&lt;=Thresholds!$C$51,"L",IF('GNI per capita'!BB97&lt;=Thresholds!$D$51,"LM",IF('GNI per capita'!BB97&lt;=Thresholds!$E$51,"UM","H")))</f>
        <v>H</v>
      </c>
      <c r="BC97" s="42" t="str">
        <f>IF('GNI per capita'!BC97&lt;=Thresholds!$C$52,"L",IF('GNI per capita'!BC97&lt;=Thresholds!$D$52,"LM",IF('GNI per capita'!BC97&lt;=Thresholds!$E$52,"UM","H")))</f>
        <v>H</v>
      </c>
      <c r="BD97" s="42" t="str">
        <f>IF('GNI per capita'!BD97&lt;=Thresholds!$C$53,"L",IF('GNI per capita'!BD97&lt;=Thresholds!$D$53,"LM",IF('GNI per capita'!BD97&lt;=Thresholds!$E$53,"UM","H")))</f>
        <v>H</v>
      </c>
      <c r="BE97" s="42" t="str">
        <f>IF('GNI per capita'!BE97&lt;=Thresholds!$C$54,"L",IF('GNI per capita'!BE97&lt;=Thresholds!$D$54,"LM",IF('GNI per capita'!BE97&lt;=Thresholds!$E$54,"UM","H")))</f>
        <v>H</v>
      </c>
      <c r="BF97" s="42" t="str">
        <f>IF('GNI per capita'!BF97&lt;=Thresholds!$C$55,"L",IF('GNI per capita'!BF97&lt;=Thresholds!$D$55,"LM",IF('GNI per capita'!BF97&lt;=Thresholds!$E$55,"UM","H")))</f>
        <v>H</v>
      </c>
      <c r="BG97" s="42" t="str">
        <f>IF('GNI per capita'!BG97&lt;=Thresholds!$C$56,"L",IF('GNI per capita'!BG97&lt;=Thresholds!$D$56,"LM",IF('GNI per capita'!BG97&lt;=Thresholds!$E$56,"UM","H")))</f>
        <v>H</v>
      </c>
      <c r="BH97" s="42" t="str">
        <f>IF('GNI per capita'!BH97&lt;=Thresholds!$C$57,"L",IF('GNI per capita'!BH97&lt;=Thresholds!$D$57,"LM",IF('GNI per capita'!BH97&lt;=Thresholds!$E$57,"UM","H")))</f>
        <v>H</v>
      </c>
      <c r="BI97" s="42" t="str">
        <f>IF('GNI per capita'!BI97&lt;=Thresholds!$C$58,"L",IF('GNI per capita'!BI97&lt;=Thresholds!$D$58,"LM",IF('GNI per capita'!BI97&lt;=Thresholds!$E$58,"UM","H")))</f>
        <v>H</v>
      </c>
      <c r="BJ97" s="42" t="str">
        <f>IF('GNI per capita'!BJ97&lt;=Thresholds!$C$59,"L",IF('GNI per capita'!BJ97&lt;=Thresholds!$D$59,"LM",IF('GNI per capita'!BJ97&lt;=Thresholds!$E$59,"UM","H")))</f>
        <v>H</v>
      </c>
      <c r="BK97" s="42" t="str">
        <f>IF('GNI per capita'!BK97&lt;=Thresholds!$C$60,"L",IF('GNI per capita'!BK97&lt;=Thresholds!$D$60,"LM",IF('GNI per capita'!BK97&lt;=Thresholds!$E$60,"UM","H")))</f>
        <v>H</v>
      </c>
      <c r="BL97" s="42" t="str">
        <f>IF('GNI per capita'!BL97&lt;=Thresholds!$C$61,"L",IF('GNI per capita'!BL97&lt;=Thresholds!$D$61,"LM",IF('GNI per capita'!BL97&lt;=Thresholds!$E$61,"UM","H")))</f>
        <v>H</v>
      </c>
      <c r="BM97" s="42" t="str">
        <f>IF('GNI per capita'!BM97&lt;=Thresholds!$C$62,"L",IF('GNI per capita'!BM97&lt;=Thresholds!$D$62,"LM",IF('GNI per capita'!BM97&lt;=Thresholds!$E$62,"UM","H")))</f>
        <v>H</v>
      </c>
      <c r="BN97" s="42" t="str">
        <f>IF('GNI per capita'!BN97&lt;=Thresholds!$C$63,"L",IF('GNI per capita'!BN97&lt;=Thresholds!$D$63,"LM",IF('GNI per capita'!BN97&lt;=Thresholds!$E$63,"UM","H")))</f>
        <v>H</v>
      </c>
      <c r="BO97" s="42" t="str">
        <f>IF('GNI per capita'!BO97&lt;=Thresholds!$C$64,"L",IF('GNI per capita'!BO97&lt;=Thresholds!$D$64,"LM",IF('GNI per capita'!BO97&lt;=Thresholds!$E$64,"UM","H")))</f>
        <v>H</v>
      </c>
      <c r="BP97" s="42" t="str">
        <f>IF('GNI per capita'!BP97&lt;=Thresholds!$C$65,"L",IF('GNI per capita'!BP97&lt;=Thresholds!$D$65,"LM",IF('GNI per capita'!BP97&lt;=Thresholds!$E$65,"UM","H")))</f>
        <v>H</v>
      </c>
      <c r="BQ97" s="42" t="str">
        <f>IF('GNI per capita'!BQ97&lt;=Thresholds!$C$66,"L",IF('GNI per capita'!BQ97&lt;=Thresholds!$D$66,"LM",IF('GNI per capita'!BQ97&lt;=Thresholds!$E$66,"UM","H")))</f>
        <v>H</v>
      </c>
      <c r="BR97" s="42" t="str">
        <f>IF('GNI per capita'!BR97&lt;=Thresholds!$C$67,"L",IF('GNI per capita'!BR97&lt;=Thresholds!$D$67,"LM",IF('GNI per capita'!BR97&lt;=Thresholds!$E$67,"UM","H")))</f>
        <v>H</v>
      </c>
      <c r="BS97" s="42" t="str">
        <f>IF('GNI per capita'!BS97&lt;=Thresholds!$C$68,"L",IF('GNI per capita'!BS97&lt;=Thresholds!$D$68,"LM",IF('GNI per capita'!BS97&lt;=Thresholds!$E$68,"UM","H")))</f>
        <v>H</v>
      </c>
    </row>
    <row r="98" spans="1:71" x14ac:dyDescent="0.2">
      <c r="A98" s="2" t="s">
        <v>405</v>
      </c>
      <c r="B98" s="2" t="s">
        <v>406</v>
      </c>
      <c r="C98" s="11" t="s">
        <v>79</v>
      </c>
      <c r="G98" s="2" t="s">
        <v>407</v>
      </c>
      <c r="H98" s="41" t="s">
        <v>79</v>
      </c>
      <c r="I98" s="41" t="s">
        <v>79</v>
      </c>
      <c r="J98" s="41" t="s">
        <v>79</v>
      </c>
      <c r="K98" s="41" t="s">
        <v>82</v>
      </c>
      <c r="L98" s="41" t="s">
        <v>82</v>
      </c>
      <c r="M98" s="41" t="s">
        <v>82</v>
      </c>
      <c r="N98" s="41" t="s">
        <v>82</v>
      </c>
      <c r="O98" s="41" t="s">
        <v>82</v>
      </c>
      <c r="P98" s="41" t="s">
        <v>82</v>
      </c>
      <c r="Q98" s="41" t="s">
        <v>82</v>
      </c>
      <c r="R98" s="41" t="s">
        <v>82</v>
      </c>
      <c r="S98" s="41" t="s">
        <v>82</v>
      </c>
      <c r="T98" s="41" t="s">
        <v>82</v>
      </c>
      <c r="U98" s="41" t="s">
        <v>82</v>
      </c>
      <c r="V98" s="41" t="s">
        <v>82</v>
      </c>
      <c r="W98" s="41" t="s">
        <v>79</v>
      </c>
      <c r="X98" s="41" t="s">
        <v>79</v>
      </c>
      <c r="Y98" s="41" t="s">
        <v>79</v>
      </c>
      <c r="Z98" s="41" t="s">
        <v>79</v>
      </c>
      <c r="AA98" s="41" t="s">
        <v>79</v>
      </c>
      <c r="AB98" s="41" t="s">
        <v>79</v>
      </c>
      <c r="AC98" s="41" t="s">
        <v>79</v>
      </c>
      <c r="AD98" s="41" t="s">
        <v>79</v>
      </c>
      <c r="AE98" s="41" t="s">
        <v>79</v>
      </c>
      <c r="AF98" s="41" t="s">
        <v>79</v>
      </c>
      <c r="AG98" s="41" t="s">
        <v>79</v>
      </c>
      <c r="AH98" s="41" t="s">
        <v>79</v>
      </c>
      <c r="AI98" s="41" t="s">
        <v>79</v>
      </c>
      <c r="AJ98" s="41" t="s">
        <v>79</v>
      </c>
      <c r="AK98" s="41" t="s">
        <v>79</v>
      </c>
      <c r="AL98" s="41" t="s">
        <v>79</v>
      </c>
      <c r="AM98" s="41" t="s">
        <v>79</v>
      </c>
      <c r="AN98" s="41" t="s">
        <v>79</v>
      </c>
      <c r="AO98" s="41" t="s">
        <v>79</v>
      </c>
      <c r="AP98" s="41" t="s">
        <v>79</v>
      </c>
      <c r="AQ98" s="41" t="s">
        <v>79</v>
      </c>
      <c r="AR98" s="41" t="s">
        <v>79</v>
      </c>
      <c r="AS98" s="41" t="s">
        <v>79</v>
      </c>
      <c r="AT98" s="41" t="s">
        <v>79</v>
      </c>
      <c r="AU98" s="42" t="str">
        <f>IF('GNI per capita'!AU98&lt;=Thresholds!$C$44,"L",IF('GNI per capita'!AU98&lt;=Thresholds!$D$44,"LM",IF('GNI per capita'!AU98&lt;=Thresholds!$E$44,"UM","H")))</f>
        <v>H</v>
      </c>
      <c r="AV98" s="42" t="str">
        <f>IF('GNI per capita'!AV98&lt;=Thresholds!$C$45,"L",IF('GNI per capita'!AV98&lt;=Thresholds!$D$45,"LM",IF('GNI per capita'!AV98&lt;=Thresholds!$E$45,"UM","H")))</f>
        <v>H</v>
      </c>
      <c r="AW98" s="42" t="str">
        <f>IF('GNI per capita'!AW98&lt;=Thresholds!$C$46,"L",IF('GNI per capita'!AW98&lt;=Thresholds!$D$46,"LM",IF('GNI per capita'!AW98&lt;=Thresholds!$E$46,"UM","H")))</f>
        <v>H</v>
      </c>
      <c r="AX98" s="42" t="str">
        <f>IF('GNI per capita'!AX98&lt;=Thresholds!$C$47,"L",IF('GNI per capita'!AX98&lt;=Thresholds!$D$47,"LM",IF('GNI per capita'!AX98&lt;=Thresholds!$E$47,"UM","H")))</f>
        <v>H</v>
      </c>
      <c r="AY98" s="42" t="str">
        <f>IF('GNI per capita'!AY98&lt;=Thresholds!$C$48,"L",IF('GNI per capita'!AY98&lt;=Thresholds!$D$48,"LM",IF('GNI per capita'!AY98&lt;=Thresholds!$E$48,"UM","H")))</f>
        <v>H</v>
      </c>
      <c r="AZ98" s="42" t="str">
        <f>IF('GNI per capita'!AZ98&lt;=Thresholds!$C$49,"L",IF('GNI per capita'!AZ98&lt;=Thresholds!$D$49,"LM",IF('GNI per capita'!AZ98&lt;=Thresholds!$E$49,"UM","H")))</f>
        <v>H</v>
      </c>
      <c r="BA98" s="42" t="str">
        <f>IF('GNI per capita'!BA98&lt;=Thresholds!$C$50,"L",IF('GNI per capita'!BA98&lt;=Thresholds!$D$50,"LM",IF('GNI per capita'!BA98&lt;=Thresholds!$E$50,"UM","H")))</f>
        <v>H</v>
      </c>
      <c r="BB98" s="42" t="str">
        <f>IF('GNI per capita'!BB98&lt;=Thresholds!$C$51,"L",IF('GNI per capita'!BB98&lt;=Thresholds!$D$51,"LM",IF('GNI per capita'!BB98&lt;=Thresholds!$E$51,"UM","H")))</f>
        <v>H</v>
      </c>
      <c r="BC98" s="42" t="str">
        <f>IF('GNI per capita'!BC98&lt;=Thresholds!$C$52,"L",IF('GNI per capita'!BC98&lt;=Thresholds!$D$52,"LM",IF('GNI per capita'!BC98&lt;=Thresholds!$E$52,"UM","H")))</f>
        <v>H</v>
      </c>
      <c r="BD98" s="42" t="str">
        <f>IF('GNI per capita'!BD98&lt;=Thresholds!$C$53,"L",IF('GNI per capita'!BD98&lt;=Thresholds!$D$53,"LM",IF('GNI per capita'!BD98&lt;=Thresholds!$E$53,"UM","H")))</f>
        <v>H</v>
      </c>
      <c r="BE98" s="42" t="str">
        <f>IF('GNI per capita'!BE98&lt;=Thresholds!$C$54,"L",IF('GNI per capita'!BE98&lt;=Thresholds!$D$54,"LM",IF('GNI per capita'!BE98&lt;=Thresholds!$E$54,"UM","H")))</f>
        <v>H</v>
      </c>
      <c r="BF98" s="42" t="str">
        <f>IF('GNI per capita'!BF98&lt;=Thresholds!$C$55,"L",IF('GNI per capita'!BF98&lt;=Thresholds!$D$55,"LM",IF('GNI per capita'!BF98&lt;=Thresholds!$E$55,"UM","H")))</f>
        <v>H</v>
      </c>
      <c r="BG98" s="42" t="str">
        <f>IF('GNI per capita'!BG98&lt;=Thresholds!$C$56,"L",IF('GNI per capita'!BG98&lt;=Thresholds!$D$56,"LM",IF('GNI per capita'!BG98&lt;=Thresholds!$E$56,"UM","H")))</f>
        <v>H</v>
      </c>
      <c r="BH98" s="42" t="str">
        <f>IF('GNI per capita'!BH98&lt;=Thresholds!$C$57,"L",IF('GNI per capita'!BH98&lt;=Thresholds!$D$57,"LM",IF('GNI per capita'!BH98&lt;=Thresholds!$E$57,"UM","H")))</f>
        <v>H</v>
      </c>
      <c r="BI98" s="42" t="str">
        <f>IF('GNI per capita'!BI98&lt;=Thresholds!$C$58,"L",IF('GNI per capita'!BI98&lt;=Thresholds!$D$58,"LM",IF('GNI per capita'!BI98&lt;=Thresholds!$E$58,"UM","H")))</f>
        <v>H</v>
      </c>
      <c r="BJ98" s="42" t="str">
        <f>IF('GNI per capita'!BJ98&lt;=Thresholds!$C$59,"L",IF('GNI per capita'!BJ98&lt;=Thresholds!$D$59,"LM",IF('GNI per capita'!BJ98&lt;=Thresholds!$E$59,"UM","H")))</f>
        <v>H</v>
      </c>
      <c r="BK98" s="42" t="str">
        <f>IF('GNI per capita'!BK98&lt;=Thresholds!$C$60,"L",IF('GNI per capita'!BK98&lt;=Thresholds!$D$60,"LM",IF('GNI per capita'!BK98&lt;=Thresholds!$E$60,"UM","H")))</f>
        <v>H</v>
      </c>
      <c r="BL98" s="42" t="str">
        <f>IF('GNI per capita'!BL98&lt;=Thresholds!$C$61,"L",IF('GNI per capita'!BL98&lt;=Thresholds!$D$61,"LM",IF('GNI per capita'!BL98&lt;=Thresholds!$E$61,"UM","H")))</f>
        <v>H</v>
      </c>
      <c r="BM98" s="42" t="str">
        <f>IF('GNI per capita'!BM98&lt;=Thresholds!$C$62,"L",IF('GNI per capita'!BM98&lt;=Thresholds!$D$62,"LM",IF('GNI per capita'!BM98&lt;=Thresholds!$E$62,"UM","H")))</f>
        <v>H</v>
      </c>
      <c r="BN98" s="42" t="str">
        <f>IF('GNI per capita'!BN98&lt;=Thresholds!$C$63,"L",IF('GNI per capita'!BN98&lt;=Thresholds!$D$63,"LM",IF('GNI per capita'!BN98&lt;=Thresholds!$E$63,"UM","H")))</f>
        <v>H</v>
      </c>
      <c r="BO98" s="42" t="str">
        <f>IF('GNI per capita'!BO98&lt;=Thresholds!$C$64,"L",IF('GNI per capita'!BO98&lt;=Thresholds!$D$64,"LM",IF('GNI per capita'!BO98&lt;=Thresholds!$E$64,"UM","H")))</f>
        <v>H</v>
      </c>
      <c r="BP98" s="42" t="str">
        <f>IF('GNI per capita'!BP98&lt;=Thresholds!$C$65,"L",IF('GNI per capita'!BP98&lt;=Thresholds!$D$65,"LM",IF('GNI per capita'!BP98&lt;=Thresholds!$E$65,"UM","H")))</f>
        <v>H</v>
      </c>
      <c r="BQ98" s="42" t="str">
        <f>IF('GNI per capita'!BQ98&lt;=Thresholds!$C$66,"L",IF('GNI per capita'!BQ98&lt;=Thresholds!$D$66,"LM",IF('GNI per capita'!BQ98&lt;=Thresholds!$E$66,"UM","H")))</f>
        <v>H</v>
      </c>
      <c r="BR98" s="42" t="str">
        <f>IF('GNI per capita'!BR98&lt;=Thresholds!$C$67,"L",IF('GNI per capita'!BR98&lt;=Thresholds!$D$67,"LM",IF('GNI per capita'!BR98&lt;=Thresholds!$E$67,"UM","H")))</f>
        <v>H</v>
      </c>
      <c r="BS98" s="42" t="str">
        <f>IF('GNI per capita'!BS98&lt;=Thresholds!$C$68,"L",IF('GNI per capita'!BS98&lt;=Thresholds!$D$68,"LM",IF('GNI per capita'!BS98&lt;=Thresholds!$E$68,"UM","H")))</f>
        <v>H</v>
      </c>
    </row>
    <row r="99" spans="1:71" x14ac:dyDescent="0.2">
      <c r="A99" s="2" t="s">
        <v>408</v>
      </c>
      <c r="B99" s="2" t="s">
        <v>409</v>
      </c>
      <c r="C99" s="11" t="s">
        <v>79</v>
      </c>
      <c r="G99" s="2" t="s">
        <v>162</v>
      </c>
      <c r="H99" s="41" t="s">
        <v>79</v>
      </c>
      <c r="I99" s="41" t="s">
        <v>79</v>
      </c>
      <c r="J99" s="41" t="s">
        <v>79</v>
      </c>
      <c r="K99" s="41" t="s">
        <v>79</v>
      </c>
      <c r="L99" s="41" t="s">
        <v>79</v>
      </c>
      <c r="M99" s="41" t="s">
        <v>79</v>
      </c>
      <c r="N99" s="41" t="s">
        <v>79</v>
      </c>
      <c r="O99" s="41" t="s">
        <v>79</v>
      </c>
      <c r="P99" s="41" t="s">
        <v>79</v>
      </c>
      <c r="Q99" s="41" t="s">
        <v>79</v>
      </c>
      <c r="R99" s="41" t="s">
        <v>79</v>
      </c>
      <c r="S99" s="41" t="s">
        <v>79</v>
      </c>
      <c r="T99" s="41" t="s">
        <v>79</v>
      </c>
      <c r="U99" s="41" t="s">
        <v>79</v>
      </c>
      <c r="V99" s="41" t="s">
        <v>79</v>
      </c>
      <c r="W99" s="41" t="s">
        <v>79</v>
      </c>
      <c r="X99" s="41" t="s">
        <v>79</v>
      </c>
      <c r="Y99" s="41" t="s">
        <v>79</v>
      </c>
      <c r="Z99" s="41" t="s">
        <v>79</v>
      </c>
      <c r="AA99" s="41" t="s">
        <v>79</v>
      </c>
      <c r="AB99" s="41" t="s">
        <v>79</v>
      </c>
      <c r="AC99" s="41" t="s">
        <v>79</v>
      </c>
      <c r="AD99" s="41" t="s">
        <v>79</v>
      </c>
      <c r="AE99" s="41" t="s">
        <v>79</v>
      </c>
      <c r="AF99" s="41" t="s">
        <v>79</v>
      </c>
      <c r="AG99" s="41" t="s">
        <v>79</v>
      </c>
      <c r="AH99" s="41" t="s">
        <v>79</v>
      </c>
      <c r="AI99" s="41" t="s">
        <v>79</v>
      </c>
      <c r="AJ99" s="41" t="s">
        <v>79</v>
      </c>
      <c r="AK99" s="41" t="s">
        <v>79</v>
      </c>
      <c r="AL99" s="41" t="s">
        <v>79</v>
      </c>
      <c r="AM99" s="41" t="s">
        <v>79</v>
      </c>
      <c r="AN99" s="41" t="s">
        <v>79</v>
      </c>
      <c r="AO99" s="41" t="s">
        <v>79</v>
      </c>
      <c r="AP99" s="41" t="s">
        <v>79</v>
      </c>
      <c r="AQ99" s="41" t="s">
        <v>79</v>
      </c>
      <c r="AR99" s="41" t="s">
        <v>79</v>
      </c>
      <c r="AS99" s="41" t="s">
        <v>79</v>
      </c>
      <c r="AT99" s="41" t="s">
        <v>79</v>
      </c>
      <c r="AU99" s="42" t="str">
        <f>IF('GNI per capita'!AU99&lt;=Thresholds!$C$44,"L",IF('GNI per capita'!AU99&lt;=Thresholds!$D$44,"LM",IF('GNI per capita'!AU99&lt;=Thresholds!$E$44,"UM","H")))</f>
        <v>H</v>
      </c>
      <c r="AV99" s="42" t="str">
        <f>IF('GNI per capita'!AV99&lt;=Thresholds!$C$45,"L",IF('GNI per capita'!AV99&lt;=Thresholds!$D$45,"LM",IF('GNI per capita'!AV99&lt;=Thresholds!$E$45,"UM","H")))</f>
        <v>H</v>
      </c>
      <c r="AW99" s="42" t="str">
        <f>IF('GNI per capita'!AW99&lt;=Thresholds!$C$46,"L",IF('GNI per capita'!AW99&lt;=Thresholds!$D$46,"LM",IF('GNI per capita'!AW99&lt;=Thresholds!$E$46,"UM","H")))</f>
        <v>H</v>
      </c>
      <c r="AX99" s="42" t="str">
        <f>IF('GNI per capita'!AX99&lt;=Thresholds!$C$47,"L",IF('GNI per capita'!AX99&lt;=Thresholds!$D$47,"LM",IF('GNI per capita'!AX99&lt;=Thresholds!$E$47,"UM","H")))</f>
        <v>H</v>
      </c>
      <c r="AY99" s="42" t="str">
        <f>IF('GNI per capita'!AY99&lt;=Thresholds!$C$48,"L",IF('GNI per capita'!AY99&lt;=Thresholds!$D$48,"LM",IF('GNI per capita'!AY99&lt;=Thresholds!$E$48,"UM","H")))</f>
        <v>H</v>
      </c>
      <c r="AZ99" s="42" t="str">
        <f>IF('GNI per capita'!AZ99&lt;=Thresholds!$C$49,"L",IF('GNI per capita'!AZ99&lt;=Thresholds!$D$49,"LM",IF('GNI per capita'!AZ99&lt;=Thresholds!$E$49,"UM","H")))</f>
        <v>H</v>
      </c>
      <c r="BA99" s="42" t="str">
        <f>IF('GNI per capita'!BA99&lt;=Thresholds!$C$50,"L",IF('GNI per capita'!BA99&lt;=Thresholds!$D$50,"LM",IF('GNI per capita'!BA99&lt;=Thresholds!$E$50,"UM","H")))</f>
        <v>H</v>
      </c>
      <c r="BB99" s="42" t="str">
        <f>IF('GNI per capita'!BB99&lt;=Thresholds!$C$51,"L",IF('GNI per capita'!BB99&lt;=Thresholds!$D$51,"LM",IF('GNI per capita'!BB99&lt;=Thresholds!$E$51,"UM","H")))</f>
        <v>H</v>
      </c>
      <c r="BC99" s="42" t="str">
        <f>IF('GNI per capita'!BC99&lt;=Thresholds!$C$52,"L",IF('GNI per capita'!BC99&lt;=Thresholds!$D$52,"LM",IF('GNI per capita'!BC99&lt;=Thresholds!$E$52,"UM","H")))</f>
        <v>H</v>
      </c>
      <c r="BD99" s="42" t="str">
        <f>IF('GNI per capita'!BD99&lt;=Thresholds!$C$53,"L",IF('GNI per capita'!BD99&lt;=Thresholds!$D$53,"LM",IF('GNI per capita'!BD99&lt;=Thresholds!$E$53,"UM","H")))</f>
        <v>H</v>
      </c>
      <c r="BE99" s="42" t="str">
        <f>IF('GNI per capita'!BE99&lt;=Thresholds!$C$54,"L",IF('GNI per capita'!BE99&lt;=Thresholds!$D$54,"LM",IF('GNI per capita'!BE99&lt;=Thresholds!$E$54,"UM","H")))</f>
        <v>H</v>
      </c>
      <c r="BF99" s="42" t="str">
        <f>IF('GNI per capita'!BF99&lt;=Thresholds!$C$55,"L",IF('GNI per capita'!BF99&lt;=Thresholds!$D$55,"LM",IF('GNI per capita'!BF99&lt;=Thresholds!$E$55,"UM","H")))</f>
        <v>H</v>
      </c>
      <c r="BG99" s="42" t="str">
        <f>IF('GNI per capita'!BG99&lt;=Thresholds!$C$56,"L",IF('GNI per capita'!BG99&lt;=Thresholds!$D$56,"LM",IF('GNI per capita'!BG99&lt;=Thresholds!$E$56,"UM","H")))</f>
        <v>H</v>
      </c>
      <c r="BH99" s="42" t="str">
        <f>IF('GNI per capita'!BH99&lt;=Thresholds!$C$57,"L",IF('GNI per capita'!BH99&lt;=Thresholds!$D$57,"LM",IF('GNI per capita'!BH99&lt;=Thresholds!$E$57,"UM","H")))</f>
        <v>H</v>
      </c>
      <c r="BI99" s="42" t="str">
        <f>IF('GNI per capita'!BI99&lt;=Thresholds!$C$58,"L",IF('GNI per capita'!BI99&lt;=Thresholds!$D$58,"LM",IF('GNI per capita'!BI99&lt;=Thresholds!$E$58,"UM","H")))</f>
        <v>H</v>
      </c>
      <c r="BJ99" s="42" t="str">
        <f>IF('GNI per capita'!BJ99&lt;=Thresholds!$C$59,"L",IF('GNI per capita'!BJ99&lt;=Thresholds!$D$59,"LM",IF('GNI per capita'!BJ99&lt;=Thresholds!$E$59,"UM","H")))</f>
        <v>H</v>
      </c>
      <c r="BK99" s="42" t="str">
        <f>IF('GNI per capita'!BK99&lt;=Thresholds!$C$60,"L",IF('GNI per capita'!BK99&lt;=Thresholds!$D$60,"LM",IF('GNI per capita'!BK99&lt;=Thresholds!$E$60,"UM","H")))</f>
        <v>H</v>
      </c>
      <c r="BL99" s="42" t="str">
        <f>IF('GNI per capita'!BL99&lt;=Thresholds!$C$61,"L",IF('GNI per capita'!BL99&lt;=Thresholds!$D$61,"LM",IF('GNI per capita'!BL99&lt;=Thresholds!$E$61,"UM","H")))</f>
        <v>H</v>
      </c>
      <c r="BM99" s="42" t="str">
        <f>IF('GNI per capita'!BM99&lt;=Thresholds!$C$62,"L",IF('GNI per capita'!BM99&lt;=Thresholds!$D$62,"LM",IF('GNI per capita'!BM99&lt;=Thresholds!$E$62,"UM","H")))</f>
        <v>H</v>
      </c>
      <c r="BN99" s="42" t="str">
        <f>IF('GNI per capita'!BN99&lt;=Thresholds!$C$63,"L",IF('GNI per capita'!BN99&lt;=Thresholds!$D$63,"LM",IF('GNI per capita'!BN99&lt;=Thresholds!$E$63,"UM","H")))</f>
        <v>H</v>
      </c>
      <c r="BO99" s="42" t="str">
        <f>IF('GNI per capita'!BO99&lt;=Thresholds!$C$64,"L",IF('GNI per capita'!BO99&lt;=Thresholds!$D$64,"LM",IF('GNI per capita'!BO99&lt;=Thresholds!$E$64,"UM","H")))</f>
        <v>H</v>
      </c>
      <c r="BP99" s="42" t="str">
        <f>IF('GNI per capita'!BP99&lt;=Thresholds!$C$65,"L",IF('GNI per capita'!BP99&lt;=Thresholds!$D$65,"LM",IF('GNI per capita'!BP99&lt;=Thresholds!$E$65,"UM","H")))</f>
        <v>H</v>
      </c>
      <c r="BQ99" s="42" t="str">
        <f>IF('GNI per capita'!BQ99&lt;=Thresholds!$C$66,"L",IF('GNI per capita'!BQ99&lt;=Thresholds!$D$66,"LM",IF('GNI per capita'!BQ99&lt;=Thresholds!$E$66,"UM","H")))</f>
        <v>H</v>
      </c>
      <c r="BR99" s="42" t="str">
        <f>IF('GNI per capita'!BR99&lt;=Thresholds!$C$67,"L",IF('GNI per capita'!BR99&lt;=Thresholds!$D$67,"LM",IF('GNI per capita'!BR99&lt;=Thresholds!$E$67,"UM","H")))</f>
        <v>H</v>
      </c>
      <c r="BS99" s="42" t="str">
        <f>IF('GNI per capita'!BS99&lt;=Thresholds!$C$68,"L",IF('GNI per capita'!BS99&lt;=Thresholds!$D$68,"LM",IF('GNI per capita'!BS99&lt;=Thresholds!$E$68,"UM","H")))</f>
        <v>H</v>
      </c>
    </row>
    <row r="100" spans="1:71" x14ac:dyDescent="0.2">
      <c r="A100" s="2" t="s">
        <v>410</v>
      </c>
      <c r="B100" s="2" t="s">
        <v>411</v>
      </c>
      <c r="C100" s="11" t="s">
        <v>79</v>
      </c>
      <c r="G100" s="2" t="s">
        <v>412</v>
      </c>
      <c r="H100" s="41" t="s">
        <v>79</v>
      </c>
      <c r="I100" s="41" t="s">
        <v>79</v>
      </c>
      <c r="J100" s="41" t="s">
        <v>79</v>
      </c>
      <c r="K100" s="41" t="s">
        <v>79</v>
      </c>
      <c r="L100" s="41" t="s">
        <v>79</v>
      </c>
      <c r="M100" s="41" t="s">
        <v>79</v>
      </c>
      <c r="N100" s="41" t="s">
        <v>79</v>
      </c>
      <c r="O100" s="41" t="s">
        <v>79</v>
      </c>
      <c r="P100" s="41" t="s">
        <v>79</v>
      </c>
      <c r="Q100" s="41" t="s">
        <v>79</v>
      </c>
      <c r="R100" s="41" t="s">
        <v>79</v>
      </c>
      <c r="S100" s="41" t="s">
        <v>79</v>
      </c>
      <c r="T100" s="41" t="s">
        <v>79</v>
      </c>
      <c r="U100" s="41" t="s">
        <v>79</v>
      </c>
      <c r="V100" s="41" t="s">
        <v>79</v>
      </c>
      <c r="W100" s="41" t="s">
        <v>79</v>
      </c>
      <c r="X100" s="41" t="s">
        <v>79</v>
      </c>
      <c r="Y100" s="41" t="s">
        <v>79</v>
      </c>
      <c r="Z100" s="41" t="s">
        <v>79</v>
      </c>
      <c r="AA100" s="41" t="s">
        <v>79</v>
      </c>
      <c r="AB100" s="41" t="s">
        <v>79</v>
      </c>
      <c r="AC100" s="41" t="s">
        <v>79</v>
      </c>
      <c r="AD100" s="41" t="s">
        <v>79</v>
      </c>
      <c r="AE100" s="41" t="s">
        <v>79</v>
      </c>
      <c r="AF100" s="41" t="s">
        <v>79</v>
      </c>
      <c r="AG100" s="41" t="s">
        <v>79</v>
      </c>
      <c r="AH100" s="41" t="s">
        <v>79</v>
      </c>
      <c r="AI100" s="41" t="s">
        <v>79</v>
      </c>
      <c r="AJ100" s="41" t="s">
        <v>79</v>
      </c>
      <c r="AK100" s="41" t="s">
        <v>79</v>
      </c>
      <c r="AL100" s="41" t="s">
        <v>79</v>
      </c>
      <c r="AM100" s="41" t="s">
        <v>79</v>
      </c>
      <c r="AN100" s="41" t="s">
        <v>79</v>
      </c>
      <c r="AO100" s="41" t="s">
        <v>79</v>
      </c>
      <c r="AP100" s="41" t="s">
        <v>79</v>
      </c>
      <c r="AQ100" s="41" t="s">
        <v>79</v>
      </c>
      <c r="AR100" s="41" t="s">
        <v>79</v>
      </c>
      <c r="AS100" s="41" t="s">
        <v>79</v>
      </c>
      <c r="AT100" s="41" t="s">
        <v>79</v>
      </c>
      <c r="AU100" s="42" t="str">
        <f>IF('GNI per capita'!AU100&lt;=Thresholds!$C$44,"L",IF('GNI per capita'!AU100&lt;=Thresholds!$D$44,"LM",IF('GNI per capita'!AU100&lt;=Thresholds!$E$44,"UM","H")))</f>
        <v>H</v>
      </c>
      <c r="AV100" s="42" t="str">
        <f>IF('GNI per capita'!AV100&lt;=Thresholds!$C$45,"L",IF('GNI per capita'!AV100&lt;=Thresholds!$D$45,"LM",IF('GNI per capita'!AV100&lt;=Thresholds!$E$45,"UM","H")))</f>
        <v>H</v>
      </c>
      <c r="AW100" s="42" t="str">
        <f>IF('GNI per capita'!AW100&lt;=Thresholds!$C$46,"L",IF('GNI per capita'!AW100&lt;=Thresholds!$D$46,"LM",IF('GNI per capita'!AW100&lt;=Thresholds!$E$46,"UM","H")))</f>
        <v>H</v>
      </c>
      <c r="AX100" s="42" t="str">
        <f>IF('GNI per capita'!AX100&lt;=Thresholds!$C$47,"L",IF('GNI per capita'!AX100&lt;=Thresholds!$D$47,"LM",IF('GNI per capita'!AX100&lt;=Thresholds!$E$47,"UM","H")))</f>
        <v>H</v>
      </c>
      <c r="AY100" s="42" t="str">
        <f>IF('GNI per capita'!AY100&lt;=Thresholds!$C$48,"L",IF('GNI per capita'!AY100&lt;=Thresholds!$D$48,"LM",IF('GNI per capita'!AY100&lt;=Thresholds!$E$48,"UM","H")))</f>
        <v>H</v>
      </c>
      <c r="AZ100" s="42" t="str">
        <f>IF('GNI per capita'!AZ100&lt;=Thresholds!$C$49,"L",IF('GNI per capita'!AZ100&lt;=Thresholds!$D$49,"LM",IF('GNI per capita'!AZ100&lt;=Thresholds!$E$49,"UM","H")))</f>
        <v>H</v>
      </c>
      <c r="BA100" s="42" t="str">
        <f>IF('GNI per capita'!BA100&lt;=Thresholds!$C$50,"L",IF('GNI per capita'!BA100&lt;=Thresholds!$D$50,"LM",IF('GNI per capita'!BA100&lt;=Thresholds!$E$50,"UM","H")))</f>
        <v>H</v>
      </c>
      <c r="BB100" s="42" t="str">
        <f>IF('GNI per capita'!BB100&lt;=Thresholds!$C$51,"L",IF('GNI per capita'!BB100&lt;=Thresholds!$D$51,"LM",IF('GNI per capita'!BB100&lt;=Thresholds!$E$51,"UM","H")))</f>
        <v>H</v>
      </c>
      <c r="BC100" s="42" t="str">
        <f>IF('GNI per capita'!BC100&lt;=Thresholds!$C$52,"L",IF('GNI per capita'!BC100&lt;=Thresholds!$D$52,"LM",IF('GNI per capita'!BC100&lt;=Thresholds!$E$52,"UM","H")))</f>
        <v>H</v>
      </c>
      <c r="BD100" s="42" t="str">
        <f>IF('GNI per capita'!BD100&lt;=Thresholds!$C$53,"L",IF('GNI per capita'!BD100&lt;=Thresholds!$D$53,"LM",IF('GNI per capita'!BD100&lt;=Thresholds!$E$53,"UM","H")))</f>
        <v>H</v>
      </c>
      <c r="BE100" s="42" t="str">
        <f>IF('GNI per capita'!BE100&lt;=Thresholds!$C$54,"L",IF('GNI per capita'!BE100&lt;=Thresholds!$D$54,"LM",IF('GNI per capita'!BE100&lt;=Thresholds!$E$54,"UM","H")))</f>
        <v>H</v>
      </c>
      <c r="BF100" s="42" t="str">
        <f>IF('GNI per capita'!BF100&lt;=Thresholds!$C$55,"L",IF('GNI per capita'!BF100&lt;=Thresholds!$D$55,"LM",IF('GNI per capita'!BF100&lt;=Thresholds!$E$55,"UM","H")))</f>
        <v>H</v>
      </c>
      <c r="BG100" s="42" t="str">
        <f>IF('GNI per capita'!BG100&lt;=Thresholds!$C$56,"L",IF('GNI per capita'!BG100&lt;=Thresholds!$D$56,"LM",IF('GNI per capita'!BG100&lt;=Thresholds!$E$56,"UM","H")))</f>
        <v>H</v>
      </c>
      <c r="BH100" s="42" t="str">
        <f>IF('GNI per capita'!BH100&lt;=Thresholds!$C$57,"L",IF('GNI per capita'!BH100&lt;=Thresholds!$D$57,"LM",IF('GNI per capita'!BH100&lt;=Thresholds!$E$57,"UM","H")))</f>
        <v>H</v>
      </c>
      <c r="BI100" s="42" t="str">
        <f>IF('GNI per capita'!BI100&lt;=Thresholds!$C$58,"L",IF('GNI per capita'!BI100&lt;=Thresholds!$D$58,"LM",IF('GNI per capita'!BI100&lt;=Thresholds!$E$58,"UM","H")))</f>
        <v>H</v>
      </c>
      <c r="BJ100" s="42" t="str">
        <f>IF('GNI per capita'!BJ100&lt;=Thresholds!$C$59,"L",IF('GNI per capita'!BJ100&lt;=Thresholds!$D$59,"LM",IF('GNI per capita'!BJ100&lt;=Thresholds!$E$59,"UM","H")))</f>
        <v>H</v>
      </c>
      <c r="BK100" s="42" t="str">
        <f>IF('GNI per capita'!BK100&lt;=Thresholds!$C$60,"L",IF('GNI per capita'!BK100&lt;=Thresholds!$D$60,"LM",IF('GNI per capita'!BK100&lt;=Thresholds!$E$60,"UM","H")))</f>
        <v>H</v>
      </c>
      <c r="BL100" s="42" t="str">
        <f>IF('GNI per capita'!BL100&lt;=Thresholds!$C$61,"L",IF('GNI per capita'!BL100&lt;=Thresholds!$D$61,"LM",IF('GNI per capita'!BL100&lt;=Thresholds!$E$61,"UM","H")))</f>
        <v>H</v>
      </c>
      <c r="BM100" s="42" t="str">
        <f>IF('GNI per capita'!BM100&lt;=Thresholds!$C$62,"L",IF('GNI per capita'!BM100&lt;=Thresholds!$D$62,"LM",IF('GNI per capita'!BM100&lt;=Thresholds!$E$62,"UM","H")))</f>
        <v>H</v>
      </c>
      <c r="BN100" s="42" t="str">
        <f>IF('GNI per capita'!BN100&lt;=Thresholds!$C$63,"L",IF('GNI per capita'!BN100&lt;=Thresholds!$D$63,"LM",IF('GNI per capita'!BN100&lt;=Thresholds!$E$63,"UM","H")))</f>
        <v>H</v>
      </c>
      <c r="BO100" s="42" t="str">
        <f>IF('GNI per capita'!BO100&lt;=Thresholds!$C$64,"L",IF('GNI per capita'!BO100&lt;=Thresholds!$D$64,"LM",IF('GNI per capita'!BO100&lt;=Thresholds!$E$64,"UM","H")))</f>
        <v>H</v>
      </c>
      <c r="BP100" s="42" t="str">
        <f>IF('GNI per capita'!BP100&lt;=Thresholds!$C$65,"L",IF('GNI per capita'!BP100&lt;=Thresholds!$D$65,"LM",IF('GNI per capita'!BP100&lt;=Thresholds!$E$65,"UM","H")))</f>
        <v>H</v>
      </c>
      <c r="BQ100" s="42" t="str">
        <f>IF('GNI per capita'!BQ100&lt;=Thresholds!$C$66,"L",IF('GNI per capita'!BQ100&lt;=Thresholds!$D$66,"LM",IF('GNI per capita'!BQ100&lt;=Thresholds!$E$66,"UM","H")))</f>
        <v>H</v>
      </c>
      <c r="BR100" s="42" t="str">
        <f>IF('GNI per capita'!BR100&lt;=Thresholds!$C$67,"L",IF('GNI per capita'!BR100&lt;=Thresholds!$D$67,"LM",IF('GNI per capita'!BR100&lt;=Thresholds!$E$67,"UM","H")))</f>
        <v>H</v>
      </c>
      <c r="BS100" s="42" t="str">
        <f>IF('GNI per capita'!BS100&lt;=Thresholds!$C$68,"L",IF('GNI per capita'!BS100&lt;=Thresholds!$D$68,"LM",IF('GNI per capita'!BS100&lt;=Thresholds!$E$68,"UM","H")))</f>
        <v>H</v>
      </c>
    </row>
    <row r="101" spans="1:71" x14ac:dyDescent="0.2">
      <c r="A101" s="2" t="s">
        <v>413</v>
      </c>
      <c r="B101" s="2" t="s">
        <v>414</v>
      </c>
      <c r="C101" s="11" t="s">
        <v>82</v>
      </c>
      <c r="G101" s="2" t="s">
        <v>162</v>
      </c>
      <c r="H101" s="41" t="s">
        <v>210</v>
      </c>
      <c r="I101" s="41" t="s">
        <v>210</v>
      </c>
      <c r="J101" s="41" t="s">
        <v>210</v>
      </c>
      <c r="K101" s="41" t="s">
        <v>210</v>
      </c>
      <c r="L101" s="41" t="s">
        <v>210</v>
      </c>
      <c r="M101" s="41" t="s">
        <v>210</v>
      </c>
      <c r="N101" s="41" t="s">
        <v>210</v>
      </c>
      <c r="O101" s="41" t="s">
        <v>210</v>
      </c>
      <c r="P101" s="41" t="s">
        <v>210</v>
      </c>
      <c r="Q101" s="41" t="s">
        <v>210</v>
      </c>
      <c r="R101" s="41" t="s">
        <v>210</v>
      </c>
      <c r="S101" s="41" t="s">
        <v>210</v>
      </c>
      <c r="T101" s="41" t="s">
        <v>210</v>
      </c>
      <c r="U101" s="41" t="s">
        <v>210</v>
      </c>
      <c r="V101" s="41" t="s">
        <v>210</v>
      </c>
      <c r="W101" s="41" t="s">
        <v>210</v>
      </c>
      <c r="X101" s="41" t="s">
        <v>210</v>
      </c>
      <c r="Y101" s="41" t="s">
        <v>210</v>
      </c>
      <c r="Z101" s="41" t="s">
        <v>210</v>
      </c>
      <c r="AA101" s="41" t="s">
        <v>210</v>
      </c>
      <c r="AB101" s="41" t="s">
        <v>82</v>
      </c>
      <c r="AC101" s="41" t="s">
        <v>82</v>
      </c>
      <c r="AD101" s="41" t="s">
        <v>82</v>
      </c>
      <c r="AE101" s="41" t="s">
        <v>82</v>
      </c>
      <c r="AF101" s="41" t="s">
        <v>82</v>
      </c>
      <c r="AG101" s="41" t="s">
        <v>82</v>
      </c>
      <c r="AH101" s="41" t="s">
        <v>82</v>
      </c>
      <c r="AI101" s="41" t="s">
        <v>82</v>
      </c>
      <c r="AJ101" s="41" t="s">
        <v>82</v>
      </c>
      <c r="AK101" s="41" t="s">
        <v>82</v>
      </c>
      <c r="AL101" s="41" t="s">
        <v>82</v>
      </c>
      <c r="AM101" s="41" t="s">
        <v>82</v>
      </c>
      <c r="AN101" s="41" t="s">
        <v>82</v>
      </c>
      <c r="AO101" s="41" t="s">
        <v>82</v>
      </c>
      <c r="AP101" s="41" t="s">
        <v>82</v>
      </c>
      <c r="AQ101" s="41" t="s">
        <v>82</v>
      </c>
      <c r="AR101" s="41" t="s">
        <v>82</v>
      </c>
      <c r="AS101" s="41" t="s">
        <v>82</v>
      </c>
      <c r="AT101" s="41" t="s">
        <v>82</v>
      </c>
      <c r="AU101" s="42" t="str">
        <f>IF('GNI per capita'!AU101&lt;=Thresholds!$C$44,"L",IF('GNI per capita'!AU101&lt;=Thresholds!$D$44,"LM",IF('GNI per capita'!AU101&lt;=Thresholds!$E$44,"UM","H")))</f>
        <v>UM</v>
      </c>
      <c r="AV101" s="42" t="str">
        <f>IF('GNI per capita'!AV101&lt;=Thresholds!$C$45,"L",IF('GNI per capita'!AV101&lt;=Thresholds!$D$45,"LM",IF('GNI per capita'!AV101&lt;=Thresholds!$E$45,"UM","H")))</f>
        <v>UM</v>
      </c>
      <c r="AW101" s="42" t="str">
        <f>IF('GNI per capita'!AW101&lt;=Thresholds!$C$46,"L",IF('GNI per capita'!AW101&lt;=Thresholds!$D$46,"LM",IF('GNI per capita'!AW101&lt;=Thresholds!$E$46,"UM","H")))</f>
        <v>UM</v>
      </c>
      <c r="AX101" s="42" t="str">
        <f>IF('GNI per capita'!AX101&lt;=Thresholds!$C$47,"L",IF('GNI per capita'!AX101&lt;=Thresholds!$D$47,"LM",IF('GNI per capita'!AX101&lt;=Thresholds!$E$47,"UM","H")))</f>
        <v>UM</v>
      </c>
      <c r="AY101" s="42" t="str">
        <f>IF('GNI per capita'!AY101&lt;=Thresholds!$C$48,"L",IF('GNI per capita'!AY101&lt;=Thresholds!$D$48,"LM",IF('GNI per capita'!AY101&lt;=Thresholds!$E$48,"UM","H")))</f>
        <v>UM</v>
      </c>
      <c r="AZ101" s="42" t="str">
        <f>IF('GNI per capita'!AZ101&lt;=Thresholds!$C$49,"L",IF('GNI per capita'!AZ101&lt;=Thresholds!$D$49,"LM",IF('GNI per capita'!AZ101&lt;=Thresholds!$E$49,"UM","H")))</f>
        <v>UM</v>
      </c>
      <c r="BA101" s="42" t="str">
        <f>IF('GNI per capita'!BA101&lt;=Thresholds!$C$50,"L",IF('GNI per capita'!BA101&lt;=Thresholds!$D$50,"LM",IF('GNI per capita'!BA101&lt;=Thresholds!$E$50,"UM","H")))</f>
        <v>UM</v>
      </c>
      <c r="BB101" s="42" t="str">
        <f>IF('GNI per capita'!BB101&lt;=Thresholds!$C$51,"L",IF('GNI per capita'!BB101&lt;=Thresholds!$D$51,"LM",IF('GNI per capita'!BB101&lt;=Thresholds!$E$51,"UM","H")))</f>
        <v>UM</v>
      </c>
      <c r="BC101" s="42" t="str">
        <f>IF('GNI per capita'!BC101&lt;=Thresholds!$C$52,"L",IF('GNI per capita'!BC101&lt;=Thresholds!$D$52,"LM",IF('GNI per capita'!BC101&lt;=Thresholds!$E$52,"UM","H")))</f>
        <v>UM</v>
      </c>
      <c r="BD101" s="42" t="str">
        <f>IF('GNI per capita'!BD101&lt;=Thresholds!$C$53,"L",IF('GNI per capita'!BD101&lt;=Thresholds!$D$53,"LM",IF('GNI per capita'!BD101&lt;=Thresholds!$E$53,"UM","H")))</f>
        <v>UM</v>
      </c>
      <c r="BE101" s="42" t="str">
        <f>IF('GNI per capita'!BE101&lt;=Thresholds!$C$54,"L",IF('GNI per capita'!BE101&lt;=Thresholds!$D$54,"LM",IF('GNI per capita'!BE101&lt;=Thresholds!$E$54,"UM","H")))</f>
        <v>UM</v>
      </c>
      <c r="BF101" s="42" t="str">
        <f>IF('GNI per capita'!BF101&lt;=Thresholds!$C$55,"L",IF('GNI per capita'!BF101&lt;=Thresholds!$D$55,"LM",IF('GNI per capita'!BF101&lt;=Thresholds!$E$55,"UM","H")))</f>
        <v>UM</v>
      </c>
      <c r="BG101" s="42" t="str">
        <f>IF('GNI per capita'!BG101&lt;=Thresholds!$C$56,"L",IF('GNI per capita'!BG101&lt;=Thresholds!$D$56,"LM",IF('GNI per capita'!BG101&lt;=Thresholds!$E$56,"UM","H")))</f>
        <v>UM</v>
      </c>
      <c r="BH101" s="42" t="str">
        <f>IF('GNI per capita'!BH101&lt;=Thresholds!$C$57,"L",IF('GNI per capita'!BH101&lt;=Thresholds!$D$57,"LM",IF('GNI per capita'!BH101&lt;=Thresholds!$E$57,"UM","H")))</f>
        <v>H</v>
      </c>
      <c r="BI101" s="42" t="str">
        <f>IF('GNI per capita'!BI101&lt;=Thresholds!$C$58,"L",IF('GNI per capita'!BI101&lt;=Thresholds!$D$58,"LM",IF('GNI per capita'!BI101&lt;=Thresholds!$E$58,"UM","H")))</f>
        <v>H</v>
      </c>
      <c r="BJ101" s="42" t="str">
        <f>IF('GNI per capita'!BJ101&lt;=Thresholds!$C$59,"L",IF('GNI per capita'!BJ101&lt;=Thresholds!$D$59,"LM",IF('GNI per capita'!BJ101&lt;=Thresholds!$E$59,"UM","H")))</f>
        <v>H</v>
      </c>
      <c r="BK101" s="42" t="str">
        <f>IF('GNI per capita'!BK101&lt;=Thresholds!$C$60,"L",IF('GNI per capita'!BK101&lt;=Thresholds!$D$60,"LM",IF('GNI per capita'!BK101&lt;=Thresholds!$E$60,"UM","H")))</f>
        <v>H</v>
      </c>
      <c r="BL101" s="42" t="str">
        <f>IF('GNI per capita'!BL101&lt;=Thresholds!$C$61,"L",IF('GNI per capita'!BL101&lt;=Thresholds!$D$61,"LM",IF('GNI per capita'!BL101&lt;=Thresholds!$E$61,"UM","H")))</f>
        <v>H</v>
      </c>
      <c r="BM101" s="42" t="str">
        <f>IF('GNI per capita'!BM101&lt;=Thresholds!$C$62,"L",IF('GNI per capita'!BM101&lt;=Thresholds!$D$62,"LM",IF('GNI per capita'!BM101&lt;=Thresholds!$E$62,"UM","H")))</f>
        <v>H</v>
      </c>
      <c r="BN101" s="42" t="str">
        <f>IF('GNI per capita'!BN101&lt;=Thresholds!$C$63,"L",IF('GNI per capita'!BN101&lt;=Thresholds!$D$63,"LM",IF('GNI per capita'!BN101&lt;=Thresholds!$E$63,"UM","H")))</f>
        <v>H</v>
      </c>
      <c r="BO101" s="42" t="str">
        <f>IF('GNI per capita'!BO101&lt;=Thresholds!$C$64,"L",IF('GNI per capita'!BO101&lt;=Thresholds!$D$64,"LM",IF('GNI per capita'!BO101&lt;=Thresholds!$E$64,"UM","H")))</f>
        <v>H</v>
      </c>
      <c r="BP101" s="42" t="str">
        <f>IF('GNI per capita'!BP101&lt;=Thresholds!$C$65,"L",IF('GNI per capita'!BP101&lt;=Thresholds!$D$65,"LM",IF('GNI per capita'!BP101&lt;=Thresholds!$E$65,"UM","H")))</f>
        <v>H</v>
      </c>
      <c r="BQ101" s="42" t="str">
        <f>IF('GNI per capita'!BQ101&lt;=Thresholds!$C$66,"L",IF('GNI per capita'!BQ101&lt;=Thresholds!$D$66,"LM",IF('GNI per capita'!BQ101&lt;=Thresholds!$E$66,"UM","H")))</f>
        <v>H</v>
      </c>
      <c r="BR101" s="42" t="str">
        <f>IF('GNI per capita'!BR101&lt;=Thresholds!$C$67,"L",IF('GNI per capita'!BR101&lt;=Thresholds!$D$67,"LM",IF('GNI per capita'!BR101&lt;=Thresholds!$E$67,"UM","H")))</f>
        <v>H</v>
      </c>
      <c r="BS101" s="42" t="str">
        <f>IF('GNI per capita'!BS101&lt;=Thresholds!$C$68,"L",IF('GNI per capita'!BS101&lt;=Thresholds!$D$68,"LM",IF('GNI per capita'!BS101&lt;=Thresholds!$E$68,"UM","H")))</f>
        <v>H</v>
      </c>
    </row>
    <row r="102" spans="1:71" x14ac:dyDescent="0.2">
      <c r="A102" s="2" t="s">
        <v>415</v>
      </c>
      <c r="B102" s="2" t="s">
        <v>416</v>
      </c>
      <c r="C102" s="11" t="s">
        <v>79</v>
      </c>
      <c r="G102" s="2" t="s">
        <v>417</v>
      </c>
      <c r="H102" s="41" t="s">
        <v>79</v>
      </c>
      <c r="I102" s="41" t="s">
        <v>79</v>
      </c>
      <c r="J102" s="41" t="s">
        <v>79</v>
      </c>
      <c r="K102" s="41" t="s">
        <v>79</v>
      </c>
      <c r="L102" s="41" t="s">
        <v>79</v>
      </c>
      <c r="M102" s="41" t="s">
        <v>79</v>
      </c>
      <c r="N102" s="41" t="s">
        <v>79</v>
      </c>
      <c r="O102" s="41" t="s">
        <v>79</v>
      </c>
      <c r="P102" s="41" t="s">
        <v>79</v>
      </c>
      <c r="Q102" s="41" t="s">
        <v>79</v>
      </c>
      <c r="R102" s="41" t="s">
        <v>79</v>
      </c>
      <c r="S102" s="41" t="s">
        <v>79</v>
      </c>
      <c r="T102" s="41" t="s">
        <v>79</v>
      </c>
      <c r="U102" s="41" t="s">
        <v>79</v>
      </c>
      <c r="V102" s="41" t="s">
        <v>79</v>
      </c>
      <c r="W102" s="41" t="s">
        <v>79</v>
      </c>
      <c r="X102" s="41" t="s">
        <v>79</v>
      </c>
      <c r="Y102" s="41" t="s">
        <v>79</v>
      </c>
      <c r="Z102" s="41" t="s">
        <v>79</v>
      </c>
      <c r="AA102" s="41" t="s">
        <v>79</v>
      </c>
      <c r="AB102" s="41" t="s">
        <v>79</v>
      </c>
      <c r="AC102" s="41" t="s">
        <v>79</v>
      </c>
      <c r="AD102" s="41" t="s">
        <v>79</v>
      </c>
      <c r="AE102" s="41" t="s">
        <v>79</v>
      </c>
      <c r="AF102" s="41" t="s">
        <v>79</v>
      </c>
      <c r="AG102" s="41" t="s">
        <v>79</v>
      </c>
      <c r="AH102" s="41" t="s">
        <v>79</v>
      </c>
      <c r="AI102" s="41" t="s">
        <v>79</v>
      </c>
      <c r="AJ102" s="41" t="s">
        <v>79</v>
      </c>
      <c r="AK102" s="41" t="s">
        <v>79</v>
      </c>
      <c r="AL102" s="41" t="s">
        <v>79</v>
      </c>
      <c r="AM102" s="41" t="s">
        <v>79</v>
      </c>
      <c r="AN102" s="41" t="s">
        <v>79</v>
      </c>
      <c r="AO102" s="41" t="s">
        <v>79</v>
      </c>
      <c r="AP102" s="41" t="s">
        <v>79</v>
      </c>
      <c r="AQ102" s="41" t="s">
        <v>79</v>
      </c>
      <c r="AR102" s="41" t="s">
        <v>79</v>
      </c>
      <c r="AS102" s="41" t="s">
        <v>79</v>
      </c>
      <c r="AT102" s="41" t="s">
        <v>79</v>
      </c>
      <c r="AU102" s="42" t="str">
        <f>IF('GNI per capita'!AU102&lt;=Thresholds!$C$44,"L",IF('GNI per capita'!AU102&lt;=Thresholds!$D$44,"LM",IF('GNI per capita'!AU102&lt;=Thresholds!$E$44,"UM","H")))</f>
        <v>H</v>
      </c>
      <c r="AV102" s="42" t="str">
        <f>IF('GNI per capita'!AV102&lt;=Thresholds!$C$45,"L",IF('GNI per capita'!AV102&lt;=Thresholds!$D$45,"LM",IF('GNI per capita'!AV102&lt;=Thresholds!$E$45,"UM","H")))</f>
        <v>H</v>
      </c>
      <c r="AW102" s="42" t="str">
        <f>IF('GNI per capita'!AW102&lt;=Thresholds!$C$46,"L",IF('GNI per capita'!AW102&lt;=Thresholds!$D$46,"LM",IF('GNI per capita'!AW102&lt;=Thresholds!$E$46,"UM","H")))</f>
        <v>H</v>
      </c>
      <c r="AX102" s="42" t="str">
        <f>IF('GNI per capita'!AX102&lt;=Thresholds!$C$47,"L",IF('GNI per capita'!AX102&lt;=Thresholds!$D$47,"LM",IF('GNI per capita'!AX102&lt;=Thresholds!$E$47,"UM","H")))</f>
        <v>H</v>
      </c>
      <c r="AY102" s="42" t="str">
        <f>IF('GNI per capita'!AY102&lt;=Thresholds!$C$48,"L",IF('GNI per capita'!AY102&lt;=Thresholds!$D$48,"LM",IF('GNI per capita'!AY102&lt;=Thresholds!$E$48,"UM","H")))</f>
        <v>H</v>
      </c>
      <c r="AZ102" s="42" t="str">
        <f>IF('GNI per capita'!AZ102&lt;=Thresholds!$C$49,"L",IF('GNI per capita'!AZ102&lt;=Thresholds!$D$49,"LM",IF('GNI per capita'!AZ102&lt;=Thresholds!$E$49,"UM","H")))</f>
        <v>H</v>
      </c>
      <c r="BA102" s="42" t="str">
        <f>IF('GNI per capita'!BA102&lt;=Thresholds!$C$50,"L",IF('GNI per capita'!BA102&lt;=Thresholds!$D$50,"LM",IF('GNI per capita'!BA102&lt;=Thresholds!$E$50,"UM","H")))</f>
        <v>H</v>
      </c>
      <c r="BB102" s="42" t="str">
        <f>IF('GNI per capita'!BB102&lt;=Thresholds!$C$51,"L",IF('GNI per capita'!BB102&lt;=Thresholds!$D$51,"LM",IF('GNI per capita'!BB102&lt;=Thresholds!$E$51,"UM","H")))</f>
        <v>H</v>
      </c>
      <c r="BC102" s="42" t="str">
        <f>IF('GNI per capita'!BC102&lt;=Thresholds!$C$52,"L",IF('GNI per capita'!BC102&lt;=Thresholds!$D$52,"LM",IF('GNI per capita'!BC102&lt;=Thresholds!$E$52,"UM","H")))</f>
        <v>H</v>
      </c>
      <c r="BD102" s="42" t="str">
        <f>IF('GNI per capita'!BD102&lt;=Thresholds!$C$53,"L",IF('GNI per capita'!BD102&lt;=Thresholds!$D$53,"LM",IF('GNI per capita'!BD102&lt;=Thresholds!$E$53,"UM","H")))</f>
        <v>H</v>
      </c>
      <c r="BE102" s="42" t="str">
        <f>IF('GNI per capita'!BE102&lt;=Thresholds!$C$54,"L",IF('GNI per capita'!BE102&lt;=Thresholds!$D$54,"LM",IF('GNI per capita'!BE102&lt;=Thresholds!$E$54,"UM","H")))</f>
        <v>H</v>
      </c>
      <c r="BF102" s="42" t="str">
        <f>IF('GNI per capita'!BF102&lt;=Thresholds!$C$55,"L",IF('GNI per capita'!BF102&lt;=Thresholds!$D$55,"LM",IF('GNI per capita'!BF102&lt;=Thresholds!$E$55,"UM","H")))</f>
        <v>H</v>
      </c>
      <c r="BG102" s="42" t="str">
        <f>IF('GNI per capita'!BG102&lt;=Thresholds!$C$56,"L",IF('GNI per capita'!BG102&lt;=Thresholds!$D$56,"LM",IF('GNI per capita'!BG102&lt;=Thresholds!$E$56,"UM","H")))</f>
        <v>H</v>
      </c>
      <c r="BH102" s="42" t="str">
        <f>IF('GNI per capita'!BH102&lt;=Thresholds!$C$57,"L",IF('GNI per capita'!BH102&lt;=Thresholds!$D$57,"LM",IF('GNI per capita'!BH102&lt;=Thresholds!$E$57,"UM","H")))</f>
        <v>H</v>
      </c>
      <c r="BI102" s="42" t="str">
        <f>IF('GNI per capita'!BI102&lt;=Thresholds!$C$58,"L",IF('GNI per capita'!BI102&lt;=Thresholds!$D$58,"LM",IF('GNI per capita'!BI102&lt;=Thresholds!$E$58,"UM","H")))</f>
        <v>H</v>
      </c>
      <c r="BJ102" s="42" t="str">
        <f>IF('GNI per capita'!BJ102&lt;=Thresholds!$C$59,"L",IF('GNI per capita'!BJ102&lt;=Thresholds!$D$59,"LM",IF('GNI per capita'!BJ102&lt;=Thresholds!$E$59,"UM","H")))</f>
        <v>H</v>
      </c>
      <c r="BK102" s="42" t="str">
        <f>IF('GNI per capita'!BK102&lt;=Thresholds!$C$60,"L",IF('GNI per capita'!BK102&lt;=Thresholds!$D$60,"LM",IF('GNI per capita'!BK102&lt;=Thresholds!$E$60,"UM","H")))</f>
        <v>H</v>
      </c>
      <c r="BL102" s="42" t="str">
        <f>IF('GNI per capita'!BL102&lt;=Thresholds!$C$61,"L",IF('GNI per capita'!BL102&lt;=Thresholds!$D$61,"LM",IF('GNI per capita'!BL102&lt;=Thresholds!$E$61,"UM","H")))</f>
        <v>H</v>
      </c>
      <c r="BM102" s="42" t="str">
        <f>IF('GNI per capita'!BM102&lt;=Thresholds!$C$62,"L",IF('GNI per capita'!BM102&lt;=Thresholds!$D$62,"LM",IF('GNI per capita'!BM102&lt;=Thresholds!$E$62,"UM","H")))</f>
        <v>H</v>
      </c>
      <c r="BN102" s="42" t="str">
        <f>IF('GNI per capita'!BN102&lt;=Thresholds!$C$63,"L",IF('GNI per capita'!BN102&lt;=Thresholds!$D$63,"LM",IF('GNI per capita'!BN102&lt;=Thresholds!$E$63,"UM","H")))</f>
        <v>H</v>
      </c>
      <c r="BO102" s="42" t="str">
        <f>IF('GNI per capita'!BO102&lt;=Thresholds!$C$64,"L",IF('GNI per capita'!BO102&lt;=Thresholds!$D$64,"LM",IF('GNI per capita'!BO102&lt;=Thresholds!$E$64,"UM","H")))</f>
        <v>H</v>
      </c>
      <c r="BP102" s="42" t="str">
        <f>IF('GNI per capita'!BP102&lt;=Thresholds!$C$65,"L",IF('GNI per capita'!BP102&lt;=Thresholds!$D$65,"LM",IF('GNI per capita'!BP102&lt;=Thresholds!$E$65,"UM","H")))</f>
        <v>H</v>
      </c>
      <c r="BQ102" s="42" t="str">
        <f>IF('GNI per capita'!BQ102&lt;=Thresholds!$C$66,"L",IF('GNI per capita'!BQ102&lt;=Thresholds!$D$66,"LM",IF('GNI per capita'!BQ102&lt;=Thresholds!$E$66,"UM","H")))</f>
        <v>H</v>
      </c>
      <c r="BR102" s="42" t="str">
        <f>IF('GNI per capita'!BR102&lt;=Thresholds!$C$67,"L",IF('GNI per capita'!BR102&lt;=Thresholds!$D$67,"LM",IF('GNI per capita'!BR102&lt;=Thresholds!$E$67,"UM","H")))</f>
        <v>H</v>
      </c>
      <c r="BS102" s="42" t="str">
        <f>IF('GNI per capita'!BS102&lt;=Thresholds!$C$68,"L",IF('GNI per capita'!BS102&lt;=Thresholds!$D$68,"LM",IF('GNI per capita'!BS102&lt;=Thresholds!$E$68,"UM","H")))</f>
        <v>H</v>
      </c>
    </row>
    <row r="103" spans="1:71" x14ac:dyDescent="0.2">
      <c r="A103" s="2" t="s">
        <v>418</v>
      </c>
      <c r="B103" s="2" t="s">
        <v>419</v>
      </c>
      <c r="C103" s="11" t="s">
        <v>82</v>
      </c>
      <c r="G103" s="2" t="s">
        <v>162</v>
      </c>
      <c r="H103" s="41" t="s">
        <v>210</v>
      </c>
      <c r="I103" s="41" t="s">
        <v>210</v>
      </c>
      <c r="J103" s="41" t="s">
        <v>210</v>
      </c>
      <c r="K103" s="41" t="s">
        <v>210</v>
      </c>
      <c r="L103" s="41" t="s">
        <v>210</v>
      </c>
      <c r="M103" s="41" t="s">
        <v>210</v>
      </c>
      <c r="N103" s="41" t="s">
        <v>210</v>
      </c>
      <c r="O103" s="41" t="s">
        <v>210</v>
      </c>
      <c r="P103" s="41" t="s">
        <v>210</v>
      </c>
      <c r="Q103" s="41" t="s">
        <v>210</v>
      </c>
      <c r="R103" s="41" t="s">
        <v>210</v>
      </c>
      <c r="S103" s="41" t="s">
        <v>210</v>
      </c>
      <c r="T103" s="41" t="s">
        <v>210</v>
      </c>
      <c r="U103" s="41" t="s">
        <v>210</v>
      </c>
      <c r="V103" s="41" t="s">
        <v>210</v>
      </c>
      <c r="W103" s="41" t="s">
        <v>210</v>
      </c>
      <c r="X103" s="41" t="s">
        <v>210</v>
      </c>
      <c r="Y103" s="41" t="s">
        <v>210</v>
      </c>
      <c r="Z103" s="41" t="s">
        <v>210</v>
      </c>
      <c r="AA103" s="41" t="s">
        <v>210</v>
      </c>
      <c r="AB103" s="41" t="s">
        <v>210</v>
      </c>
      <c r="AC103" s="41" t="s">
        <v>210</v>
      </c>
      <c r="AD103" s="41" t="s">
        <v>210</v>
      </c>
      <c r="AE103" s="41" t="s">
        <v>82</v>
      </c>
      <c r="AF103" s="41" t="s">
        <v>82</v>
      </c>
      <c r="AG103" s="41" t="s">
        <v>82</v>
      </c>
      <c r="AH103" s="41" t="s">
        <v>82</v>
      </c>
      <c r="AI103" s="41" t="s">
        <v>82</v>
      </c>
      <c r="AJ103" s="41" t="s">
        <v>82</v>
      </c>
      <c r="AK103" s="41" t="s">
        <v>210</v>
      </c>
      <c r="AL103" s="41" t="s">
        <v>82</v>
      </c>
      <c r="AM103" s="41" t="s">
        <v>82</v>
      </c>
      <c r="AN103" s="41" t="s">
        <v>82</v>
      </c>
      <c r="AO103" s="41" t="s">
        <v>82</v>
      </c>
      <c r="AP103" s="41" t="s">
        <v>82</v>
      </c>
      <c r="AQ103" s="41" t="s">
        <v>210</v>
      </c>
      <c r="AR103" s="41" t="s">
        <v>210</v>
      </c>
      <c r="AS103" s="41" t="s">
        <v>210</v>
      </c>
      <c r="AT103" s="41" t="s">
        <v>82</v>
      </c>
      <c r="AU103" s="42" t="str">
        <f>IF('GNI per capita'!AU103&lt;=Thresholds!$C$44,"L",IF('GNI per capita'!AU103&lt;=Thresholds!$D$44,"LM",IF('GNI per capita'!AU103&lt;=Thresholds!$E$44,"UM","H")))</f>
        <v>UM</v>
      </c>
      <c r="AV103" s="42" t="str">
        <f>IF('GNI per capita'!AV103&lt;=Thresholds!$C$45,"L",IF('GNI per capita'!AV103&lt;=Thresholds!$D$45,"LM",IF('GNI per capita'!AV103&lt;=Thresholds!$E$45,"UM","H")))</f>
        <v>UM</v>
      </c>
      <c r="AW103" s="42" t="str">
        <f>IF('GNI per capita'!AW103&lt;=Thresholds!$C$46,"L",IF('GNI per capita'!AW103&lt;=Thresholds!$D$46,"LM",IF('GNI per capita'!AW103&lt;=Thresholds!$E$46,"UM","H")))</f>
        <v>UM</v>
      </c>
      <c r="AX103" s="42" t="str">
        <f>IF('GNI per capita'!AX103&lt;=Thresholds!$C$47,"L",IF('GNI per capita'!AX103&lt;=Thresholds!$D$47,"LM",IF('GNI per capita'!AX103&lt;=Thresholds!$E$47,"UM","H")))</f>
        <v>UM</v>
      </c>
      <c r="AY103" s="42" t="str">
        <f>IF('GNI per capita'!AY103&lt;=Thresholds!$C$48,"L",IF('GNI per capita'!AY103&lt;=Thresholds!$D$48,"LM",IF('GNI per capita'!AY103&lt;=Thresholds!$E$48,"UM","H")))</f>
        <v>UM</v>
      </c>
      <c r="AZ103" s="42" t="str">
        <f>IF('GNI per capita'!AZ103&lt;=Thresholds!$C$49,"L",IF('GNI per capita'!AZ103&lt;=Thresholds!$D$49,"LM",IF('GNI per capita'!AZ103&lt;=Thresholds!$E$49,"UM","H")))</f>
        <v>UM</v>
      </c>
      <c r="BA103" s="42" t="str">
        <f>IF('GNI per capita'!BA103&lt;=Thresholds!$C$50,"L",IF('GNI per capita'!BA103&lt;=Thresholds!$D$50,"LM",IF('GNI per capita'!BA103&lt;=Thresholds!$E$50,"UM","H")))</f>
        <v>UM</v>
      </c>
      <c r="BB103" s="42" t="str">
        <f>IF('GNI per capita'!BB103&lt;=Thresholds!$C$51,"L",IF('GNI per capita'!BB103&lt;=Thresholds!$D$51,"LM",IF('GNI per capita'!BB103&lt;=Thresholds!$E$51,"UM","H")))</f>
        <v>UM</v>
      </c>
      <c r="BC103" s="42" t="str">
        <f>IF('GNI per capita'!BC103&lt;=Thresholds!$C$52,"L",IF('GNI per capita'!BC103&lt;=Thresholds!$D$52,"LM",IF('GNI per capita'!BC103&lt;=Thresholds!$E$52,"UM","H")))</f>
        <v>UM</v>
      </c>
      <c r="BD103" s="42" t="str">
        <f>IF('GNI per capita'!BD103&lt;=Thresholds!$C$53,"L",IF('GNI per capita'!BD103&lt;=Thresholds!$D$53,"LM",IF('GNI per capita'!BD103&lt;=Thresholds!$E$53,"UM","H")))</f>
        <v>UM</v>
      </c>
      <c r="BE103" s="42" t="str">
        <f>IF('GNI per capita'!BE103&lt;=Thresholds!$C$54,"L",IF('GNI per capita'!BE103&lt;=Thresholds!$D$54,"LM",IF('GNI per capita'!BE103&lt;=Thresholds!$E$54,"UM","H")))</f>
        <v>UM</v>
      </c>
      <c r="BF103" s="42" t="str">
        <f>IF('GNI per capita'!BF103&lt;=Thresholds!$C$55,"L",IF('GNI per capita'!BF103&lt;=Thresholds!$D$55,"LM",IF('GNI per capita'!BF103&lt;=Thresholds!$E$55,"UM","H")))</f>
        <v>UM</v>
      </c>
      <c r="BG103" s="42" t="str">
        <f>IF('GNI per capita'!BG103&lt;=Thresholds!$C$56,"L",IF('GNI per capita'!BG103&lt;=Thresholds!$D$56,"LM",IF('GNI per capita'!BG103&lt;=Thresholds!$E$56,"UM","H")))</f>
        <v>UM</v>
      </c>
      <c r="BH103" s="42" t="str">
        <f>IF('GNI per capita'!BH103&lt;=Thresholds!$C$57,"L",IF('GNI per capita'!BH103&lt;=Thresholds!$D$57,"LM",IF('GNI per capita'!BH103&lt;=Thresholds!$E$57,"UM","H")))</f>
        <v>UM</v>
      </c>
      <c r="BI103" s="42" t="str">
        <f>IF('GNI per capita'!BI103&lt;=Thresholds!$C$58,"L",IF('GNI per capita'!BI103&lt;=Thresholds!$D$58,"LM",IF('GNI per capita'!BI103&lt;=Thresholds!$E$58,"UM","H")))</f>
        <v>UM</v>
      </c>
      <c r="BJ103" s="42" t="str">
        <f>IF('GNI per capita'!BJ103&lt;=Thresholds!$C$59,"L",IF('GNI per capita'!BJ103&lt;=Thresholds!$D$59,"LM",IF('GNI per capita'!BJ103&lt;=Thresholds!$E$59,"UM","H")))</f>
        <v>UM</v>
      </c>
      <c r="BK103" s="42" t="str">
        <f>IF('GNI per capita'!BK103&lt;=Thresholds!$C$60,"L",IF('GNI per capita'!BK103&lt;=Thresholds!$D$60,"LM",IF('GNI per capita'!BK103&lt;=Thresholds!$E$60,"UM","H")))</f>
        <v>UM</v>
      </c>
      <c r="BL103" s="42" t="str">
        <f>IF('GNI per capita'!BL103&lt;=Thresholds!$C$61,"L",IF('GNI per capita'!BL103&lt;=Thresholds!$D$61,"LM",IF('GNI per capita'!BL103&lt;=Thresholds!$E$61,"UM","H")))</f>
        <v>UM</v>
      </c>
      <c r="BM103" s="42" t="str">
        <f>IF('GNI per capita'!BM103&lt;=Thresholds!$C$62,"L",IF('GNI per capita'!BM103&lt;=Thresholds!$D$62,"LM",IF('GNI per capita'!BM103&lt;=Thresholds!$E$62,"UM","H")))</f>
        <v>UM</v>
      </c>
      <c r="BN103" s="42" t="str">
        <f>IF('GNI per capita'!BN103&lt;=Thresholds!$C$63,"L",IF('GNI per capita'!BN103&lt;=Thresholds!$D$63,"LM",IF('GNI per capita'!BN103&lt;=Thresholds!$E$63,"UM","H")))</f>
        <v>UM</v>
      </c>
      <c r="BO103" s="42" t="str">
        <f>IF('GNI per capita'!BO103&lt;=Thresholds!$C$64,"L",IF('GNI per capita'!BO103&lt;=Thresholds!$D$64,"LM",IF('GNI per capita'!BO103&lt;=Thresholds!$E$64,"UM","H")))</f>
        <v>UM</v>
      </c>
      <c r="BP103" s="42" t="str">
        <f>IF('GNI per capita'!BP103&lt;=Thresholds!$C$65,"L",IF('GNI per capita'!BP103&lt;=Thresholds!$D$65,"LM",IF('GNI per capita'!BP103&lt;=Thresholds!$E$65,"UM","H")))</f>
        <v>UM</v>
      </c>
      <c r="BQ103" s="42" t="str">
        <f>IF('GNI per capita'!BQ103&lt;=Thresholds!$C$66,"L",IF('GNI per capita'!BQ103&lt;=Thresholds!$D$66,"LM",IF('GNI per capita'!BQ103&lt;=Thresholds!$E$66,"UM","H")))</f>
        <v>UM</v>
      </c>
      <c r="BR103" s="42" t="str">
        <f>IF('GNI per capita'!BR103&lt;=Thresholds!$C$67,"L",IF('GNI per capita'!BR103&lt;=Thresholds!$D$67,"LM",IF('GNI per capita'!BR103&lt;=Thresholds!$E$67,"UM","H")))</f>
        <v>UM</v>
      </c>
      <c r="BS103" s="42" t="str">
        <f>IF('GNI per capita'!BS103&lt;=Thresholds!$C$68,"L",IF('GNI per capita'!BS103&lt;=Thresholds!$D$68,"LM",IF('GNI per capita'!BS103&lt;=Thresholds!$E$68,"UM","H")))</f>
        <v>UM</v>
      </c>
    </row>
    <row r="104" spans="1:71" x14ac:dyDescent="0.2">
      <c r="A104" s="2" t="s">
        <v>420</v>
      </c>
      <c r="B104" s="2" t="s">
        <v>421</v>
      </c>
      <c r="C104" s="11" t="s">
        <v>82</v>
      </c>
      <c r="G104" s="2" t="s">
        <v>162</v>
      </c>
      <c r="H104" s="41"/>
      <c r="I104" s="41"/>
      <c r="J104" s="41"/>
      <c r="K104" s="41"/>
      <c r="L104" s="41" t="s">
        <v>210</v>
      </c>
      <c r="M104" s="41" t="s">
        <v>210</v>
      </c>
      <c r="N104" s="41" t="s">
        <v>210</v>
      </c>
      <c r="O104" s="41" t="s">
        <v>210</v>
      </c>
      <c r="P104" s="41" t="s">
        <v>210</v>
      </c>
      <c r="Q104" s="41" t="s">
        <v>210</v>
      </c>
      <c r="R104" s="41" t="s">
        <v>210</v>
      </c>
      <c r="S104" s="41" t="s">
        <v>210</v>
      </c>
      <c r="T104" s="41" t="s">
        <v>210</v>
      </c>
      <c r="U104" s="41" t="s">
        <v>210</v>
      </c>
      <c r="V104" s="41" t="s">
        <v>210</v>
      </c>
      <c r="W104" s="41" t="s">
        <v>210</v>
      </c>
      <c r="X104" s="41" t="s">
        <v>210</v>
      </c>
      <c r="Y104" s="41" t="s">
        <v>210</v>
      </c>
      <c r="Z104" s="41" t="s">
        <v>210</v>
      </c>
      <c r="AA104" s="41" t="s">
        <v>82</v>
      </c>
      <c r="AB104" s="41" t="s">
        <v>82</v>
      </c>
      <c r="AC104" s="41" t="s">
        <v>82</v>
      </c>
      <c r="AD104" s="41" t="s">
        <v>82</v>
      </c>
      <c r="AE104" s="41" t="s">
        <v>82</v>
      </c>
      <c r="AF104" s="41" t="s">
        <v>82</v>
      </c>
      <c r="AG104" s="41" t="s">
        <v>82</v>
      </c>
      <c r="AH104" s="41" t="s">
        <v>82</v>
      </c>
      <c r="AI104" s="41" t="s">
        <v>82</v>
      </c>
      <c r="AJ104" s="41" t="s">
        <v>82</v>
      </c>
      <c r="AK104" s="41" t="s">
        <v>82</v>
      </c>
      <c r="AL104" s="41" t="s">
        <v>82</v>
      </c>
      <c r="AM104" s="41" t="s">
        <v>82</v>
      </c>
      <c r="AN104" s="41" t="s">
        <v>82</v>
      </c>
      <c r="AO104" s="41" t="s">
        <v>82</v>
      </c>
      <c r="AP104" s="41" t="s">
        <v>82</v>
      </c>
      <c r="AQ104" s="41" t="s">
        <v>82</v>
      </c>
      <c r="AR104" s="41" t="s">
        <v>82</v>
      </c>
      <c r="AS104" s="41" t="s">
        <v>82</v>
      </c>
      <c r="AT104" s="41" t="s">
        <v>82</v>
      </c>
      <c r="AU104" s="42" t="str">
        <f>IF('GNI per capita'!AU104&lt;=Thresholds!$C$44,"L",IF('GNI per capita'!AU104&lt;=Thresholds!$D$44,"LM",IF('GNI per capita'!AU104&lt;=Thresholds!$E$44,"UM","H")))</f>
        <v>UM</v>
      </c>
      <c r="AV104" s="42" t="str">
        <f>IF('GNI per capita'!AV104&lt;=Thresholds!$C$45,"L",IF('GNI per capita'!AV104&lt;=Thresholds!$D$45,"LM",IF('GNI per capita'!AV104&lt;=Thresholds!$E$45,"UM","H")))</f>
        <v>H</v>
      </c>
      <c r="AW104" s="42" t="str">
        <f>IF('GNI per capita'!AW104&lt;=Thresholds!$C$46,"L",IF('GNI per capita'!AW104&lt;=Thresholds!$D$46,"LM",IF('GNI per capita'!AW104&lt;=Thresholds!$E$46,"UM","H")))</f>
        <v>H</v>
      </c>
      <c r="AX104" s="42" t="str">
        <f>IF('GNI per capita'!AX104&lt;=Thresholds!$C$47,"L",IF('GNI per capita'!AX104&lt;=Thresholds!$D$47,"LM",IF('GNI per capita'!AX104&lt;=Thresholds!$E$47,"UM","H")))</f>
        <v>H</v>
      </c>
      <c r="AY104" s="42" t="str">
        <f>IF('GNI per capita'!AY104&lt;=Thresholds!$C$48,"L",IF('GNI per capita'!AY104&lt;=Thresholds!$D$48,"LM",IF('GNI per capita'!AY104&lt;=Thresholds!$E$48,"UM","H")))</f>
        <v>H</v>
      </c>
      <c r="AZ104" s="42" t="str">
        <f>IF('GNI per capita'!AZ104&lt;=Thresholds!$C$49,"L",IF('GNI per capita'!AZ104&lt;=Thresholds!$D$49,"LM",IF('GNI per capita'!AZ104&lt;=Thresholds!$E$49,"UM","H")))</f>
        <v>H</v>
      </c>
      <c r="BA104" s="42" t="str">
        <f>IF('GNI per capita'!BA104&lt;=Thresholds!$C$50,"L",IF('GNI per capita'!BA104&lt;=Thresholds!$D$50,"LM",IF('GNI per capita'!BA104&lt;=Thresholds!$E$50,"UM","H")))</f>
        <v>H</v>
      </c>
      <c r="BB104" s="42" t="str">
        <f>IF('GNI per capita'!BB104&lt;=Thresholds!$C$51,"L",IF('GNI per capita'!BB104&lt;=Thresholds!$D$51,"LM",IF('GNI per capita'!BB104&lt;=Thresholds!$E$51,"UM","H")))</f>
        <v>H</v>
      </c>
      <c r="BC104" s="42" t="str">
        <f>IF('GNI per capita'!BC104&lt;=Thresholds!$C$52,"L",IF('GNI per capita'!BC104&lt;=Thresholds!$D$52,"LM",IF('GNI per capita'!BC104&lt;=Thresholds!$E$52,"UM","H")))</f>
        <v>H</v>
      </c>
      <c r="BD104" s="42" t="str">
        <f>IF('GNI per capita'!BD104&lt;=Thresholds!$C$53,"L",IF('GNI per capita'!BD104&lt;=Thresholds!$D$53,"LM",IF('GNI per capita'!BD104&lt;=Thresholds!$E$53,"UM","H")))</f>
        <v>H</v>
      </c>
      <c r="BE104" s="42" t="str">
        <f>IF('GNI per capita'!BE104&lt;=Thresholds!$C$54,"L",IF('GNI per capita'!BE104&lt;=Thresholds!$D$54,"LM",IF('GNI per capita'!BE104&lt;=Thresholds!$E$54,"UM","H")))</f>
        <v>H</v>
      </c>
      <c r="BF104" s="42" t="str">
        <f>IF('GNI per capita'!BF104&lt;=Thresholds!$C$55,"L",IF('GNI per capita'!BF104&lt;=Thresholds!$D$55,"LM",IF('GNI per capita'!BF104&lt;=Thresholds!$E$55,"UM","H")))</f>
        <v>H</v>
      </c>
      <c r="BG104" s="42" t="str">
        <f>IF('GNI per capita'!BG104&lt;=Thresholds!$C$56,"L",IF('GNI per capita'!BG104&lt;=Thresholds!$D$56,"LM",IF('GNI per capita'!BG104&lt;=Thresholds!$E$56,"UM","H")))</f>
        <v>H</v>
      </c>
      <c r="BH104" s="42" t="str">
        <f>IF('GNI per capita'!BH104&lt;=Thresholds!$C$57,"L",IF('GNI per capita'!BH104&lt;=Thresholds!$D$57,"LM",IF('GNI per capita'!BH104&lt;=Thresholds!$E$57,"UM","H")))</f>
        <v>H</v>
      </c>
      <c r="BI104" s="42" t="str">
        <f>IF('GNI per capita'!BI104&lt;=Thresholds!$C$58,"L",IF('GNI per capita'!BI104&lt;=Thresholds!$D$58,"LM",IF('GNI per capita'!BI104&lt;=Thresholds!$E$58,"UM","H")))</f>
        <v>H</v>
      </c>
      <c r="BJ104" s="42" t="str">
        <f>IF('GNI per capita'!BJ104&lt;=Thresholds!$C$59,"L",IF('GNI per capita'!BJ104&lt;=Thresholds!$D$59,"LM",IF('GNI per capita'!BJ104&lt;=Thresholds!$E$59,"UM","H")))</f>
        <v>H</v>
      </c>
      <c r="BK104" s="42" t="str">
        <f>IF('GNI per capita'!BK104&lt;=Thresholds!$C$60,"L",IF('GNI per capita'!BK104&lt;=Thresholds!$D$60,"LM",IF('GNI per capita'!BK104&lt;=Thresholds!$E$60,"UM","H")))</f>
        <v>H</v>
      </c>
      <c r="BL104" s="42" t="str">
        <f>IF('GNI per capita'!BL104&lt;=Thresholds!$C$61,"L",IF('GNI per capita'!BL104&lt;=Thresholds!$D$61,"LM",IF('GNI per capita'!BL104&lt;=Thresholds!$E$61,"UM","H")))</f>
        <v>H</v>
      </c>
      <c r="BM104" s="42" t="str">
        <f>IF('GNI per capita'!BM104&lt;=Thresholds!$C$62,"L",IF('GNI per capita'!BM104&lt;=Thresholds!$D$62,"LM",IF('GNI per capita'!BM104&lt;=Thresholds!$E$62,"UM","H")))</f>
        <v>H</v>
      </c>
      <c r="BN104" s="42" t="str">
        <f>IF('GNI per capita'!BN104&lt;=Thresholds!$C$63,"L",IF('GNI per capita'!BN104&lt;=Thresholds!$D$63,"LM",IF('GNI per capita'!BN104&lt;=Thresholds!$E$63,"UM","H")))</f>
        <v>H</v>
      </c>
      <c r="BO104" s="42" t="str">
        <f>IF('GNI per capita'!BO104&lt;=Thresholds!$C$64,"L",IF('GNI per capita'!BO104&lt;=Thresholds!$D$64,"LM",IF('GNI per capita'!BO104&lt;=Thresholds!$E$64,"UM","H")))</f>
        <v>H</v>
      </c>
      <c r="BP104" s="42" t="str">
        <f>IF('GNI per capita'!BP104&lt;=Thresholds!$C$65,"L",IF('GNI per capita'!BP104&lt;=Thresholds!$D$65,"LM",IF('GNI per capita'!BP104&lt;=Thresholds!$E$65,"UM","H")))</f>
        <v>H</v>
      </c>
      <c r="BQ104" s="42" t="str">
        <f>IF('GNI per capita'!BQ104&lt;=Thresholds!$C$66,"L",IF('GNI per capita'!BQ104&lt;=Thresholds!$D$66,"LM",IF('GNI per capita'!BQ104&lt;=Thresholds!$E$66,"UM","H")))</f>
        <v>H</v>
      </c>
      <c r="BR104" s="42" t="str">
        <f>IF('GNI per capita'!BR104&lt;=Thresholds!$C$67,"L",IF('GNI per capita'!BR104&lt;=Thresholds!$D$67,"LM",IF('GNI per capita'!BR104&lt;=Thresholds!$E$67,"UM","H")))</f>
        <v>H</v>
      </c>
      <c r="BS104" s="42" t="str">
        <f>IF('GNI per capita'!BS104&lt;=Thresholds!$C$68,"L",IF('GNI per capita'!BS104&lt;=Thresholds!$D$68,"LM",IF('GNI per capita'!BS104&lt;=Thresholds!$E$68,"UM","H")))</f>
        <v>H</v>
      </c>
    </row>
    <row r="105" spans="1:71" x14ac:dyDescent="0.2">
      <c r="A105" s="2" t="s">
        <v>422</v>
      </c>
      <c r="B105" s="2" t="s">
        <v>423</v>
      </c>
      <c r="C105" s="11" t="s">
        <v>210</v>
      </c>
      <c r="G105" s="2" t="s">
        <v>162</v>
      </c>
      <c r="H105" s="41" t="s">
        <v>75</v>
      </c>
      <c r="I105" s="41" t="s">
        <v>75</v>
      </c>
      <c r="J105" s="41" t="s">
        <v>75</v>
      </c>
      <c r="K105" s="41" t="s">
        <v>75</v>
      </c>
      <c r="L105" s="41" t="s">
        <v>75</v>
      </c>
      <c r="M105" s="41" t="s">
        <v>75</v>
      </c>
      <c r="N105" s="41" t="s">
        <v>75</v>
      </c>
      <c r="O105" s="41" t="s">
        <v>75</v>
      </c>
      <c r="P105" s="41" t="s">
        <v>75</v>
      </c>
      <c r="Q105" s="41" t="s">
        <v>75</v>
      </c>
      <c r="R105" s="41" t="s">
        <v>75</v>
      </c>
      <c r="S105" s="41" t="s">
        <v>75</v>
      </c>
      <c r="T105" s="41" t="s">
        <v>75</v>
      </c>
      <c r="U105" s="41" t="s">
        <v>75</v>
      </c>
      <c r="V105" s="41" t="s">
        <v>75</v>
      </c>
      <c r="W105" s="41" t="s">
        <v>75</v>
      </c>
      <c r="X105" s="41" t="s">
        <v>75</v>
      </c>
      <c r="Y105" s="41" t="s">
        <v>75</v>
      </c>
      <c r="Z105" s="41" t="s">
        <v>75</v>
      </c>
      <c r="AA105" s="41" t="s">
        <v>75</v>
      </c>
      <c r="AB105" s="41" t="s">
        <v>75</v>
      </c>
      <c r="AC105" s="41" t="s">
        <v>75</v>
      </c>
      <c r="AD105" s="41" t="s">
        <v>75</v>
      </c>
      <c r="AE105" s="41" t="s">
        <v>75</v>
      </c>
      <c r="AF105" s="41" t="s">
        <v>75</v>
      </c>
      <c r="AG105" s="41" t="s">
        <v>75</v>
      </c>
      <c r="AH105" s="41" t="s">
        <v>75</v>
      </c>
      <c r="AI105" s="41" t="s">
        <v>210</v>
      </c>
      <c r="AJ105" s="41" t="s">
        <v>210</v>
      </c>
      <c r="AK105" s="41" t="s">
        <v>210</v>
      </c>
      <c r="AL105" s="41" t="s">
        <v>210</v>
      </c>
      <c r="AM105" s="41" t="s">
        <v>210</v>
      </c>
      <c r="AN105" s="41" t="s">
        <v>210</v>
      </c>
      <c r="AO105" s="41" t="s">
        <v>210</v>
      </c>
      <c r="AP105" s="41" t="s">
        <v>210</v>
      </c>
      <c r="AQ105" s="41" t="s">
        <v>210</v>
      </c>
      <c r="AR105" s="41" t="s">
        <v>210</v>
      </c>
      <c r="AS105" s="41" t="s">
        <v>210</v>
      </c>
      <c r="AT105" s="41" t="s">
        <v>210</v>
      </c>
      <c r="AU105" s="42" t="str">
        <f>IF('GNI per capita'!AU105&lt;=Thresholds!$C$44,"L",IF('GNI per capita'!AU105&lt;=Thresholds!$D$44,"LM",IF('GNI per capita'!AU105&lt;=Thresholds!$E$44,"UM","H")))</f>
        <v>LM</v>
      </c>
      <c r="AV105" s="42" t="str">
        <f>IF('GNI per capita'!AV105&lt;=Thresholds!$C$45,"L",IF('GNI per capita'!AV105&lt;=Thresholds!$D$45,"LM",IF('GNI per capita'!AV105&lt;=Thresholds!$E$45,"UM","H")))</f>
        <v>LM</v>
      </c>
      <c r="AW105" s="42" t="str">
        <f>IF('GNI per capita'!AW105&lt;=Thresholds!$C$46,"L",IF('GNI per capita'!AW105&lt;=Thresholds!$D$46,"LM",IF('GNI per capita'!AW105&lt;=Thresholds!$E$46,"UM","H")))</f>
        <v>LM</v>
      </c>
      <c r="AX105" s="42" t="str">
        <f>IF('GNI per capita'!AX105&lt;=Thresholds!$C$47,"L",IF('GNI per capita'!AX105&lt;=Thresholds!$D$47,"LM",IF('GNI per capita'!AX105&lt;=Thresholds!$E$47,"UM","H")))</f>
        <v>LM</v>
      </c>
      <c r="AY105" s="42" t="str">
        <f>IF('GNI per capita'!AY105&lt;=Thresholds!$C$48,"L",IF('GNI per capita'!AY105&lt;=Thresholds!$D$48,"LM",IF('GNI per capita'!AY105&lt;=Thresholds!$E$48,"UM","H")))</f>
        <v>LM</v>
      </c>
      <c r="AZ105" s="42" t="str">
        <f>IF('GNI per capita'!AZ105&lt;=Thresholds!$C$49,"L",IF('GNI per capita'!AZ105&lt;=Thresholds!$D$49,"LM",IF('GNI per capita'!AZ105&lt;=Thresholds!$E$49,"UM","H")))</f>
        <v>LM</v>
      </c>
      <c r="BA105" s="42" t="str">
        <f>IF('GNI per capita'!BA105&lt;=Thresholds!$C$50,"L",IF('GNI per capita'!BA105&lt;=Thresholds!$D$50,"LM",IF('GNI per capita'!BA105&lt;=Thresholds!$E$50,"UM","H")))</f>
        <v>LM</v>
      </c>
      <c r="BB105" s="42" t="str">
        <f>IF('GNI per capita'!BB105&lt;=Thresholds!$C$51,"L",IF('GNI per capita'!BB105&lt;=Thresholds!$D$51,"LM",IF('GNI per capita'!BB105&lt;=Thresholds!$E$51,"UM","H")))</f>
        <v>LM</v>
      </c>
      <c r="BC105" s="42" t="str">
        <f>IF('GNI per capita'!BC105&lt;=Thresholds!$C$52,"L",IF('GNI per capita'!BC105&lt;=Thresholds!$D$52,"LM",IF('GNI per capita'!BC105&lt;=Thresholds!$E$52,"UM","H")))</f>
        <v>LM</v>
      </c>
      <c r="BD105" s="42" t="str">
        <f>IF('GNI per capita'!BD105&lt;=Thresholds!$C$53,"L",IF('GNI per capita'!BD105&lt;=Thresholds!$D$53,"LM",IF('GNI per capita'!BD105&lt;=Thresholds!$E$53,"UM","H")))</f>
        <v>LM</v>
      </c>
      <c r="BE105" s="42" t="str">
        <f>IF('GNI per capita'!BE105&lt;=Thresholds!$C$54,"L",IF('GNI per capita'!BE105&lt;=Thresholds!$D$54,"LM",IF('GNI per capita'!BE105&lt;=Thresholds!$E$54,"UM","H")))</f>
        <v>LM</v>
      </c>
      <c r="BF105" s="42" t="str">
        <f>IF('GNI per capita'!BF105&lt;=Thresholds!$C$55,"L",IF('GNI per capita'!BF105&lt;=Thresholds!$D$55,"LM",IF('GNI per capita'!BF105&lt;=Thresholds!$E$55,"UM","H")))</f>
        <v>LM</v>
      </c>
      <c r="BG105" s="42" t="str">
        <f>IF('GNI per capita'!BG105&lt;=Thresholds!$C$56,"L",IF('GNI per capita'!BG105&lt;=Thresholds!$D$56,"LM",IF('GNI per capita'!BG105&lt;=Thresholds!$E$56,"UM","H")))</f>
        <v>LM</v>
      </c>
      <c r="BH105" s="42" t="str">
        <f>IF('GNI per capita'!BH105&lt;=Thresholds!$C$57,"L",IF('GNI per capita'!BH105&lt;=Thresholds!$D$57,"LM",IF('GNI per capita'!BH105&lt;=Thresholds!$E$57,"UM","H")))</f>
        <v>LM</v>
      </c>
      <c r="BI105" s="42" t="str">
        <f>IF('GNI per capita'!BI105&lt;=Thresholds!$C$58,"L",IF('GNI per capita'!BI105&lt;=Thresholds!$D$58,"LM",IF('GNI per capita'!BI105&lt;=Thresholds!$E$58,"UM","H")))</f>
        <v>LM</v>
      </c>
      <c r="BJ105" s="42" t="str">
        <f>IF('GNI per capita'!BJ105&lt;=Thresholds!$C$59,"L",IF('GNI per capita'!BJ105&lt;=Thresholds!$D$59,"LM",IF('GNI per capita'!BJ105&lt;=Thresholds!$E$59,"UM","H")))</f>
        <v>LM</v>
      </c>
      <c r="BK105" s="42" t="str">
        <f>IF('GNI per capita'!BK105&lt;=Thresholds!$C$60,"L",IF('GNI per capita'!BK105&lt;=Thresholds!$D$60,"LM",IF('GNI per capita'!BK105&lt;=Thresholds!$E$60,"UM","H")))</f>
        <v>LM</v>
      </c>
      <c r="BL105" s="42" t="str">
        <f>IF('GNI per capita'!BL105&lt;=Thresholds!$C$61,"L",IF('GNI per capita'!BL105&lt;=Thresholds!$D$61,"LM",IF('GNI per capita'!BL105&lt;=Thresholds!$E$61,"UM","H")))</f>
        <v>UM</v>
      </c>
      <c r="BM105" s="42" t="str">
        <f>IF('GNI per capita'!BM105&lt;=Thresholds!$C$62,"L",IF('GNI per capita'!BM105&lt;=Thresholds!$D$62,"LM",IF('GNI per capita'!BM105&lt;=Thresholds!$E$62,"UM","H")))</f>
        <v>UM</v>
      </c>
      <c r="BN105" s="42" t="str">
        <f>IF('GNI per capita'!BN105&lt;=Thresholds!$C$63,"L",IF('GNI per capita'!BN105&lt;=Thresholds!$D$63,"LM",IF('GNI per capita'!BN105&lt;=Thresholds!$E$63,"UM","H")))</f>
        <v>UM</v>
      </c>
      <c r="BO105" s="42" t="str">
        <f>IF('GNI per capita'!BO105&lt;=Thresholds!$C$64,"L",IF('GNI per capita'!BO105&lt;=Thresholds!$D$64,"LM",IF('GNI per capita'!BO105&lt;=Thresholds!$E$64,"UM","H")))</f>
        <v>UM</v>
      </c>
      <c r="BP105" s="42" t="str">
        <f>IF('GNI per capita'!BP105&lt;=Thresholds!$C$65,"L",IF('GNI per capita'!BP105&lt;=Thresholds!$D$65,"LM",IF('GNI per capita'!BP105&lt;=Thresholds!$E$65,"UM","H")))</f>
        <v>UM</v>
      </c>
      <c r="BQ105" s="42" t="str">
        <f>IF('GNI per capita'!BQ105&lt;=Thresholds!$C$66,"L",IF('GNI per capita'!BQ105&lt;=Thresholds!$D$66,"LM",IF('GNI per capita'!BQ105&lt;=Thresholds!$E$66,"UM","H")))</f>
        <v>UM</v>
      </c>
      <c r="BR105" s="42" t="str">
        <f>IF('GNI per capita'!BR105&lt;=Thresholds!$C$67,"L",IF('GNI per capita'!BR105&lt;=Thresholds!$D$67,"LM",IF('GNI per capita'!BR105&lt;=Thresholds!$E$67,"UM","H")))</f>
        <v>UM</v>
      </c>
      <c r="BS105" s="42" t="str">
        <f>IF('GNI per capita'!BS105&lt;=Thresholds!$C$68,"L",IF('GNI per capita'!BS105&lt;=Thresholds!$D$68,"LM",IF('GNI per capita'!BS105&lt;=Thresholds!$E$68,"UM","H")))</f>
        <v>UM</v>
      </c>
    </row>
    <row r="106" spans="1:71" x14ac:dyDescent="0.2">
      <c r="A106" s="2" t="s">
        <v>424</v>
      </c>
      <c r="B106" s="2" t="s">
        <v>425</v>
      </c>
      <c r="C106" s="11" t="s">
        <v>210</v>
      </c>
      <c r="G106" s="2" t="s">
        <v>162</v>
      </c>
      <c r="H106" s="41" t="s">
        <v>210</v>
      </c>
      <c r="I106" s="41" t="s">
        <v>210</v>
      </c>
      <c r="J106" s="41" t="s">
        <v>210</v>
      </c>
      <c r="K106" s="41" t="s">
        <v>210</v>
      </c>
      <c r="L106" s="41" t="s">
        <v>210</v>
      </c>
      <c r="M106" s="41" t="s">
        <v>210</v>
      </c>
      <c r="N106" s="41" t="s">
        <v>210</v>
      </c>
      <c r="O106" s="41" t="s">
        <v>210</v>
      </c>
      <c r="P106" s="41" t="s">
        <v>210</v>
      </c>
      <c r="Q106" s="41" t="s">
        <v>210</v>
      </c>
      <c r="R106" s="41" t="s">
        <v>210</v>
      </c>
      <c r="S106" s="41" t="s">
        <v>210</v>
      </c>
      <c r="T106" s="41" t="s">
        <v>210</v>
      </c>
      <c r="U106" s="41" t="s">
        <v>210</v>
      </c>
      <c r="V106" s="41" t="s">
        <v>210</v>
      </c>
      <c r="W106" s="41" t="s">
        <v>210</v>
      </c>
      <c r="X106" s="41" t="s">
        <v>210</v>
      </c>
      <c r="Y106" s="41" t="s">
        <v>210</v>
      </c>
      <c r="Z106" s="41" t="s">
        <v>210</v>
      </c>
      <c r="AA106" s="41" t="s">
        <v>210</v>
      </c>
      <c r="AB106" s="41" t="s">
        <v>210</v>
      </c>
      <c r="AC106" s="41" t="s">
        <v>210</v>
      </c>
      <c r="AD106" s="41" t="s">
        <v>210</v>
      </c>
      <c r="AE106" s="41" t="s">
        <v>210</v>
      </c>
      <c r="AF106" s="41" t="s">
        <v>210</v>
      </c>
      <c r="AG106" s="41" t="s">
        <v>210</v>
      </c>
      <c r="AH106" s="41" t="s">
        <v>210</v>
      </c>
      <c r="AI106" s="41" t="s">
        <v>210</v>
      </c>
      <c r="AJ106" s="41" t="s">
        <v>210</v>
      </c>
      <c r="AK106" s="41" t="s">
        <v>210</v>
      </c>
      <c r="AL106" s="41" t="s">
        <v>210</v>
      </c>
      <c r="AM106" s="41" t="s">
        <v>210</v>
      </c>
      <c r="AN106" s="41" t="s">
        <v>210</v>
      </c>
      <c r="AO106" s="41" t="s">
        <v>210</v>
      </c>
      <c r="AP106" s="41" t="s">
        <v>210</v>
      </c>
      <c r="AQ106" s="41" t="s">
        <v>210</v>
      </c>
      <c r="AR106" s="41" t="s">
        <v>210</v>
      </c>
      <c r="AS106" s="41" t="s">
        <v>210</v>
      </c>
      <c r="AT106" s="41" t="s">
        <v>210</v>
      </c>
      <c r="AU106" s="42" t="str">
        <f>IF('GNI per capita'!AU106&lt;=Thresholds!$C$44,"L",IF('GNI per capita'!AU106&lt;=Thresholds!$D$44,"LM",IF('GNI per capita'!AU106&lt;=Thresholds!$E$44,"UM","H")))</f>
        <v>LM</v>
      </c>
      <c r="AV106" s="42" t="str">
        <f>IF('GNI per capita'!AV106&lt;=Thresholds!$C$45,"L",IF('GNI per capita'!AV106&lt;=Thresholds!$D$45,"LM",IF('GNI per capita'!AV106&lt;=Thresholds!$E$45,"UM","H")))</f>
        <v>LM</v>
      </c>
      <c r="AW106" s="42" t="str">
        <f>IF('GNI per capita'!AW106&lt;=Thresholds!$C$46,"L",IF('GNI per capita'!AW106&lt;=Thresholds!$D$46,"LM",IF('GNI per capita'!AW106&lt;=Thresholds!$E$46,"UM","H")))</f>
        <v>LM</v>
      </c>
      <c r="AX106" s="42" t="str">
        <f>IF('GNI per capita'!AX106&lt;=Thresholds!$C$47,"L",IF('GNI per capita'!AX106&lt;=Thresholds!$D$47,"LM",IF('GNI per capita'!AX106&lt;=Thresholds!$E$47,"UM","H")))</f>
        <v>LM</v>
      </c>
      <c r="AY106" s="42" t="str">
        <f>IF('GNI per capita'!AY106&lt;=Thresholds!$C$48,"L",IF('GNI per capita'!AY106&lt;=Thresholds!$D$48,"LM",IF('GNI per capita'!AY106&lt;=Thresholds!$E$48,"UM","H")))</f>
        <v>LM</v>
      </c>
      <c r="AZ106" s="42" t="str">
        <f>IF('GNI per capita'!AZ106&lt;=Thresholds!$C$49,"L",IF('GNI per capita'!AZ106&lt;=Thresholds!$D$49,"LM",IF('GNI per capita'!AZ106&lt;=Thresholds!$E$49,"UM","H")))</f>
        <v>UM</v>
      </c>
      <c r="BA106" s="42" t="str">
        <f>IF('GNI per capita'!BA106&lt;=Thresholds!$C$50,"L",IF('GNI per capita'!BA106&lt;=Thresholds!$D$50,"LM",IF('GNI per capita'!BA106&lt;=Thresholds!$E$50,"UM","H")))</f>
        <v>UM</v>
      </c>
      <c r="BB106" s="42" t="str">
        <f>IF('GNI per capita'!BB106&lt;=Thresholds!$C$51,"L",IF('GNI per capita'!BB106&lt;=Thresholds!$D$51,"LM",IF('GNI per capita'!BB106&lt;=Thresholds!$E$51,"UM","H")))</f>
        <v>UM</v>
      </c>
      <c r="BC106" s="42" t="str">
        <f>IF('GNI per capita'!BC106&lt;=Thresholds!$C$52,"L",IF('GNI per capita'!BC106&lt;=Thresholds!$D$52,"LM",IF('GNI per capita'!BC106&lt;=Thresholds!$E$52,"UM","H")))</f>
        <v>UM</v>
      </c>
      <c r="BD106" s="42" t="str">
        <f>IF('GNI per capita'!BD106&lt;=Thresholds!$C$53,"L",IF('GNI per capita'!BD106&lt;=Thresholds!$D$53,"LM",IF('GNI per capita'!BD106&lt;=Thresholds!$E$53,"UM","H")))</f>
        <v>UM</v>
      </c>
      <c r="BE106" s="42" t="str">
        <f>IF('GNI per capita'!BE106&lt;=Thresholds!$C$54,"L",IF('GNI per capita'!BE106&lt;=Thresholds!$D$54,"LM",IF('GNI per capita'!BE106&lt;=Thresholds!$E$54,"UM","H")))</f>
        <v>UM</v>
      </c>
      <c r="BF106" s="42" t="str">
        <f>IF('GNI per capita'!BF106&lt;=Thresholds!$C$55,"L",IF('GNI per capita'!BF106&lt;=Thresholds!$D$55,"LM",IF('GNI per capita'!BF106&lt;=Thresholds!$E$55,"UM","H")))</f>
        <v>UM</v>
      </c>
      <c r="BG106" s="42" t="str">
        <f>IF('GNI per capita'!BG106&lt;=Thresholds!$C$56,"L",IF('GNI per capita'!BG106&lt;=Thresholds!$D$56,"LM",IF('GNI per capita'!BG106&lt;=Thresholds!$E$56,"UM","H")))</f>
        <v>UM</v>
      </c>
      <c r="BH106" s="42" t="str">
        <f>IF('GNI per capita'!BH106&lt;=Thresholds!$C$57,"L",IF('GNI per capita'!BH106&lt;=Thresholds!$D$57,"LM",IF('GNI per capita'!BH106&lt;=Thresholds!$E$57,"UM","H")))</f>
        <v>UM</v>
      </c>
      <c r="BI106" s="42" t="str">
        <f>IF('GNI per capita'!BI106&lt;=Thresholds!$C$58,"L",IF('GNI per capita'!BI106&lt;=Thresholds!$D$58,"LM",IF('GNI per capita'!BI106&lt;=Thresholds!$E$58,"UM","H")))</f>
        <v>UM</v>
      </c>
      <c r="BJ106" s="42" t="str">
        <f>IF('GNI per capita'!BJ106&lt;=Thresholds!$C$59,"L",IF('GNI per capita'!BJ106&lt;=Thresholds!$D$59,"LM",IF('GNI per capita'!BJ106&lt;=Thresholds!$E$59,"UM","H")))</f>
        <v>UM</v>
      </c>
      <c r="BK106" s="42" t="str">
        <f>IF('GNI per capita'!BK106&lt;=Thresholds!$C$60,"L",IF('GNI per capita'!BK106&lt;=Thresholds!$D$60,"LM",IF('GNI per capita'!BK106&lt;=Thresholds!$E$60,"UM","H")))</f>
        <v>UM</v>
      </c>
      <c r="BL106" s="42" t="str">
        <f>IF('GNI per capita'!BL106&lt;=Thresholds!$C$61,"L",IF('GNI per capita'!BL106&lt;=Thresholds!$D$61,"LM",IF('GNI per capita'!BL106&lt;=Thresholds!$E$61,"UM","H")))</f>
        <v>UM</v>
      </c>
      <c r="BM106" s="42" t="str">
        <f>IF('GNI per capita'!BM106&lt;=Thresholds!$C$62,"L",IF('GNI per capita'!BM106&lt;=Thresholds!$D$62,"LM",IF('GNI per capita'!BM106&lt;=Thresholds!$E$62,"UM","H")))</f>
        <v>UM</v>
      </c>
      <c r="BN106" s="42" t="str">
        <f>IF('GNI per capita'!BN106&lt;=Thresholds!$C$63,"L",IF('GNI per capita'!BN106&lt;=Thresholds!$D$63,"LM",IF('GNI per capita'!BN106&lt;=Thresholds!$E$63,"UM","H")))</f>
        <v>UM</v>
      </c>
      <c r="BO106" s="42" t="str">
        <f>IF('GNI per capita'!BO106&lt;=Thresholds!$C$64,"L",IF('GNI per capita'!BO106&lt;=Thresholds!$D$64,"LM",IF('GNI per capita'!BO106&lt;=Thresholds!$E$64,"UM","H")))</f>
        <v>UM</v>
      </c>
      <c r="BP106" s="42" t="str">
        <f>IF('GNI per capita'!BP106&lt;=Thresholds!$C$65,"L",IF('GNI per capita'!BP106&lt;=Thresholds!$D$65,"LM",IF('GNI per capita'!BP106&lt;=Thresholds!$E$65,"UM","H")))</f>
        <v>UM</v>
      </c>
      <c r="BQ106" s="42" t="str">
        <f>IF('GNI per capita'!BQ106&lt;=Thresholds!$C$66,"L",IF('GNI per capita'!BQ106&lt;=Thresholds!$D$66,"LM",IF('GNI per capita'!BQ106&lt;=Thresholds!$E$66,"UM","H")))</f>
        <v>UM</v>
      </c>
      <c r="BR106" s="42" t="str">
        <f>IF('GNI per capita'!BR106&lt;=Thresholds!$C$67,"L",IF('GNI per capita'!BR106&lt;=Thresholds!$D$67,"LM",IF('GNI per capita'!BR106&lt;=Thresholds!$E$67,"UM","H")))</f>
        <v>UM</v>
      </c>
      <c r="BS106" s="42" t="str">
        <f>IF('GNI per capita'!BS106&lt;=Thresholds!$C$68,"L",IF('GNI per capita'!BS106&lt;=Thresholds!$D$68,"LM",IF('GNI per capita'!BS106&lt;=Thresholds!$E$68,"UM","H")))</f>
        <v>UM</v>
      </c>
    </row>
    <row r="107" spans="1:71" x14ac:dyDescent="0.2">
      <c r="A107" s="2" t="s">
        <v>426</v>
      </c>
      <c r="B107" s="2" t="s">
        <v>427</v>
      </c>
      <c r="C107" s="11" t="s">
        <v>75</v>
      </c>
      <c r="G107" s="28" t="s">
        <v>204</v>
      </c>
      <c r="H107" s="41"/>
      <c r="I107" s="41"/>
      <c r="J107" s="41"/>
      <c r="K107" s="41" t="s">
        <v>210</v>
      </c>
      <c r="L107" s="41" t="s">
        <v>210</v>
      </c>
      <c r="M107" s="41" t="s">
        <v>210</v>
      </c>
      <c r="N107" s="41" t="s">
        <v>210</v>
      </c>
      <c r="O107" s="41" t="s">
        <v>210</v>
      </c>
      <c r="P107" s="41" t="s">
        <v>210</v>
      </c>
      <c r="Q107" s="41" t="s">
        <v>210</v>
      </c>
      <c r="R107" s="41" t="s">
        <v>210</v>
      </c>
      <c r="S107" s="41" t="s">
        <v>75</v>
      </c>
      <c r="T107" s="41" t="s">
        <v>75</v>
      </c>
      <c r="U107" s="41" t="s">
        <v>75</v>
      </c>
      <c r="V107" s="41" t="s">
        <v>75</v>
      </c>
      <c r="W107" s="41" t="s">
        <v>75</v>
      </c>
      <c r="X107" s="41" t="s">
        <v>75</v>
      </c>
      <c r="Y107" s="41" t="s">
        <v>75</v>
      </c>
      <c r="Z107" s="41" t="s">
        <v>75</v>
      </c>
      <c r="AA107" s="41" t="s">
        <v>75</v>
      </c>
      <c r="AB107" s="41" t="s">
        <v>75</v>
      </c>
      <c r="AC107" s="41" t="s">
        <v>75</v>
      </c>
      <c r="AD107" s="41" t="s">
        <v>75</v>
      </c>
      <c r="AE107" s="41" t="s">
        <v>75</v>
      </c>
      <c r="AF107" s="41" t="s">
        <v>75</v>
      </c>
      <c r="AG107" s="41" t="s">
        <v>75</v>
      </c>
      <c r="AH107" s="41" t="s">
        <v>75</v>
      </c>
      <c r="AI107" s="41" t="s">
        <v>75</v>
      </c>
      <c r="AJ107" s="41" t="s">
        <v>75</v>
      </c>
      <c r="AK107" s="41" t="s">
        <v>75</v>
      </c>
      <c r="AL107" s="41" t="s">
        <v>75</v>
      </c>
      <c r="AM107" s="41" t="s">
        <v>75</v>
      </c>
      <c r="AN107" s="41" t="s">
        <v>75</v>
      </c>
      <c r="AO107" s="41" t="s">
        <v>75</v>
      </c>
      <c r="AP107" s="41" t="s">
        <v>75</v>
      </c>
      <c r="AQ107" s="41" t="s">
        <v>75</v>
      </c>
      <c r="AR107" s="41" t="s">
        <v>75</v>
      </c>
      <c r="AS107" s="41" t="s">
        <v>75</v>
      </c>
      <c r="AT107" s="41" t="s">
        <v>75</v>
      </c>
      <c r="AU107" s="42" t="str">
        <f t="shared" ref="AU107:BS107" si="9">$C107</f>
        <v>L</v>
      </c>
      <c r="AV107" s="42" t="str">
        <f t="shared" si="9"/>
        <v>L</v>
      </c>
      <c r="AW107" s="42" t="str">
        <f t="shared" si="9"/>
        <v>L</v>
      </c>
      <c r="AX107" s="42" t="str">
        <f t="shared" si="9"/>
        <v>L</v>
      </c>
      <c r="AY107" s="42" t="str">
        <f t="shared" si="9"/>
        <v>L</v>
      </c>
      <c r="AZ107" s="42" t="str">
        <f t="shared" si="9"/>
        <v>L</v>
      </c>
      <c r="BA107" s="42" t="str">
        <f t="shared" si="9"/>
        <v>L</v>
      </c>
      <c r="BB107" s="42" t="str">
        <f t="shared" si="9"/>
        <v>L</v>
      </c>
      <c r="BC107" s="42" t="str">
        <f t="shared" si="9"/>
        <v>L</v>
      </c>
      <c r="BD107" s="42" t="str">
        <f t="shared" si="9"/>
        <v>L</v>
      </c>
      <c r="BE107" s="42" t="str">
        <f t="shared" si="9"/>
        <v>L</v>
      </c>
      <c r="BF107" s="42" t="str">
        <f t="shared" si="9"/>
        <v>L</v>
      </c>
      <c r="BG107" s="42" t="str">
        <f t="shared" si="9"/>
        <v>L</v>
      </c>
      <c r="BH107" s="42" t="str">
        <f t="shared" si="9"/>
        <v>L</v>
      </c>
      <c r="BI107" s="42" t="str">
        <f t="shared" si="9"/>
        <v>L</v>
      </c>
      <c r="BJ107" s="42" t="str">
        <f t="shared" si="9"/>
        <v>L</v>
      </c>
      <c r="BK107" s="42" t="str">
        <f t="shared" si="9"/>
        <v>L</v>
      </c>
      <c r="BL107" s="42" t="str">
        <f t="shared" si="9"/>
        <v>L</v>
      </c>
      <c r="BM107" s="42" t="str">
        <f t="shared" si="9"/>
        <v>L</v>
      </c>
      <c r="BN107" s="42" t="str">
        <f t="shared" si="9"/>
        <v>L</v>
      </c>
      <c r="BO107" s="42" t="str">
        <f t="shared" si="9"/>
        <v>L</v>
      </c>
      <c r="BP107" s="42" t="str">
        <f t="shared" si="9"/>
        <v>L</v>
      </c>
      <c r="BQ107" s="42" t="str">
        <f t="shared" si="9"/>
        <v>L</v>
      </c>
      <c r="BR107" s="42" t="str">
        <f t="shared" si="9"/>
        <v>L</v>
      </c>
      <c r="BS107" s="42" t="str">
        <f t="shared" si="9"/>
        <v>L</v>
      </c>
    </row>
    <row r="108" spans="1:71" x14ac:dyDescent="0.2">
      <c r="A108" s="2" t="s">
        <v>428</v>
      </c>
      <c r="B108" s="2" t="s">
        <v>429</v>
      </c>
      <c r="C108" s="11" t="s">
        <v>79</v>
      </c>
      <c r="G108" s="2" t="s">
        <v>162</v>
      </c>
      <c r="H108" s="41" t="s">
        <v>82</v>
      </c>
      <c r="I108" s="41" t="s">
        <v>82</v>
      </c>
      <c r="J108" s="41" t="s">
        <v>82</v>
      </c>
      <c r="K108" s="41" t="s">
        <v>82</v>
      </c>
      <c r="L108" s="41" t="s">
        <v>82</v>
      </c>
      <c r="M108" s="41" t="s">
        <v>82</v>
      </c>
      <c r="N108" s="41" t="s">
        <v>82</v>
      </c>
      <c r="O108" s="41" t="s">
        <v>82</v>
      </c>
      <c r="P108" s="41" t="s">
        <v>79</v>
      </c>
      <c r="Q108" s="41" t="s">
        <v>79</v>
      </c>
      <c r="R108" s="41" t="s">
        <v>79</v>
      </c>
      <c r="S108" s="41" t="s">
        <v>82</v>
      </c>
      <c r="T108" s="41" t="s">
        <v>82</v>
      </c>
      <c r="U108" s="41" t="s">
        <v>82</v>
      </c>
      <c r="V108" s="41" t="s">
        <v>79</v>
      </c>
      <c r="W108" s="41" t="s">
        <v>79</v>
      </c>
      <c r="X108" s="41" t="s">
        <v>79</v>
      </c>
      <c r="Y108" s="41" t="s">
        <v>79</v>
      </c>
      <c r="Z108" s="41" t="s">
        <v>79</v>
      </c>
      <c r="AA108" s="41" t="s">
        <v>79</v>
      </c>
      <c r="AB108" s="41" t="s">
        <v>79</v>
      </c>
      <c r="AC108" s="41" t="s">
        <v>79</v>
      </c>
      <c r="AD108" s="41" t="s">
        <v>79</v>
      </c>
      <c r="AE108" s="41" t="s">
        <v>79</v>
      </c>
      <c r="AF108" s="41" t="s">
        <v>79</v>
      </c>
      <c r="AG108" s="41" t="s">
        <v>79</v>
      </c>
      <c r="AH108" s="41" t="s">
        <v>79</v>
      </c>
      <c r="AI108" s="41" t="s">
        <v>79</v>
      </c>
      <c r="AJ108" s="41" t="s">
        <v>79</v>
      </c>
      <c r="AK108" s="41" t="s">
        <v>79</v>
      </c>
      <c r="AL108" s="41" t="s">
        <v>79</v>
      </c>
      <c r="AM108" s="41" t="s">
        <v>79</v>
      </c>
      <c r="AN108" s="41" t="s">
        <v>79</v>
      </c>
      <c r="AO108" s="41" t="s">
        <v>79</v>
      </c>
      <c r="AP108" s="41" t="s">
        <v>79</v>
      </c>
      <c r="AQ108" s="41" t="s">
        <v>79</v>
      </c>
      <c r="AR108" s="41" t="s">
        <v>79</v>
      </c>
      <c r="AS108" s="41" t="s">
        <v>79</v>
      </c>
      <c r="AT108" s="41" t="s">
        <v>79</v>
      </c>
      <c r="AU108" s="42" t="str">
        <f>IF('GNI per capita'!AU108&lt;=Thresholds!$C$44,"L",IF('GNI per capita'!AU108&lt;=Thresholds!$D$44,"LM",IF('GNI per capita'!AU108&lt;=Thresholds!$E$44,"UM","H")))</f>
        <v>H</v>
      </c>
      <c r="AV108" s="42" t="str">
        <f>IF('GNI per capita'!AV108&lt;=Thresholds!$C$45,"L",IF('GNI per capita'!AV108&lt;=Thresholds!$D$45,"LM",IF('GNI per capita'!AV108&lt;=Thresholds!$E$45,"UM","H")))</f>
        <v>H</v>
      </c>
      <c r="AW108" s="42" t="str">
        <f>IF('GNI per capita'!AW108&lt;=Thresholds!$C$46,"L",IF('GNI per capita'!AW108&lt;=Thresholds!$D$46,"LM",IF('GNI per capita'!AW108&lt;=Thresholds!$E$46,"UM","H")))</f>
        <v>H</v>
      </c>
      <c r="AX108" s="42" t="str">
        <f>IF('GNI per capita'!AX108&lt;=Thresholds!$C$47,"L",IF('GNI per capita'!AX108&lt;=Thresholds!$D$47,"LM",IF('GNI per capita'!AX108&lt;=Thresholds!$E$47,"UM","H")))</f>
        <v>H</v>
      </c>
      <c r="AY108" s="42" t="str">
        <f>IF('GNI per capita'!AY108&lt;=Thresholds!$C$48,"L",IF('GNI per capita'!AY108&lt;=Thresholds!$D$48,"LM",IF('GNI per capita'!AY108&lt;=Thresholds!$E$48,"UM","H")))</f>
        <v>H</v>
      </c>
      <c r="AZ108" s="42" t="str">
        <f>IF('GNI per capita'!AZ108&lt;=Thresholds!$C$49,"L",IF('GNI per capita'!AZ108&lt;=Thresholds!$D$49,"LM",IF('GNI per capita'!AZ108&lt;=Thresholds!$E$49,"UM","H")))</f>
        <v>H</v>
      </c>
      <c r="BA108" s="42" t="str">
        <f>IF('GNI per capita'!BA108&lt;=Thresholds!$C$50,"L",IF('GNI per capita'!BA108&lt;=Thresholds!$D$50,"LM",IF('GNI per capita'!BA108&lt;=Thresholds!$E$50,"UM","H")))</f>
        <v>H</v>
      </c>
      <c r="BB108" s="42" t="str">
        <f>IF('GNI per capita'!BB108&lt;=Thresholds!$C$51,"L",IF('GNI per capita'!BB108&lt;=Thresholds!$D$51,"LM",IF('GNI per capita'!BB108&lt;=Thresholds!$E$51,"UM","H")))</f>
        <v>H</v>
      </c>
      <c r="BC108" s="42" t="str">
        <f>IF('GNI per capita'!BC108&lt;=Thresholds!$C$52,"L",IF('GNI per capita'!BC108&lt;=Thresholds!$D$52,"LM",IF('GNI per capita'!BC108&lt;=Thresholds!$E$52,"UM","H")))</f>
        <v>H</v>
      </c>
      <c r="BD108" s="42" t="str">
        <f>IF('GNI per capita'!BD108&lt;=Thresholds!$C$53,"L",IF('GNI per capita'!BD108&lt;=Thresholds!$D$53,"LM",IF('GNI per capita'!BD108&lt;=Thresholds!$E$53,"UM","H")))</f>
        <v>H</v>
      </c>
      <c r="BE108" s="42" t="str">
        <f>IF('GNI per capita'!BE108&lt;=Thresholds!$C$54,"L",IF('GNI per capita'!BE108&lt;=Thresholds!$D$54,"LM",IF('GNI per capita'!BE108&lt;=Thresholds!$E$54,"UM","H")))</f>
        <v>H</v>
      </c>
      <c r="BF108" s="42" t="str">
        <f>IF('GNI per capita'!BF108&lt;=Thresholds!$C$55,"L",IF('GNI per capita'!BF108&lt;=Thresholds!$D$55,"LM",IF('GNI per capita'!BF108&lt;=Thresholds!$E$55,"UM","H")))</f>
        <v>H</v>
      </c>
      <c r="BG108" s="42" t="str">
        <f>IF('GNI per capita'!BG108&lt;=Thresholds!$C$56,"L",IF('GNI per capita'!BG108&lt;=Thresholds!$D$56,"LM",IF('GNI per capita'!BG108&lt;=Thresholds!$E$56,"UM","H")))</f>
        <v>H</v>
      </c>
      <c r="BH108" s="42" t="str">
        <f>IF('GNI per capita'!BH108&lt;=Thresholds!$C$57,"L",IF('GNI per capita'!BH108&lt;=Thresholds!$D$57,"LM",IF('GNI per capita'!BH108&lt;=Thresholds!$E$57,"UM","H")))</f>
        <v>H</v>
      </c>
      <c r="BI108" s="42" t="str">
        <f>IF('GNI per capita'!BI108&lt;=Thresholds!$C$58,"L",IF('GNI per capita'!BI108&lt;=Thresholds!$D$58,"LM",IF('GNI per capita'!BI108&lt;=Thresholds!$E$58,"UM","H")))</f>
        <v>H</v>
      </c>
      <c r="BJ108" s="42" t="str">
        <f>IF('GNI per capita'!BJ108&lt;=Thresholds!$C$59,"L",IF('GNI per capita'!BJ108&lt;=Thresholds!$D$59,"LM",IF('GNI per capita'!BJ108&lt;=Thresholds!$E$59,"UM","H")))</f>
        <v>H</v>
      </c>
      <c r="BK108" s="42" t="str">
        <f>IF('GNI per capita'!BK108&lt;=Thresholds!$C$60,"L",IF('GNI per capita'!BK108&lt;=Thresholds!$D$60,"LM",IF('GNI per capita'!BK108&lt;=Thresholds!$E$60,"UM","H")))</f>
        <v>H</v>
      </c>
      <c r="BL108" s="42" t="str">
        <f>IF('GNI per capita'!BL108&lt;=Thresholds!$C$61,"L",IF('GNI per capita'!BL108&lt;=Thresholds!$D$61,"LM",IF('GNI per capita'!BL108&lt;=Thresholds!$E$61,"UM","H")))</f>
        <v>H</v>
      </c>
      <c r="BM108" s="42" t="str">
        <f>IF('GNI per capita'!BM108&lt;=Thresholds!$C$62,"L",IF('GNI per capita'!BM108&lt;=Thresholds!$D$62,"LM",IF('GNI per capita'!BM108&lt;=Thresholds!$E$62,"UM","H")))</f>
        <v>H</v>
      </c>
      <c r="BN108" s="42" t="str">
        <f>IF('GNI per capita'!BN108&lt;=Thresholds!$C$63,"L",IF('GNI per capita'!BN108&lt;=Thresholds!$D$63,"LM",IF('GNI per capita'!BN108&lt;=Thresholds!$E$63,"UM","H")))</f>
        <v>H</v>
      </c>
      <c r="BO108" s="42" t="str">
        <f>IF('GNI per capita'!BO108&lt;=Thresholds!$C$64,"L",IF('GNI per capita'!BO108&lt;=Thresholds!$D$64,"LM",IF('GNI per capita'!BO108&lt;=Thresholds!$E$64,"UM","H")))</f>
        <v>H</v>
      </c>
      <c r="BP108" s="42" t="str">
        <f>IF('GNI per capita'!BP108&lt;=Thresholds!$C$65,"L",IF('GNI per capita'!BP108&lt;=Thresholds!$D$65,"LM",IF('GNI per capita'!BP108&lt;=Thresholds!$E$65,"UM","H")))</f>
        <v>H</v>
      </c>
      <c r="BQ108" s="42" t="str">
        <f>IF('GNI per capita'!BQ108&lt;=Thresholds!$C$66,"L",IF('GNI per capita'!BQ108&lt;=Thresholds!$D$66,"LM",IF('GNI per capita'!BQ108&lt;=Thresholds!$E$66,"UM","H")))</f>
        <v>H</v>
      </c>
      <c r="BR108" s="42" t="str">
        <f>IF('GNI per capita'!BR108&lt;=Thresholds!$C$67,"L",IF('GNI per capita'!BR108&lt;=Thresholds!$D$67,"LM",IF('GNI per capita'!BR108&lt;=Thresholds!$E$67,"UM","H")))</f>
        <v>H</v>
      </c>
      <c r="BS108" s="42" t="str">
        <f>IF('GNI per capita'!BS108&lt;=Thresholds!$C$68,"L",IF('GNI per capita'!BS108&lt;=Thresholds!$D$68,"LM",IF('GNI per capita'!BS108&lt;=Thresholds!$E$68,"UM","H")))</f>
        <v>H</v>
      </c>
    </row>
    <row r="109" spans="1:71" x14ac:dyDescent="0.2">
      <c r="A109" s="2" t="s">
        <v>430</v>
      </c>
      <c r="B109" s="2" t="s">
        <v>431</v>
      </c>
      <c r="C109" s="11" t="s">
        <v>82</v>
      </c>
      <c r="G109" s="2" t="s">
        <v>162</v>
      </c>
      <c r="H109" s="41"/>
      <c r="I109" s="41"/>
      <c r="J109" s="41"/>
      <c r="K109" s="41"/>
      <c r="L109" s="41"/>
      <c r="M109" s="41"/>
      <c r="N109" s="41"/>
      <c r="O109" s="41"/>
      <c r="P109" s="41"/>
      <c r="Q109" s="41"/>
      <c r="R109" s="41"/>
      <c r="S109" s="41"/>
      <c r="T109" s="41"/>
      <c r="U109" s="41"/>
      <c r="V109" s="41"/>
      <c r="W109" s="41"/>
      <c r="X109" s="41"/>
      <c r="Y109" s="41"/>
      <c r="Z109" s="41"/>
      <c r="AA109" s="41"/>
      <c r="AB109" s="41"/>
      <c r="AC109" s="41" t="s">
        <v>210</v>
      </c>
      <c r="AD109" s="41" t="s">
        <v>210</v>
      </c>
      <c r="AE109" s="41" t="s">
        <v>210</v>
      </c>
      <c r="AF109" s="41" t="s">
        <v>210</v>
      </c>
      <c r="AG109" s="41" t="s">
        <v>210</v>
      </c>
      <c r="AH109" s="41" t="s">
        <v>210</v>
      </c>
      <c r="AI109" s="41" t="s">
        <v>210</v>
      </c>
      <c r="AJ109" s="41" t="s">
        <v>210</v>
      </c>
      <c r="AK109" s="41" t="s">
        <v>210</v>
      </c>
      <c r="AL109" s="41" t="s">
        <v>210</v>
      </c>
      <c r="AM109" s="41" t="s">
        <v>82</v>
      </c>
      <c r="AN109" s="41" t="s">
        <v>82</v>
      </c>
      <c r="AO109" s="41" t="s">
        <v>82</v>
      </c>
      <c r="AP109" s="41" t="s">
        <v>82</v>
      </c>
      <c r="AQ109" s="41" t="s">
        <v>82</v>
      </c>
      <c r="AR109" s="41" t="s">
        <v>82</v>
      </c>
      <c r="AS109" s="41" t="s">
        <v>82</v>
      </c>
      <c r="AT109" s="41" t="s">
        <v>82</v>
      </c>
      <c r="AU109" s="42" t="str">
        <f>IF('GNI per capita'!AU109&lt;=Thresholds!$C$44,"L",IF('GNI per capita'!AU109&lt;=Thresholds!$D$44,"LM",IF('GNI per capita'!AU109&lt;=Thresholds!$E$44,"UM","H")))</f>
        <v>UM</v>
      </c>
      <c r="AV109" s="42" t="str">
        <f>IF('GNI per capita'!AV109&lt;=Thresholds!$C$45,"L",IF('GNI per capita'!AV109&lt;=Thresholds!$D$45,"LM",IF('GNI per capita'!AV109&lt;=Thresholds!$E$45,"UM","H")))</f>
        <v>UM</v>
      </c>
      <c r="AW109" s="42" t="str">
        <f>IF('GNI per capita'!AW109&lt;=Thresholds!$C$46,"L",IF('GNI per capita'!AW109&lt;=Thresholds!$D$46,"LM",IF('GNI per capita'!AW109&lt;=Thresholds!$E$46,"UM","H")))</f>
        <v>UM</v>
      </c>
      <c r="AX109" s="42" t="str">
        <f>IF('GNI per capita'!AX109&lt;=Thresholds!$C$47,"L",IF('GNI per capita'!AX109&lt;=Thresholds!$D$47,"LM",IF('GNI per capita'!AX109&lt;=Thresholds!$E$47,"UM","H")))</f>
        <v>UM</v>
      </c>
      <c r="AY109" s="42" t="str">
        <f>IF('GNI per capita'!AY109&lt;=Thresholds!$C$48,"L",IF('GNI per capita'!AY109&lt;=Thresholds!$D$48,"LM",IF('GNI per capita'!AY109&lt;=Thresholds!$E$48,"UM","H")))</f>
        <v>UM</v>
      </c>
      <c r="AZ109" s="42" t="str">
        <f>IF('GNI per capita'!AZ109&lt;=Thresholds!$C$49,"L",IF('GNI per capita'!AZ109&lt;=Thresholds!$D$49,"LM",IF('GNI per capita'!AZ109&lt;=Thresholds!$E$49,"UM","H")))</f>
        <v>UM</v>
      </c>
      <c r="BA109" s="42" t="str">
        <f>IF('GNI per capita'!BA109&lt;=Thresholds!$C$50,"L",IF('GNI per capita'!BA109&lt;=Thresholds!$D$50,"LM",IF('GNI per capita'!BA109&lt;=Thresholds!$E$50,"UM","H")))</f>
        <v>UM</v>
      </c>
      <c r="BB109" s="42" t="str">
        <f>IF('GNI per capita'!BB109&lt;=Thresholds!$C$51,"L",IF('GNI per capita'!BB109&lt;=Thresholds!$D$51,"LM",IF('GNI per capita'!BB109&lt;=Thresholds!$E$51,"UM","H")))</f>
        <v>UM</v>
      </c>
      <c r="BC109" s="42" t="str">
        <f>IF('GNI per capita'!BC109&lt;=Thresholds!$C$52,"L",IF('GNI per capita'!BC109&lt;=Thresholds!$D$52,"LM",IF('GNI per capita'!BC109&lt;=Thresholds!$E$52,"UM","H")))</f>
        <v>H</v>
      </c>
      <c r="BD109" s="42" t="str">
        <f>IF('GNI per capita'!BD109&lt;=Thresholds!$C$53,"L",IF('GNI per capita'!BD109&lt;=Thresholds!$D$53,"LM",IF('GNI per capita'!BD109&lt;=Thresholds!$E$53,"UM","H")))</f>
        <v>H</v>
      </c>
      <c r="BE109" s="42" t="str">
        <f>IF('GNI per capita'!BE109&lt;=Thresholds!$C$54,"L",IF('GNI per capita'!BE109&lt;=Thresholds!$D$54,"LM",IF('GNI per capita'!BE109&lt;=Thresholds!$E$54,"UM","H")))</f>
        <v>H</v>
      </c>
      <c r="BF109" s="42" t="str">
        <f>IF('GNI per capita'!BF109&lt;=Thresholds!$C$55,"L",IF('GNI per capita'!BF109&lt;=Thresholds!$D$55,"LM",IF('GNI per capita'!BF109&lt;=Thresholds!$E$55,"UM","H")))</f>
        <v>H</v>
      </c>
      <c r="BG109" s="42" t="str">
        <f>IF('GNI per capita'!BG109&lt;=Thresholds!$C$56,"L",IF('GNI per capita'!BG109&lt;=Thresholds!$D$56,"LM",IF('GNI per capita'!BG109&lt;=Thresholds!$E$56,"UM","H")))</f>
        <v>H</v>
      </c>
      <c r="BH109" s="42" t="str">
        <f>IF('GNI per capita'!BH109&lt;=Thresholds!$C$57,"L",IF('GNI per capita'!BH109&lt;=Thresholds!$D$57,"LM",IF('GNI per capita'!BH109&lt;=Thresholds!$E$57,"UM","H")))</f>
        <v>H</v>
      </c>
      <c r="BI109" s="42" t="str">
        <f>IF('GNI per capita'!BI109&lt;=Thresholds!$C$58,"L",IF('GNI per capita'!BI109&lt;=Thresholds!$D$58,"LM",IF('GNI per capita'!BI109&lt;=Thresholds!$E$58,"UM","H")))</f>
        <v>H</v>
      </c>
      <c r="BJ109" s="42" t="str">
        <f>IF('GNI per capita'!BJ109&lt;=Thresholds!$C$59,"L",IF('GNI per capita'!BJ109&lt;=Thresholds!$D$59,"LM",IF('GNI per capita'!BJ109&lt;=Thresholds!$E$59,"UM","H")))</f>
        <v>H</v>
      </c>
      <c r="BK109" s="42" t="str">
        <f>IF('GNI per capita'!BK109&lt;=Thresholds!$C$60,"L",IF('GNI per capita'!BK109&lt;=Thresholds!$D$60,"LM",IF('GNI per capita'!BK109&lt;=Thresholds!$E$60,"UM","H")))</f>
        <v>H</v>
      </c>
      <c r="BL109" s="42" t="str">
        <f>IF('GNI per capita'!BL109&lt;=Thresholds!$C$61,"L",IF('GNI per capita'!BL109&lt;=Thresholds!$D$61,"LM",IF('GNI per capita'!BL109&lt;=Thresholds!$E$61,"UM","H")))</f>
        <v>H</v>
      </c>
      <c r="BM109" s="42" t="str">
        <f>IF('GNI per capita'!BM109&lt;=Thresholds!$C$62,"L",IF('GNI per capita'!BM109&lt;=Thresholds!$D$62,"LM",IF('GNI per capita'!BM109&lt;=Thresholds!$E$62,"UM","H")))</f>
        <v>H</v>
      </c>
      <c r="BN109" s="42" t="str">
        <f>IF('GNI per capita'!BN109&lt;=Thresholds!$C$63,"L",IF('GNI per capita'!BN109&lt;=Thresholds!$D$63,"LM",IF('GNI per capita'!BN109&lt;=Thresholds!$E$63,"UM","H")))</f>
        <v>H</v>
      </c>
      <c r="BO109" s="42" t="str">
        <f>IF('GNI per capita'!BO109&lt;=Thresholds!$C$64,"L",IF('GNI per capita'!BO109&lt;=Thresholds!$D$64,"LM",IF('GNI per capita'!BO109&lt;=Thresholds!$E$64,"UM","H")))</f>
        <v>H</v>
      </c>
      <c r="BP109" s="42" t="str">
        <f>IF('GNI per capita'!BP109&lt;=Thresholds!$C$65,"L",IF('GNI per capita'!BP109&lt;=Thresholds!$D$65,"LM",IF('GNI per capita'!BP109&lt;=Thresholds!$E$65,"UM","H")))</f>
        <v>H</v>
      </c>
      <c r="BQ109" s="42" t="str">
        <f>IF('GNI per capita'!BQ109&lt;=Thresholds!$C$66,"L",IF('GNI per capita'!BQ109&lt;=Thresholds!$D$66,"LM",IF('GNI per capita'!BQ109&lt;=Thresholds!$E$66,"UM","H")))</f>
        <v>H</v>
      </c>
      <c r="BR109" s="42" t="str">
        <f>IF('GNI per capita'!BR109&lt;=Thresholds!$C$67,"L",IF('GNI per capita'!BR109&lt;=Thresholds!$D$67,"LM",IF('GNI per capita'!BR109&lt;=Thresholds!$E$67,"UM","H")))</f>
        <v>H</v>
      </c>
      <c r="BS109" s="42" t="str">
        <f>IF('GNI per capita'!BS109&lt;=Thresholds!$C$68,"L",IF('GNI per capita'!BS109&lt;=Thresholds!$D$68,"LM",IF('GNI per capita'!BS109&lt;=Thresholds!$E$68,"UM","H")))</f>
        <v>H</v>
      </c>
    </row>
    <row r="110" spans="1:71" x14ac:dyDescent="0.2">
      <c r="A110" s="2" t="s">
        <v>432</v>
      </c>
      <c r="B110" s="2" t="s">
        <v>433</v>
      </c>
      <c r="C110" s="11" t="s">
        <v>79</v>
      </c>
      <c r="G110" s="2" t="s">
        <v>162</v>
      </c>
      <c r="H110" s="41" t="s">
        <v>79</v>
      </c>
      <c r="I110" s="41" t="s">
        <v>79</v>
      </c>
      <c r="J110" s="41" t="s">
        <v>79</v>
      </c>
      <c r="K110" s="41" t="s">
        <v>79</v>
      </c>
      <c r="L110" s="41" t="s">
        <v>79</v>
      </c>
      <c r="M110" s="41" t="s">
        <v>79</v>
      </c>
      <c r="N110" s="41" t="s">
        <v>79</v>
      </c>
      <c r="O110" s="41" t="s">
        <v>79</v>
      </c>
      <c r="P110" s="41" t="s">
        <v>79</v>
      </c>
      <c r="Q110" s="41" t="s">
        <v>79</v>
      </c>
      <c r="R110" s="41" t="s">
        <v>79</v>
      </c>
      <c r="S110" s="41" t="s">
        <v>79</v>
      </c>
      <c r="T110" s="41" t="s">
        <v>79</v>
      </c>
      <c r="U110" s="41" t="s">
        <v>79</v>
      </c>
      <c r="V110" s="41" t="s">
        <v>79</v>
      </c>
      <c r="W110" s="41" t="s">
        <v>79</v>
      </c>
      <c r="X110" s="41" t="s">
        <v>79</v>
      </c>
      <c r="Y110" s="41" t="s">
        <v>79</v>
      </c>
      <c r="Z110" s="41" t="s">
        <v>79</v>
      </c>
      <c r="AA110" s="41" t="s">
        <v>79</v>
      </c>
      <c r="AB110" s="41" t="s">
        <v>79</v>
      </c>
      <c r="AC110" s="41" t="s">
        <v>79</v>
      </c>
      <c r="AD110" s="41" t="s">
        <v>79</v>
      </c>
      <c r="AE110" s="41" t="s">
        <v>79</v>
      </c>
      <c r="AF110" s="41" t="s">
        <v>79</v>
      </c>
      <c r="AG110" s="41" t="s">
        <v>79</v>
      </c>
      <c r="AH110" s="41" t="s">
        <v>79</v>
      </c>
      <c r="AI110" s="41" t="s">
        <v>79</v>
      </c>
      <c r="AJ110" s="41" t="s">
        <v>79</v>
      </c>
      <c r="AK110" s="41" t="s">
        <v>79</v>
      </c>
      <c r="AL110" s="41" t="s">
        <v>79</v>
      </c>
      <c r="AM110" s="41" t="s">
        <v>79</v>
      </c>
      <c r="AN110" s="41" t="s">
        <v>79</v>
      </c>
      <c r="AO110" s="41" t="s">
        <v>79</v>
      </c>
      <c r="AP110" s="41" t="s">
        <v>79</v>
      </c>
      <c r="AQ110" s="41" t="s">
        <v>79</v>
      </c>
      <c r="AR110" s="41" t="s">
        <v>79</v>
      </c>
      <c r="AS110" s="41" t="s">
        <v>79</v>
      </c>
      <c r="AT110" s="41" t="s">
        <v>79</v>
      </c>
      <c r="AU110" s="42" t="str">
        <f>IF('GNI per capita'!AU110&lt;=Thresholds!$C$44,"L",IF('GNI per capita'!AU110&lt;=Thresholds!$D$44,"LM",IF('GNI per capita'!AU110&lt;=Thresholds!$E$44,"UM","H")))</f>
        <v>H</v>
      </c>
      <c r="AV110" s="42" t="str">
        <f>IF('GNI per capita'!AV110&lt;=Thresholds!$C$45,"L",IF('GNI per capita'!AV110&lt;=Thresholds!$D$45,"LM",IF('GNI per capita'!AV110&lt;=Thresholds!$E$45,"UM","H")))</f>
        <v>H</v>
      </c>
      <c r="AW110" s="42" t="str">
        <f>IF('GNI per capita'!AW110&lt;=Thresholds!$C$46,"L",IF('GNI per capita'!AW110&lt;=Thresholds!$D$46,"LM",IF('GNI per capita'!AW110&lt;=Thresholds!$E$46,"UM","H")))</f>
        <v>H</v>
      </c>
      <c r="AX110" s="42" t="str">
        <f>IF('GNI per capita'!AX110&lt;=Thresholds!$C$47,"L",IF('GNI per capita'!AX110&lt;=Thresholds!$D$47,"LM",IF('GNI per capita'!AX110&lt;=Thresholds!$E$47,"UM","H")))</f>
        <v>H</v>
      </c>
      <c r="AY110" s="42" t="str">
        <f>IF('GNI per capita'!AY110&lt;=Thresholds!$C$48,"L",IF('GNI per capita'!AY110&lt;=Thresholds!$D$48,"LM",IF('GNI per capita'!AY110&lt;=Thresholds!$E$48,"UM","H")))</f>
        <v>H</v>
      </c>
      <c r="AZ110" s="42" t="str">
        <f>IF('GNI per capita'!AZ110&lt;=Thresholds!$C$49,"L",IF('GNI per capita'!AZ110&lt;=Thresholds!$D$49,"LM",IF('GNI per capita'!AZ110&lt;=Thresholds!$E$49,"UM","H")))</f>
        <v>H</v>
      </c>
      <c r="BA110" s="42" t="str">
        <f>IF('GNI per capita'!BA110&lt;=Thresholds!$C$50,"L",IF('GNI per capita'!BA110&lt;=Thresholds!$D$50,"LM",IF('GNI per capita'!BA110&lt;=Thresholds!$E$50,"UM","H")))</f>
        <v>H</v>
      </c>
      <c r="BB110" s="42" t="str">
        <f>IF('GNI per capita'!BB110&lt;=Thresholds!$C$51,"L",IF('GNI per capita'!BB110&lt;=Thresholds!$D$51,"LM",IF('GNI per capita'!BB110&lt;=Thresholds!$E$51,"UM","H")))</f>
        <v>H</v>
      </c>
      <c r="BC110" s="42" t="str">
        <f>IF('GNI per capita'!BC110&lt;=Thresholds!$C$52,"L",IF('GNI per capita'!BC110&lt;=Thresholds!$D$52,"LM",IF('GNI per capita'!BC110&lt;=Thresholds!$E$52,"UM","H")))</f>
        <v>H</v>
      </c>
      <c r="BD110" s="42" t="str">
        <f>IF('GNI per capita'!BD110&lt;=Thresholds!$C$53,"L",IF('GNI per capita'!BD110&lt;=Thresholds!$D$53,"LM",IF('GNI per capita'!BD110&lt;=Thresholds!$E$53,"UM","H")))</f>
        <v>H</v>
      </c>
      <c r="BE110" s="42" t="str">
        <f>IF('GNI per capita'!BE110&lt;=Thresholds!$C$54,"L",IF('GNI per capita'!BE110&lt;=Thresholds!$D$54,"LM",IF('GNI per capita'!BE110&lt;=Thresholds!$E$54,"UM","H")))</f>
        <v>H</v>
      </c>
      <c r="BF110" s="42" t="str">
        <f>IF('GNI per capita'!BF110&lt;=Thresholds!$C$55,"L",IF('GNI per capita'!BF110&lt;=Thresholds!$D$55,"LM",IF('GNI per capita'!BF110&lt;=Thresholds!$E$55,"UM","H")))</f>
        <v>H</v>
      </c>
      <c r="BG110" s="42" t="str">
        <f>IF('GNI per capita'!BG110&lt;=Thresholds!$C$56,"L",IF('GNI per capita'!BG110&lt;=Thresholds!$D$56,"LM",IF('GNI per capita'!BG110&lt;=Thresholds!$E$56,"UM","H")))</f>
        <v>H</v>
      </c>
      <c r="BH110" s="42" t="str">
        <f>IF('GNI per capita'!BH110&lt;=Thresholds!$C$57,"L",IF('GNI per capita'!BH110&lt;=Thresholds!$D$57,"LM",IF('GNI per capita'!BH110&lt;=Thresholds!$E$57,"UM","H")))</f>
        <v>H</v>
      </c>
      <c r="BI110" s="42" t="str">
        <f>IF('GNI per capita'!BI110&lt;=Thresholds!$C$58,"L",IF('GNI per capita'!BI110&lt;=Thresholds!$D$58,"LM",IF('GNI per capita'!BI110&lt;=Thresholds!$E$58,"UM","H")))</f>
        <v>H</v>
      </c>
      <c r="BJ110" s="42" t="str">
        <f>IF('GNI per capita'!BJ110&lt;=Thresholds!$C$59,"L",IF('GNI per capita'!BJ110&lt;=Thresholds!$D$59,"LM",IF('GNI per capita'!BJ110&lt;=Thresholds!$E$59,"UM","H")))</f>
        <v>H</v>
      </c>
      <c r="BK110" s="42" t="str">
        <f>IF('GNI per capita'!BK110&lt;=Thresholds!$C$60,"L",IF('GNI per capita'!BK110&lt;=Thresholds!$D$60,"LM",IF('GNI per capita'!BK110&lt;=Thresholds!$E$60,"UM","H")))</f>
        <v>H</v>
      </c>
      <c r="BL110" s="42" t="str">
        <f>IF('GNI per capita'!BL110&lt;=Thresholds!$C$61,"L",IF('GNI per capita'!BL110&lt;=Thresholds!$D$61,"LM",IF('GNI per capita'!BL110&lt;=Thresholds!$E$61,"UM","H")))</f>
        <v>H</v>
      </c>
      <c r="BM110" s="42" t="str">
        <f>IF('GNI per capita'!BM110&lt;=Thresholds!$C$62,"L",IF('GNI per capita'!BM110&lt;=Thresholds!$D$62,"LM",IF('GNI per capita'!BM110&lt;=Thresholds!$E$62,"UM","H")))</f>
        <v>H</v>
      </c>
      <c r="BN110" s="42" t="str">
        <f>IF('GNI per capita'!BN110&lt;=Thresholds!$C$63,"L",IF('GNI per capita'!BN110&lt;=Thresholds!$D$63,"LM",IF('GNI per capita'!BN110&lt;=Thresholds!$E$63,"UM","H")))</f>
        <v>H</v>
      </c>
      <c r="BO110" s="42" t="str">
        <f>IF('GNI per capita'!BO110&lt;=Thresholds!$C$64,"L",IF('GNI per capita'!BO110&lt;=Thresholds!$D$64,"LM",IF('GNI per capita'!BO110&lt;=Thresholds!$E$64,"UM","H")))</f>
        <v>H</v>
      </c>
      <c r="BP110" s="42" t="str">
        <f>IF('GNI per capita'!BP110&lt;=Thresholds!$C$65,"L",IF('GNI per capita'!BP110&lt;=Thresholds!$D$65,"LM",IF('GNI per capita'!BP110&lt;=Thresholds!$E$65,"UM","H")))</f>
        <v>H</v>
      </c>
      <c r="BQ110" s="42" t="str">
        <f>IF('GNI per capita'!BQ110&lt;=Thresholds!$C$66,"L",IF('GNI per capita'!BQ110&lt;=Thresholds!$D$66,"LM",IF('GNI per capita'!BQ110&lt;=Thresholds!$E$66,"UM","H")))</f>
        <v>H</v>
      </c>
      <c r="BR110" s="42" t="str">
        <f>IF('GNI per capita'!BR110&lt;=Thresholds!$C$67,"L",IF('GNI per capita'!BR110&lt;=Thresholds!$D$67,"LM",IF('GNI per capita'!BR110&lt;=Thresholds!$E$67,"UM","H")))</f>
        <v>H</v>
      </c>
      <c r="BS110" s="42" t="str">
        <f>IF('GNI per capita'!BS110&lt;=Thresholds!$C$68,"L",IF('GNI per capita'!BS110&lt;=Thresholds!$D$68,"LM",IF('GNI per capita'!BS110&lt;=Thresholds!$E$68,"UM","H")))</f>
        <v>H</v>
      </c>
    </row>
    <row r="111" spans="1:71" x14ac:dyDescent="0.2">
      <c r="A111" s="2" t="s">
        <v>434</v>
      </c>
      <c r="B111" s="2" t="s">
        <v>435</v>
      </c>
      <c r="C111" s="11" t="s">
        <v>210</v>
      </c>
      <c r="G111" s="2" t="s">
        <v>378</v>
      </c>
      <c r="H111" s="41"/>
      <c r="I111" s="41"/>
      <c r="J111" s="41"/>
      <c r="K111" s="41"/>
      <c r="L111" s="41" t="s">
        <v>210</v>
      </c>
      <c r="M111" s="41" t="s">
        <v>210</v>
      </c>
      <c r="N111" s="41" t="s">
        <v>210</v>
      </c>
      <c r="O111" s="41" t="s">
        <v>75</v>
      </c>
      <c r="P111" s="41" t="s">
        <v>75</v>
      </c>
      <c r="Q111" s="41" t="s">
        <v>75</v>
      </c>
      <c r="R111" s="41" t="s">
        <v>75</v>
      </c>
      <c r="S111" s="41" t="s">
        <v>75</v>
      </c>
      <c r="T111" s="41" t="s">
        <v>75</v>
      </c>
      <c r="U111" s="41" t="s">
        <v>75</v>
      </c>
      <c r="V111" s="41" t="s">
        <v>75</v>
      </c>
      <c r="W111" s="41" t="s">
        <v>75</v>
      </c>
      <c r="X111" s="41" t="s">
        <v>75</v>
      </c>
      <c r="Y111" s="41" t="s">
        <v>75</v>
      </c>
      <c r="Z111" s="41" t="s">
        <v>75</v>
      </c>
      <c r="AA111" s="41" t="s">
        <v>75</v>
      </c>
      <c r="AB111" s="41" t="s">
        <v>75</v>
      </c>
      <c r="AC111" s="41" t="s">
        <v>75</v>
      </c>
      <c r="AD111" s="41" t="s">
        <v>75</v>
      </c>
      <c r="AE111" s="41" t="s">
        <v>75</v>
      </c>
      <c r="AF111" s="41" t="s">
        <v>75</v>
      </c>
      <c r="AG111" s="41" t="s">
        <v>75</v>
      </c>
      <c r="AH111" s="41" t="s">
        <v>210</v>
      </c>
      <c r="AI111" s="41" t="s">
        <v>210</v>
      </c>
      <c r="AJ111" s="41" t="s">
        <v>210</v>
      </c>
      <c r="AK111" s="41" t="s">
        <v>210</v>
      </c>
      <c r="AL111" s="41" t="s">
        <v>210</v>
      </c>
      <c r="AM111" s="41" t="s">
        <v>210</v>
      </c>
      <c r="AN111" s="41" t="s">
        <v>210</v>
      </c>
      <c r="AO111" s="41" t="s">
        <v>210</v>
      </c>
      <c r="AP111" s="41" t="s">
        <v>210</v>
      </c>
      <c r="AQ111" s="41" t="s">
        <v>210</v>
      </c>
      <c r="AR111" s="41" t="s">
        <v>210</v>
      </c>
      <c r="AS111" s="41" t="s">
        <v>210</v>
      </c>
      <c r="AT111" s="41" t="s">
        <v>210</v>
      </c>
      <c r="AU111" s="42" t="str">
        <f>IF('GNI per capita'!AU111&lt;=Thresholds!$C$44,"L",IF('GNI per capita'!AU111&lt;=Thresholds!$D$44,"LM",IF('GNI per capita'!AU111&lt;=Thresholds!$E$44,"UM","H")))</f>
        <v>LM</v>
      </c>
      <c r="AV111" s="42" t="str">
        <f>IF('GNI per capita'!AV111&lt;=Thresholds!$C$45,"L",IF('GNI per capita'!AV111&lt;=Thresholds!$D$45,"LM",IF('GNI per capita'!AV111&lt;=Thresholds!$E$45,"UM","H")))</f>
        <v>LM</v>
      </c>
      <c r="AW111" s="42" t="str">
        <f>IF('GNI per capita'!AW111&lt;=Thresholds!$C$46,"L",IF('GNI per capita'!AW111&lt;=Thresholds!$D$46,"LM",IF('GNI per capita'!AW111&lt;=Thresholds!$E$46,"UM","H")))</f>
        <v>LM</v>
      </c>
      <c r="AX111" s="42" t="str">
        <f>IF('GNI per capita'!AX111&lt;=Thresholds!$C$47,"L",IF('GNI per capita'!AX111&lt;=Thresholds!$D$47,"LM",IF('GNI per capita'!AX111&lt;=Thresholds!$E$47,"UM","H")))</f>
        <v>LM</v>
      </c>
      <c r="AY111" s="42" t="str">
        <f>IF('GNI per capita'!AY111&lt;=Thresholds!$C$48,"L",IF('GNI per capita'!AY111&lt;=Thresholds!$D$48,"LM",IF('GNI per capita'!AY111&lt;=Thresholds!$E$48,"UM","H")))</f>
        <v>LM</v>
      </c>
      <c r="AZ111" s="42" t="str">
        <f>IF('GNI per capita'!AZ111&lt;=Thresholds!$C$49,"L",IF('GNI per capita'!AZ111&lt;=Thresholds!$D$49,"LM",IF('GNI per capita'!AZ111&lt;=Thresholds!$E$49,"UM","H")))</f>
        <v>LM</v>
      </c>
      <c r="BA111" s="42" t="str">
        <f>IF('GNI per capita'!BA111&lt;=Thresholds!$C$50,"L",IF('GNI per capita'!BA111&lt;=Thresholds!$D$50,"LM",IF('GNI per capita'!BA111&lt;=Thresholds!$E$50,"UM","H")))</f>
        <v>LM</v>
      </c>
      <c r="BB111" s="42" t="str">
        <f>IF('GNI per capita'!BB111&lt;=Thresholds!$C$51,"L",IF('GNI per capita'!BB111&lt;=Thresholds!$D$51,"LM",IF('GNI per capita'!BB111&lt;=Thresholds!$E$51,"UM","H")))</f>
        <v>LM</v>
      </c>
      <c r="BC111" s="42" t="str">
        <f>IF('GNI per capita'!BC111&lt;=Thresholds!$C$52,"L",IF('GNI per capita'!BC111&lt;=Thresholds!$D$52,"LM",IF('GNI per capita'!BC111&lt;=Thresholds!$E$52,"UM","H")))</f>
        <v>UM</v>
      </c>
      <c r="BD111" s="42" t="str">
        <f>IF('GNI per capita'!BD111&lt;=Thresholds!$C$53,"L",IF('GNI per capita'!BD111&lt;=Thresholds!$D$53,"LM",IF('GNI per capita'!BD111&lt;=Thresholds!$E$53,"UM","H")))</f>
        <v>UM</v>
      </c>
      <c r="BE111" s="42" t="str">
        <f>IF('GNI per capita'!BE111&lt;=Thresholds!$C$54,"L",IF('GNI per capita'!BE111&lt;=Thresholds!$D$54,"LM",IF('GNI per capita'!BE111&lt;=Thresholds!$E$54,"UM","H")))</f>
        <v>UM</v>
      </c>
      <c r="BF111" s="42" t="str">
        <f>IF('GNI per capita'!BF111&lt;=Thresholds!$C$55,"L",IF('GNI per capita'!BF111&lt;=Thresholds!$D$55,"LM",IF('GNI per capita'!BF111&lt;=Thresholds!$E$55,"UM","H")))</f>
        <v>UM</v>
      </c>
      <c r="BG111" s="42" t="str">
        <f>IF('GNI per capita'!BG111&lt;=Thresholds!$C$56,"L",IF('GNI per capita'!BG111&lt;=Thresholds!$D$56,"LM",IF('GNI per capita'!BG111&lt;=Thresholds!$E$56,"UM","H")))</f>
        <v>UM</v>
      </c>
      <c r="BH111" s="42" t="str">
        <f>IF('GNI per capita'!BH111&lt;=Thresholds!$C$57,"L",IF('GNI per capita'!BH111&lt;=Thresholds!$D$57,"LM",IF('GNI per capita'!BH111&lt;=Thresholds!$E$57,"UM","H")))</f>
        <v>UM</v>
      </c>
      <c r="BI111" s="42" t="str">
        <f>IF('GNI per capita'!BI111&lt;=Thresholds!$C$58,"L",IF('GNI per capita'!BI111&lt;=Thresholds!$D$58,"LM",IF('GNI per capita'!BI111&lt;=Thresholds!$E$58,"UM","H")))</f>
        <v>UM</v>
      </c>
      <c r="BJ111" s="42" t="str">
        <f>IF('GNI per capita'!BJ111&lt;=Thresholds!$C$59,"L",IF('GNI per capita'!BJ111&lt;=Thresholds!$D$59,"LM",IF('GNI per capita'!BJ111&lt;=Thresholds!$E$59,"UM","H")))</f>
        <v>UM</v>
      </c>
      <c r="BK111" s="42" t="str">
        <f>IF('GNI per capita'!BK111&lt;=Thresholds!$C$60,"L",IF('GNI per capita'!BK111&lt;=Thresholds!$D$60,"LM",IF('GNI per capita'!BK111&lt;=Thresholds!$E$60,"UM","H")))</f>
        <v>UM</v>
      </c>
      <c r="BL111" s="42" t="str">
        <f>IF('GNI per capita'!BL111&lt;=Thresholds!$C$61,"L",IF('GNI per capita'!BL111&lt;=Thresholds!$D$61,"LM",IF('GNI per capita'!BL111&lt;=Thresholds!$E$61,"UM","H")))</f>
        <v>UM</v>
      </c>
      <c r="BM111" s="42" t="str">
        <f>IF('GNI per capita'!BM111&lt;=Thresholds!$C$62,"L",IF('GNI per capita'!BM111&lt;=Thresholds!$D$62,"LM",IF('GNI per capita'!BM111&lt;=Thresholds!$E$62,"UM","H")))</f>
        <v>UM</v>
      </c>
      <c r="BN111" s="42" t="str">
        <f>IF('GNI per capita'!BN111&lt;=Thresholds!$C$63,"L",IF('GNI per capita'!BN111&lt;=Thresholds!$D$63,"LM",IF('GNI per capita'!BN111&lt;=Thresholds!$E$63,"UM","H")))</f>
        <v>UM</v>
      </c>
      <c r="BO111" s="42" t="str">
        <f>IF('GNI per capita'!BO111&lt;=Thresholds!$C$64,"L",IF('GNI per capita'!BO111&lt;=Thresholds!$D$64,"LM",IF('GNI per capita'!BO111&lt;=Thresholds!$E$64,"UM","H")))</f>
        <v>UM</v>
      </c>
      <c r="BP111" s="42" t="str">
        <f>IF('GNI per capita'!BP111&lt;=Thresholds!$C$65,"L",IF('GNI per capita'!BP111&lt;=Thresholds!$D$65,"LM",IF('GNI per capita'!BP111&lt;=Thresholds!$E$65,"UM","H")))</f>
        <v>UM</v>
      </c>
      <c r="BQ111" s="42" t="str">
        <f>IF('GNI per capita'!BQ111&lt;=Thresholds!$C$66,"L",IF('GNI per capita'!BQ111&lt;=Thresholds!$D$66,"LM",IF('GNI per capita'!BQ111&lt;=Thresholds!$E$66,"UM","H")))</f>
        <v>UM</v>
      </c>
      <c r="BR111" s="42" t="str">
        <f>IF('GNI per capita'!BR111&lt;=Thresholds!$C$67,"L",IF('GNI per capita'!BR111&lt;=Thresholds!$D$67,"LM",IF('GNI per capita'!BR111&lt;=Thresholds!$E$67,"UM","H")))</f>
        <v>UM</v>
      </c>
      <c r="BS111" s="42" t="str">
        <f>IF('GNI per capita'!BS111&lt;=Thresholds!$C$68,"L",IF('GNI per capita'!BS111&lt;=Thresholds!$D$68,"LM",IF('GNI per capita'!BS111&lt;=Thresholds!$E$68,"UM","H")))</f>
        <v>UM</v>
      </c>
    </row>
    <row r="112" spans="1:71" x14ac:dyDescent="0.2">
      <c r="A112" s="2" t="s">
        <v>436</v>
      </c>
      <c r="B112" s="2" t="s">
        <v>437</v>
      </c>
      <c r="C112" s="11" t="s">
        <v>210</v>
      </c>
      <c r="G112" s="2" t="s">
        <v>162</v>
      </c>
      <c r="H112" s="41" t="s">
        <v>75</v>
      </c>
      <c r="I112" s="41" t="s">
        <v>75</v>
      </c>
      <c r="J112" s="41" t="s">
        <v>75</v>
      </c>
      <c r="K112" s="41" t="s">
        <v>75</v>
      </c>
      <c r="L112" s="41" t="s">
        <v>75</v>
      </c>
      <c r="M112" s="41" t="s">
        <v>75</v>
      </c>
      <c r="N112" s="41" t="s">
        <v>75</v>
      </c>
      <c r="O112" s="41" t="s">
        <v>75</v>
      </c>
      <c r="P112" s="41" t="s">
        <v>75</v>
      </c>
      <c r="Q112" s="41" t="s">
        <v>75</v>
      </c>
      <c r="R112" s="41" t="s">
        <v>75</v>
      </c>
      <c r="S112" s="41" t="s">
        <v>75</v>
      </c>
      <c r="T112" s="41" t="s">
        <v>75</v>
      </c>
      <c r="U112" s="41" t="s">
        <v>75</v>
      </c>
      <c r="V112" s="41" t="s">
        <v>75</v>
      </c>
      <c r="W112" s="41" t="s">
        <v>75</v>
      </c>
      <c r="X112" s="41" t="s">
        <v>75</v>
      </c>
      <c r="Y112" s="41" t="s">
        <v>75</v>
      </c>
      <c r="Z112" s="41" t="s">
        <v>75</v>
      </c>
      <c r="AA112" s="41" t="s">
        <v>75</v>
      </c>
      <c r="AB112" s="41" t="s">
        <v>75</v>
      </c>
      <c r="AC112" s="41" t="s">
        <v>75</v>
      </c>
      <c r="AD112" s="41" t="s">
        <v>75</v>
      </c>
      <c r="AE112" s="41" t="s">
        <v>210</v>
      </c>
      <c r="AF112" s="41" t="s">
        <v>210</v>
      </c>
      <c r="AG112" s="41" t="s">
        <v>210</v>
      </c>
      <c r="AH112" s="41" t="s">
        <v>210</v>
      </c>
      <c r="AI112" s="41" t="s">
        <v>210</v>
      </c>
      <c r="AJ112" s="41" t="s">
        <v>210</v>
      </c>
      <c r="AK112" s="41" t="s">
        <v>210</v>
      </c>
      <c r="AL112" s="41" t="s">
        <v>210</v>
      </c>
      <c r="AM112" s="41" t="s">
        <v>210</v>
      </c>
      <c r="AN112" s="41" t="s">
        <v>210</v>
      </c>
      <c r="AO112" s="41" t="s">
        <v>210</v>
      </c>
      <c r="AP112" s="41" t="s">
        <v>210</v>
      </c>
      <c r="AQ112" s="41" t="s">
        <v>210</v>
      </c>
      <c r="AR112" s="41" t="s">
        <v>210</v>
      </c>
      <c r="AS112" s="41" t="s">
        <v>210</v>
      </c>
      <c r="AT112" s="41" t="s">
        <v>210</v>
      </c>
      <c r="AU112" s="42" t="str">
        <f>IF('GNI per capita'!AU112&lt;=Thresholds!$C$44,"L",IF('GNI per capita'!AU112&lt;=Thresholds!$D$44,"LM",IF('GNI per capita'!AU112&lt;=Thresholds!$E$44,"UM","H")))</f>
        <v>LM</v>
      </c>
      <c r="AV112" s="42" t="str">
        <f>IF('GNI per capita'!AV112&lt;=Thresholds!$C$45,"L",IF('GNI per capita'!AV112&lt;=Thresholds!$D$45,"LM",IF('GNI per capita'!AV112&lt;=Thresholds!$E$45,"UM","H")))</f>
        <v>LM</v>
      </c>
      <c r="AW112" s="42" t="str">
        <f>IF('GNI per capita'!AW112&lt;=Thresholds!$C$46,"L",IF('GNI per capita'!AW112&lt;=Thresholds!$D$46,"LM",IF('GNI per capita'!AW112&lt;=Thresholds!$E$46,"UM","H")))</f>
        <v>LM</v>
      </c>
      <c r="AX112" s="42" t="str">
        <f>IF('GNI per capita'!AX112&lt;=Thresholds!$C$47,"L",IF('GNI per capita'!AX112&lt;=Thresholds!$D$47,"LM",IF('GNI per capita'!AX112&lt;=Thresholds!$E$47,"UM","H")))</f>
        <v>LM</v>
      </c>
      <c r="AY112" s="42" t="str">
        <f>IF('GNI per capita'!AY112&lt;=Thresholds!$C$48,"L",IF('GNI per capita'!AY112&lt;=Thresholds!$D$48,"LM",IF('GNI per capita'!AY112&lt;=Thresholds!$E$48,"UM","H")))</f>
        <v>LM</v>
      </c>
      <c r="AZ112" s="42" t="str">
        <f>IF('GNI per capita'!AZ112&lt;=Thresholds!$C$49,"L",IF('GNI per capita'!AZ112&lt;=Thresholds!$D$49,"LM",IF('GNI per capita'!AZ112&lt;=Thresholds!$E$49,"UM","H")))</f>
        <v>LM</v>
      </c>
      <c r="BA112" s="42" t="str">
        <f>IF('GNI per capita'!BA112&lt;=Thresholds!$C$50,"L",IF('GNI per capita'!BA112&lt;=Thresholds!$D$50,"LM",IF('GNI per capita'!BA112&lt;=Thresholds!$E$50,"UM","H")))</f>
        <v>LM</v>
      </c>
      <c r="BB112" s="42" t="str">
        <f>IF('GNI per capita'!BB112&lt;=Thresholds!$C$51,"L",IF('GNI per capita'!BB112&lt;=Thresholds!$D$51,"LM",IF('GNI per capita'!BB112&lt;=Thresholds!$E$51,"UM","H")))</f>
        <v>LM</v>
      </c>
      <c r="BC112" s="42" t="str">
        <f>IF('GNI per capita'!BC112&lt;=Thresholds!$C$52,"L",IF('GNI per capita'!BC112&lt;=Thresholds!$D$52,"LM",IF('GNI per capita'!BC112&lt;=Thresholds!$E$52,"UM","H")))</f>
        <v>LM</v>
      </c>
      <c r="BD112" s="42" t="str">
        <f>IF('GNI per capita'!BD112&lt;=Thresholds!$C$53,"L",IF('GNI per capita'!BD112&lt;=Thresholds!$D$53,"LM",IF('GNI per capita'!BD112&lt;=Thresholds!$E$53,"UM","H")))</f>
        <v>LM</v>
      </c>
      <c r="BE112" s="42" t="str">
        <f>IF('GNI per capita'!BE112&lt;=Thresholds!$C$54,"L",IF('GNI per capita'!BE112&lt;=Thresholds!$D$54,"LM",IF('GNI per capita'!BE112&lt;=Thresholds!$E$54,"UM","H")))</f>
        <v>LM</v>
      </c>
      <c r="BF112" s="42" t="str">
        <f>IF('GNI per capita'!BF112&lt;=Thresholds!$C$55,"L",IF('GNI per capita'!BF112&lt;=Thresholds!$D$55,"LM",IF('GNI per capita'!BF112&lt;=Thresholds!$E$55,"UM","H")))</f>
        <v>LM</v>
      </c>
      <c r="BG112" s="42" t="str">
        <f>IF('GNI per capita'!BG112&lt;=Thresholds!$C$56,"L",IF('GNI per capita'!BG112&lt;=Thresholds!$D$56,"LM",IF('GNI per capita'!BG112&lt;=Thresholds!$E$56,"UM","H")))</f>
        <v>LM</v>
      </c>
      <c r="BH112" s="42" t="str">
        <f>IF('GNI per capita'!BH112&lt;=Thresholds!$C$57,"L",IF('GNI per capita'!BH112&lt;=Thresholds!$D$57,"LM",IF('GNI per capita'!BH112&lt;=Thresholds!$E$57,"UM","H")))</f>
        <v>LM</v>
      </c>
      <c r="BI112" s="42" t="str">
        <f>IF('GNI per capita'!BI112&lt;=Thresholds!$C$58,"L",IF('GNI per capita'!BI112&lt;=Thresholds!$D$58,"LM",IF('GNI per capita'!BI112&lt;=Thresholds!$E$58,"UM","H")))</f>
        <v>LM</v>
      </c>
      <c r="BJ112" s="42" t="str">
        <f>IF('GNI per capita'!BJ112&lt;=Thresholds!$C$59,"L",IF('GNI per capita'!BJ112&lt;=Thresholds!$D$59,"LM",IF('GNI per capita'!BJ112&lt;=Thresholds!$E$59,"UM","H")))</f>
        <v>LM</v>
      </c>
      <c r="BK112" s="42" t="str">
        <f>IF('GNI per capita'!BK112&lt;=Thresholds!$C$60,"L",IF('GNI per capita'!BK112&lt;=Thresholds!$D$60,"LM",IF('GNI per capita'!BK112&lt;=Thresholds!$E$60,"UM","H")))</f>
        <v>LM</v>
      </c>
      <c r="BL112" s="42" t="str">
        <f>IF('GNI per capita'!BL112&lt;=Thresholds!$C$61,"L",IF('GNI per capita'!BL112&lt;=Thresholds!$D$61,"LM",IF('GNI per capita'!BL112&lt;=Thresholds!$E$61,"UM","H")))</f>
        <v>LM</v>
      </c>
      <c r="BM112" s="42" t="str">
        <f>IF('GNI per capita'!BM112&lt;=Thresholds!$C$62,"L",IF('GNI per capita'!BM112&lt;=Thresholds!$D$62,"LM",IF('GNI per capita'!BM112&lt;=Thresholds!$E$62,"UM","H")))</f>
        <v>LM</v>
      </c>
      <c r="BN112" s="42" t="str">
        <f>IF('GNI per capita'!BN112&lt;=Thresholds!$C$63,"L",IF('GNI per capita'!BN112&lt;=Thresholds!$D$63,"LM",IF('GNI per capita'!BN112&lt;=Thresholds!$E$63,"UM","H")))</f>
        <v>LM</v>
      </c>
      <c r="BO112" s="42" t="str">
        <f>IF('GNI per capita'!BO112&lt;=Thresholds!$C$64,"L",IF('GNI per capita'!BO112&lt;=Thresholds!$D$64,"LM",IF('GNI per capita'!BO112&lt;=Thresholds!$E$64,"UM","H")))</f>
        <v>LM</v>
      </c>
      <c r="BP112" s="42" t="str">
        <f>IF('GNI per capita'!BP112&lt;=Thresholds!$C$65,"L",IF('GNI per capita'!BP112&lt;=Thresholds!$D$65,"LM",IF('GNI per capita'!BP112&lt;=Thresholds!$E$65,"UM","H")))</f>
        <v>LM</v>
      </c>
      <c r="BQ112" s="42" t="str">
        <f>IF('GNI per capita'!BQ112&lt;=Thresholds!$C$66,"L",IF('GNI per capita'!BQ112&lt;=Thresholds!$D$66,"LM",IF('GNI per capita'!BQ112&lt;=Thresholds!$E$66,"UM","H")))</f>
        <v>LM</v>
      </c>
      <c r="BR112" s="42" t="str">
        <f>IF('GNI per capita'!BR112&lt;=Thresholds!$C$67,"L",IF('GNI per capita'!BR112&lt;=Thresholds!$D$67,"LM",IF('GNI per capita'!BR112&lt;=Thresholds!$E$67,"UM","H")))</f>
        <v>LM</v>
      </c>
      <c r="BS112" s="42" t="str">
        <f>IF('GNI per capita'!BS112&lt;=Thresholds!$C$68,"L",IF('GNI per capita'!BS112&lt;=Thresholds!$D$68,"LM",IF('GNI per capita'!BS112&lt;=Thresholds!$E$68,"UM","H")))</f>
        <v>LM</v>
      </c>
    </row>
    <row r="113" spans="1:71" x14ac:dyDescent="0.2">
      <c r="A113" s="2" t="s">
        <v>438</v>
      </c>
      <c r="B113" s="2" t="s">
        <v>439</v>
      </c>
      <c r="C113" s="11" t="s">
        <v>79</v>
      </c>
      <c r="G113" s="2" t="s">
        <v>162</v>
      </c>
      <c r="H113" s="41"/>
      <c r="I113" s="41"/>
      <c r="J113" s="41"/>
      <c r="K113" s="41"/>
      <c r="L113" s="41" t="s">
        <v>82</v>
      </c>
      <c r="M113" s="41" t="s">
        <v>210</v>
      </c>
      <c r="N113" s="41" t="s">
        <v>210</v>
      </c>
      <c r="O113" s="41" t="s">
        <v>210</v>
      </c>
      <c r="P113" s="41" t="s">
        <v>210</v>
      </c>
      <c r="Q113" s="41" t="s">
        <v>210</v>
      </c>
      <c r="R113" s="41" t="s">
        <v>210</v>
      </c>
      <c r="S113" s="41" t="s">
        <v>210</v>
      </c>
      <c r="T113" s="41" t="s">
        <v>210</v>
      </c>
      <c r="U113" s="41" t="s">
        <v>210</v>
      </c>
      <c r="V113" s="41" t="s">
        <v>82</v>
      </c>
      <c r="W113" s="41" t="s">
        <v>82</v>
      </c>
      <c r="X113" s="41" t="s">
        <v>82</v>
      </c>
      <c r="Y113" s="41" t="s">
        <v>82</v>
      </c>
      <c r="Z113" s="41" t="s">
        <v>82</v>
      </c>
      <c r="AA113" s="41" t="s">
        <v>82</v>
      </c>
      <c r="AB113" s="41" t="s">
        <v>82</v>
      </c>
      <c r="AC113" s="41" t="s">
        <v>82</v>
      </c>
      <c r="AD113" s="41" t="s">
        <v>79</v>
      </c>
      <c r="AE113" s="41" t="s">
        <v>82</v>
      </c>
      <c r="AF113" s="41" t="s">
        <v>82</v>
      </c>
      <c r="AG113" s="41" t="s">
        <v>79</v>
      </c>
      <c r="AH113" s="41" t="s">
        <v>79</v>
      </c>
      <c r="AI113" s="41" t="s">
        <v>79</v>
      </c>
      <c r="AJ113" s="41" t="s">
        <v>79</v>
      </c>
      <c r="AK113" s="41" t="s">
        <v>79</v>
      </c>
      <c r="AL113" s="41" t="s">
        <v>79</v>
      </c>
      <c r="AM113" s="41" t="s">
        <v>79</v>
      </c>
      <c r="AN113" s="41" t="s">
        <v>79</v>
      </c>
      <c r="AO113" s="41" t="s">
        <v>79</v>
      </c>
      <c r="AP113" s="41" t="s">
        <v>79</v>
      </c>
      <c r="AQ113" s="41" t="s">
        <v>79</v>
      </c>
      <c r="AR113" s="41" t="s">
        <v>79</v>
      </c>
      <c r="AS113" s="41" t="s">
        <v>79</v>
      </c>
      <c r="AT113" s="41" t="s">
        <v>79</v>
      </c>
      <c r="AU113" s="42" t="str">
        <f>IF('GNI per capita'!AU113&lt;=Thresholds!$C$44,"L",IF('GNI per capita'!AU113&lt;=Thresholds!$D$44,"LM",IF('GNI per capita'!AU113&lt;=Thresholds!$E$44,"UM","H")))</f>
        <v>H</v>
      </c>
      <c r="AV113" s="42" t="str">
        <f>IF('GNI per capita'!AV113&lt;=Thresholds!$C$45,"L",IF('GNI per capita'!AV113&lt;=Thresholds!$D$45,"LM",IF('GNI per capita'!AV113&lt;=Thresholds!$E$45,"UM","H")))</f>
        <v>H</v>
      </c>
      <c r="AW113" s="42" t="str">
        <f>IF('GNI per capita'!AW113&lt;=Thresholds!$C$46,"L",IF('GNI per capita'!AW113&lt;=Thresholds!$D$46,"LM",IF('GNI per capita'!AW113&lt;=Thresholds!$E$46,"UM","H")))</f>
        <v>H</v>
      </c>
      <c r="AX113" s="42" t="str">
        <f>IF('GNI per capita'!AX113&lt;=Thresholds!$C$47,"L",IF('GNI per capita'!AX113&lt;=Thresholds!$D$47,"LM",IF('GNI per capita'!AX113&lt;=Thresholds!$E$47,"UM","H")))</f>
        <v>H</v>
      </c>
      <c r="AY113" s="42" t="str">
        <f>IF('GNI per capita'!AY113&lt;=Thresholds!$C$48,"L",IF('GNI per capita'!AY113&lt;=Thresholds!$D$48,"LM",IF('GNI per capita'!AY113&lt;=Thresholds!$E$48,"UM","H")))</f>
        <v>H</v>
      </c>
      <c r="AZ113" s="42" t="str">
        <f>IF('GNI per capita'!AZ113&lt;=Thresholds!$C$49,"L",IF('GNI per capita'!AZ113&lt;=Thresholds!$D$49,"LM",IF('GNI per capita'!AZ113&lt;=Thresholds!$E$49,"UM","H")))</f>
        <v>H</v>
      </c>
      <c r="BA113" s="42" t="str">
        <f>IF('GNI per capita'!BA113&lt;=Thresholds!$C$50,"L",IF('GNI per capita'!BA113&lt;=Thresholds!$D$50,"LM",IF('GNI per capita'!BA113&lt;=Thresholds!$E$50,"UM","H")))</f>
        <v>H</v>
      </c>
      <c r="BB113" s="42" t="str">
        <f>IF('GNI per capita'!BB113&lt;=Thresholds!$C$51,"L",IF('GNI per capita'!BB113&lt;=Thresholds!$D$51,"LM",IF('GNI per capita'!BB113&lt;=Thresholds!$E$51,"UM","H")))</f>
        <v>H</v>
      </c>
      <c r="BC113" s="42" t="str">
        <f>IF('GNI per capita'!BC113&lt;=Thresholds!$C$52,"L",IF('GNI per capita'!BC113&lt;=Thresholds!$D$52,"LM",IF('GNI per capita'!BC113&lt;=Thresholds!$E$52,"UM","H")))</f>
        <v>H</v>
      </c>
      <c r="BD113" s="42" t="str">
        <f>IF('GNI per capita'!BD113&lt;=Thresholds!$C$53,"L",IF('GNI per capita'!BD113&lt;=Thresholds!$D$53,"LM",IF('GNI per capita'!BD113&lt;=Thresholds!$E$53,"UM","H")))</f>
        <v>H</v>
      </c>
      <c r="BE113" s="42" t="str">
        <f>IF('GNI per capita'!BE113&lt;=Thresholds!$C$54,"L",IF('GNI per capita'!BE113&lt;=Thresholds!$D$54,"LM",IF('GNI per capita'!BE113&lt;=Thresholds!$E$54,"UM","H")))</f>
        <v>H</v>
      </c>
      <c r="BF113" s="42" t="str">
        <f>IF('GNI per capita'!BF113&lt;=Thresholds!$C$55,"L",IF('GNI per capita'!BF113&lt;=Thresholds!$D$55,"LM",IF('GNI per capita'!BF113&lt;=Thresholds!$E$55,"UM","H")))</f>
        <v>H</v>
      </c>
      <c r="BG113" s="42" t="str">
        <f>IF('GNI per capita'!BG113&lt;=Thresholds!$C$56,"L",IF('GNI per capita'!BG113&lt;=Thresholds!$D$56,"LM",IF('GNI per capita'!BG113&lt;=Thresholds!$E$56,"UM","H")))</f>
        <v>H</v>
      </c>
      <c r="BH113" s="42" t="str">
        <f>IF('GNI per capita'!BH113&lt;=Thresholds!$C$57,"L",IF('GNI per capita'!BH113&lt;=Thresholds!$D$57,"LM",IF('GNI per capita'!BH113&lt;=Thresholds!$E$57,"UM","H")))</f>
        <v>H</v>
      </c>
      <c r="BI113" s="42" t="str">
        <f>IF('GNI per capita'!BI113&lt;=Thresholds!$C$58,"L",IF('GNI per capita'!BI113&lt;=Thresholds!$D$58,"LM",IF('GNI per capita'!BI113&lt;=Thresholds!$E$58,"UM","H")))</f>
        <v>H</v>
      </c>
      <c r="BJ113" s="42" t="str">
        <f>IF('GNI per capita'!BJ113&lt;=Thresholds!$C$59,"L",IF('GNI per capita'!BJ113&lt;=Thresholds!$D$59,"LM",IF('GNI per capita'!BJ113&lt;=Thresholds!$E$59,"UM","H")))</f>
        <v>H</v>
      </c>
      <c r="BK113" s="42" t="str">
        <f>IF('GNI per capita'!BK113&lt;=Thresholds!$C$60,"L",IF('GNI per capita'!BK113&lt;=Thresholds!$D$60,"LM",IF('GNI per capita'!BK113&lt;=Thresholds!$E$60,"UM","H")))</f>
        <v>H</v>
      </c>
      <c r="BL113" s="42" t="str">
        <f>IF('GNI per capita'!BL113&lt;=Thresholds!$C$61,"L",IF('GNI per capita'!BL113&lt;=Thresholds!$D$61,"LM",IF('GNI per capita'!BL113&lt;=Thresholds!$E$61,"UM","H")))</f>
        <v>H</v>
      </c>
      <c r="BM113" s="42" t="str">
        <f>IF('GNI per capita'!BM113&lt;=Thresholds!$C$62,"L",IF('GNI per capita'!BM113&lt;=Thresholds!$D$62,"LM",IF('GNI per capita'!BM113&lt;=Thresholds!$E$62,"UM","H")))</f>
        <v>H</v>
      </c>
      <c r="BN113" s="42" t="str">
        <f>IF('GNI per capita'!BN113&lt;=Thresholds!$C$63,"L",IF('GNI per capita'!BN113&lt;=Thresholds!$D$63,"LM",IF('GNI per capita'!BN113&lt;=Thresholds!$E$63,"UM","H")))</f>
        <v>H</v>
      </c>
      <c r="BO113" s="42" t="str">
        <f>IF('GNI per capita'!BO113&lt;=Thresholds!$C$64,"L",IF('GNI per capita'!BO113&lt;=Thresholds!$D$64,"LM",IF('GNI per capita'!BO113&lt;=Thresholds!$E$64,"UM","H")))</f>
        <v>H</v>
      </c>
      <c r="BP113" s="42" t="str">
        <f>IF('GNI per capita'!BP113&lt;=Thresholds!$C$65,"L",IF('GNI per capita'!BP113&lt;=Thresholds!$D$65,"LM",IF('GNI per capita'!BP113&lt;=Thresholds!$E$65,"UM","H")))</f>
        <v>H</v>
      </c>
      <c r="BQ113" s="42" t="str">
        <f>IF('GNI per capita'!BQ113&lt;=Thresholds!$C$66,"L",IF('GNI per capita'!BQ113&lt;=Thresholds!$D$66,"LM",IF('GNI per capita'!BQ113&lt;=Thresholds!$E$66,"UM","H")))</f>
        <v>H</v>
      </c>
      <c r="BR113" s="42" t="str">
        <f>IF('GNI per capita'!BR113&lt;=Thresholds!$C$67,"L",IF('GNI per capita'!BR113&lt;=Thresholds!$D$67,"LM",IF('GNI per capita'!BR113&lt;=Thresholds!$E$67,"UM","H")))</f>
        <v>H</v>
      </c>
      <c r="BS113" s="42" t="str">
        <f>IF('GNI per capita'!BS113&lt;=Thresholds!$C$68,"L",IF('GNI per capita'!BS113&lt;=Thresholds!$D$68,"LM",IF('GNI per capita'!BS113&lt;=Thresholds!$E$68,"UM","H")))</f>
        <v>H</v>
      </c>
    </row>
    <row r="114" spans="1:71" x14ac:dyDescent="0.2">
      <c r="A114" s="2" t="s">
        <v>440</v>
      </c>
      <c r="B114" s="2" t="s">
        <v>441</v>
      </c>
      <c r="C114" s="11" t="s">
        <v>210</v>
      </c>
      <c r="G114" s="2" t="s">
        <v>442</v>
      </c>
      <c r="H114" s="41" t="s">
        <v>210</v>
      </c>
      <c r="I114" s="41" t="s">
        <v>210</v>
      </c>
      <c r="J114" s="41" t="s">
        <v>210</v>
      </c>
      <c r="K114" s="41" t="s">
        <v>210</v>
      </c>
      <c r="L114" s="41" t="s">
        <v>210</v>
      </c>
      <c r="M114" s="41" t="s">
        <v>210</v>
      </c>
      <c r="N114" s="41" t="s">
        <v>210</v>
      </c>
      <c r="O114" s="41" t="s">
        <v>210</v>
      </c>
      <c r="P114" s="41" t="s">
        <v>210</v>
      </c>
      <c r="Q114" s="41" t="s">
        <v>210</v>
      </c>
      <c r="R114" s="41" t="s">
        <v>82</v>
      </c>
      <c r="S114" s="41" t="s">
        <v>82</v>
      </c>
      <c r="T114" s="41" t="s">
        <v>82</v>
      </c>
      <c r="U114" s="41" t="s">
        <v>82</v>
      </c>
      <c r="V114" s="41" t="s">
        <v>82</v>
      </c>
      <c r="W114" s="41" t="s">
        <v>82</v>
      </c>
      <c r="X114" s="41" t="s">
        <v>82</v>
      </c>
      <c r="Y114" s="41" t="s">
        <v>82</v>
      </c>
      <c r="Z114" s="41" t="s">
        <v>82</v>
      </c>
      <c r="AA114" s="41" t="s">
        <v>82</v>
      </c>
      <c r="AB114" s="41" t="s">
        <v>82</v>
      </c>
      <c r="AC114" s="41" t="s">
        <v>82</v>
      </c>
      <c r="AD114" s="41" t="s">
        <v>82</v>
      </c>
      <c r="AE114" s="41" t="s">
        <v>82</v>
      </c>
      <c r="AF114" s="41" t="s">
        <v>82</v>
      </c>
      <c r="AG114" s="41" t="s">
        <v>82</v>
      </c>
      <c r="AH114" s="41" t="s">
        <v>82</v>
      </c>
      <c r="AI114" s="41" t="s">
        <v>82</v>
      </c>
      <c r="AJ114" s="41" t="s">
        <v>82</v>
      </c>
      <c r="AK114" s="41" t="s">
        <v>82</v>
      </c>
      <c r="AL114" s="41" t="s">
        <v>82</v>
      </c>
      <c r="AM114" s="41" t="s">
        <v>82</v>
      </c>
      <c r="AN114" s="41" t="s">
        <v>82</v>
      </c>
      <c r="AO114" s="41" t="s">
        <v>82</v>
      </c>
      <c r="AP114" s="41" t="s">
        <v>210</v>
      </c>
      <c r="AQ114" s="41" t="s">
        <v>210</v>
      </c>
      <c r="AR114" s="41" t="s">
        <v>210</v>
      </c>
      <c r="AS114" s="41" t="s">
        <v>210</v>
      </c>
      <c r="AT114" s="41" t="s">
        <v>210</v>
      </c>
      <c r="AU114" s="42" t="str">
        <f>IF('GNI per capita'!AU114&lt;=Thresholds!$C$44,"L",IF('GNI per capita'!AU114&lt;=Thresholds!$D$44,"LM",IF('GNI per capita'!AU114&lt;=Thresholds!$E$44,"UM","H")))</f>
        <v>LM</v>
      </c>
      <c r="AV114" s="42" t="str">
        <f>IF('GNI per capita'!AV114&lt;=Thresholds!$C$45,"L",IF('GNI per capita'!AV114&lt;=Thresholds!$D$45,"LM",IF('GNI per capita'!AV114&lt;=Thresholds!$E$45,"UM","H")))</f>
        <v>LM</v>
      </c>
      <c r="AW114" s="42" t="str">
        <f>IF('GNI per capita'!AW114&lt;=Thresholds!$C$46,"L",IF('GNI per capita'!AW114&lt;=Thresholds!$D$46,"LM",IF('GNI per capita'!AW114&lt;=Thresholds!$E$46,"UM","H")))</f>
        <v>LM</v>
      </c>
      <c r="AX114" s="42" t="str">
        <f>IF('GNI per capita'!AX114&lt;=Thresholds!$C$47,"L",IF('GNI per capita'!AX114&lt;=Thresholds!$D$47,"LM",IF('GNI per capita'!AX114&lt;=Thresholds!$E$47,"UM","H")))</f>
        <v>LM</v>
      </c>
      <c r="AY114" s="42" t="str">
        <f>IF('GNI per capita'!AY114&lt;=Thresholds!$C$48,"L",IF('GNI per capita'!AY114&lt;=Thresholds!$D$48,"LM",IF('GNI per capita'!AY114&lt;=Thresholds!$E$48,"UM","H")))</f>
        <v>LM</v>
      </c>
      <c r="AZ114" s="42" t="str">
        <f>IF('GNI per capita'!AZ114&lt;=Thresholds!$C$49,"L",IF('GNI per capita'!AZ114&lt;=Thresholds!$D$49,"LM",IF('GNI per capita'!AZ114&lt;=Thresholds!$E$49,"UM","H")))</f>
        <v>LM</v>
      </c>
      <c r="BA114" s="42" t="str">
        <f>IF('GNI per capita'!BA114&lt;=Thresholds!$C$50,"L",IF('GNI per capita'!BA114&lt;=Thresholds!$D$50,"LM",IF('GNI per capita'!BA114&lt;=Thresholds!$E$50,"UM","H")))</f>
        <v>LM</v>
      </c>
      <c r="BB114" s="42" t="str">
        <f>IF('GNI per capita'!BB114&lt;=Thresholds!$C$51,"L",IF('GNI per capita'!BB114&lt;=Thresholds!$D$51,"LM",IF('GNI per capita'!BB114&lt;=Thresholds!$E$51,"UM","H")))</f>
        <v>LM</v>
      </c>
      <c r="BC114" s="42" t="str">
        <f>IF('GNI per capita'!BC114&lt;=Thresholds!$C$52,"L",IF('GNI per capita'!BC114&lt;=Thresholds!$D$52,"LM",IF('GNI per capita'!BC114&lt;=Thresholds!$E$52,"UM","H")))</f>
        <v>LM</v>
      </c>
      <c r="BD114" s="42" t="str">
        <f>IF('GNI per capita'!BD114&lt;=Thresholds!$C$53,"L",IF('GNI per capita'!BD114&lt;=Thresholds!$D$53,"LM",IF('GNI per capita'!BD114&lt;=Thresholds!$E$53,"UM","H")))</f>
        <v>LM</v>
      </c>
      <c r="BE114" s="42" t="str">
        <f>IF('GNI per capita'!BE114&lt;=Thresholds!$C$54,"L",IF('GNI per capita'!BE114&lt;=Thresholds!$D$54,"LM",IF('GNI per capita'!BE114&lt;=Thresholds!$E$54,"UM","H")))</f>
        <v>LM</v>
      </c>
      <c r="BF114" s="42" t="str">
        <f>IF('GNI per capita'!BF114&lt;=Thresholds!$C$55,"L",IF('GNI per capita'!BF114&lt;=Thresholds!$D$55,"LM",IF('GNI per capita'!BF114&lt;=Thresholds!$E$55,"UM","H")))</f>
        <v>LM</v>
      </c>
      <c r="BG114" s="42" t="str">
        <f>IF('GNI per capita'!BG114&lt;=Thresholds!$C$56,"L",IF('GNI per capita'!BG114&lt;=Thresholds!$D$56,"LM",IF('GNI per capita'!BG114&lt;=Thresholds!$E$56,"UM","H")))</f>
        <v>LM</v>
      </c>
      <c r="BH114" s="42" t="str">
        <f>IF('GNI per capita'!BH114&lt;=Thresholds!$C$57,"L",IF('GNI per capita'!BH114&lt;=Thresholds!$D$57,"LM",IF('GNI per capita'!BH114&lt;=Thresholds!$E$57,"UM","H")))</f>
        <v>LM</v>
      </c>
      <c r="BI114" s="42" t="str">
        <f>IF('GNI per capita'!BI114&lt;=Thresholds!$C$58,"L",IF('GNI per capita'!BI114&lt;=Thresholds!$D$58,"LM",IF('GNI per capita'!BI114&lt;=Thresholds!$E$58,"UM","H")))</f>
        <v>LM</v>
      </c>
      <c r="BJ114" s="42" t="str">
        <f>IF('GNI per capita'!BJ114&lt;=Thresholds!$C$59,"L",IF('GNI per capita'!BJ114&lt;=Thresholds!$D$59,"LM",IF('GNI per capita'!BJ114&lt;=Thresholds!$E$59,"UM","H")))</f>
        <v>LM</v>
      </c>
      <c r="BK114" s="42" t="str">
        <f>IF('GNI per capita'!BK114&lt;=Thresholds!$C$60,"L",IF('GNI per capita'!BK114&lt;=Thresholds!$D$60,"LM",IF('GNI per capita'!BK114&lt;=Thresholds!$E$60,"UM","H")))</f>
        <v>LM</v>
      </c>
      <c r="BL114" s="42" t="str">
        <f>IF('GNI per capita'!BL114&lt;=Thresholds!$C$61,"L",IF('GNI per capita'!BL114&lt;=Thresholds!$D$61,"LM",IF('GNI per capita'!BL114&lt;=Thresholds!$E$61,"UM","H")))</f>
        <v>LM</v>
      </c>
      <c r="BM114" s="42" t="str">
        <f>IF('GNI per capita'!BM114&lt;=Thresholds!$C$62,"L",IF('GNI per capita'!BM114&lt;=Thresholds!$D$62,"LM",IF('GNI per capita'!BM114&lt;=Thresholds!$E$62,"UM","H")))</f>
        <v>LM</v>
      </c>
      <c r="BN114" s="42" t="str">
        <f>IF('GNI per capita'!BN114&lt;=Thresholds!$C$63,"L",IF('GNI per capita'!BN114&lt;=Thresholds!$D$63,"LM",IF('GNI per capita'!BN114&lt;=Thresholds!$E$63,"UM","H")))</f>
        <v>LM</v>
      </c>
      <c r="BO114" s="42" t="str">
        <f>IF('GNI per capita'!BO114&lt;=Thresholds!$C$64,"L",IF('GNI per capita'!BO114&lt;=Thresholds!$D$64,"LM",IF('GNI per capita'!BO114&lt;=Thresholds!$E$64,"UM","H")))</f>
        <v>LM</v>
      </c>
      <c r="BP114" s="42" t="str">
        <f>IF('GNI per capita'!BP114&lt;=Thresholds!$C$65,"L",IF('GNI per capita'!BP114&lt;=Thresholds!$D$65,"LM",IF('GNI per capita'!BP114&lt;=Thresholds!$E$65,"UM","H")))</f>
        <v>LM</v>
      </c>
      <c r="BQ114" s="42" t="str">
        <f>IF('GNI per capita'!BQ114&lt;=Thresholds!$C$66,"L",IF('GNI per capita'!BQ114&lt;=Thresholds!$D$66,"LM",IF('GNI per capita'!BQ114&lt;=Thresholds!$E$66,"UM","H")))</f>
        <v>LM</v>
      </c>
      <c r="BR114" s="42" t="str">
        <f>IF('GNI per capita'!BR114&lt;=Thresholds!$C$67,"L",IF('GNI per capita'!BR114&lt;=Thresholds!$D$67,"LM",IF('GNI per capita'!BR114&lt;=Thresholds!$E$67,"UM","H")))</f>
        <v>LM</v>
      </c>
      <c r="BS114" s="42" t="str">
        <f>IF('GNI per capita'!BS114&lt;=Thresholds!$C$68,"L",IF('GNI per capita'!BS114&lt;=Thresholds!$D$68,"LM",IF('GNI per capita'!BS114&lt;=Thresholds!$E$68,"UM","H")))</f>
        <v>LM</v>
      </c>
    </row>
    <row r="115" spans="1:71" x14ac:dyDescent="0.2">
      <c r="A115" s="2" t="s">
        <v>443</v>
      </c>
      <c r="B115" s="2" t="s">
        <v>444</v>
      </c>
      <c r="C115" s="11" t="s">
        <v>210</v>
      </c>
      <c r="G115" s="2" t="s">
        <v>445</v>
      </c>
      <c r="H115" s="41" t="s">
        <v>75</v>
      </c>
      <c r="I115" s="41" t="s">
        <v>75</v>
      </c>
      <c r="J115" s="41" t="s">
        <v>75</v>
      </c>
      <c r="K115" s="41" t="s">
        <v>75</v>
      </c>
      <c r="L115" s="41" t="s">
        <v>75</v>
      </c>
      <c r="M115" s="41" t="s">
        <v>75</v>
      </c>
      <c r="N115" s="41" t="s">
        <v>75</v>
      </c>
      <c r="O115" s="41" t="s">
        <v>75</v>
      </c>
      <c r="P115" s="41" t="s">
        <v>210</v>
      </c>
      <c r="Q115" s="41" t="s">
        <v>75</v>
      </c>
      <c r="R115" s="41" t="s">
        <v>75</v>
      </c>
      <c r="S115" s="41" t="s">
        <v>75</v>
      </c>
      <c r="T115" s="41" t="s">
        <v>75</v>
      </c>
      <c r="U115" s="41" t="s">
        <v>75</v>
      </c>
      <c r="V115" s="41" t="s">
        <v>75</v>
      </c>
      <c r="W115" s="41" t="s">
        <v>75</v>
      </c>
      <c r="X115" s="41" t="s">
        <v>75</v>
      </c>
      <c r="Y115" s="41" t="s">
        <v>75</v>
      </c>
      <c r="Z115" s="41" t="s">
        <v>210</v>
      </c>
      <c r="AA115" s="41" t="s">
        <v>210</v>
      </c>
      <c r="AB115" s="41" t="s">
        <v>210</v>
      </c>
      <c r="AC115" s="41" t="s">
        <v>210</v>
      </c>
      <c r="AD115" s="41" t="s">
        <v>210</v>
      </c>
      <c r="AE115" s="41" t="s">
        <v>210</v>
      </c>
      <c r="AF115" s="41" t="s">
        <v>210</v>
      </c>
      <c r="AG115" s="41" t="s">
        <v>210</v>
      </c>
      <c r="AH115" s="41" t="s">
        <v>210</v>
      </c>
      <c r="AI115" s="41" t="s">
        <v>210</v>
      </c>
      <c r="AJ115" s="41" t="s">
        <v>210</v>
      </c>
      <c r="AK115" s="41" t="s">
        <v>210</v>
      </c>
      <c r="AL115" s="41" t="s">
        <v>210</v>
      </c>
      <c r="AM115" s="41" t="s">
        <v>210</v>
      </c>
      <c r="AN115" s="41" t="s">
        <v>210</v>
      </c>
      <c r="AO115" s="41" t="s">
        <v>210</v>
      </c>
      <c r="AP115" s="41" t="s">
        <v>210</v>
      </c>
      <c r="AQ115" s="41" t="s">
        <v>210</v>
      </c>
      <c r="AR115" s="41" t="s">
        <v>210</v>
      </c>
      <c r="AS115" s="41" t="s">
        <v>210</v>
      </c>
      <c r="AT115" s="41" t="s">
        <v>210</v>
      </c>
      <c r="AU115" s="42" t="str">
        <f>IF('GNI per capita'!AU115&lt;=Thresholds!$C$44,"L",IF('GNI per capita'!AU115&lt;=Thresholds!$D$44,"LM",IF('GNI per capita'!AU115&lt;=Thresholds!$E$44,"UM","H")))</f>
        <v>LM</v>
      </c>
      <c r="AV115" s="42" t="str">
        <f>IF('GNI per capita'!AV115&lt;=Thresholds!$C$45,"L",IF('GNI per capita'!AV115&lt;=Thresholds!$D$45,"LM",IF('GNI per capita'!AV115&lt;=Thresholds!$E$45,"UM","H")))</f>
        <v>LM</v>
      </c>
      <c r="AW115" s="42" t="str">
        <f>IF('GNI per capita'!AW115&lt;=Thresholds!$C$46,"L",IF('GNI per capita'!AW115&lt;=Thresholds!$D$46,"LM",IF('GNI per capita'!AW115&lt;=Thresholds!$E$46,"UM","H")))</f>
        <v>LM</v>
      </c>
      <c r="AX115" s="42" t="str">
        <f>IF('GNI per capita'!AX115&lt;=Thresholds!$C$47,"L",IF('GNI per capita'!AX115&lt;=Thresholds!$D$47,"LM",IF('GNI per capita'!AX115&lt;=Thresholds!$E$47,"UM","H")))</f>
        <v>LM</v>
      </c>
      <c r="AY115" s="42" t="str">
        <f>IF('GNI per capita'!AY115&lt;=Thresholds!$C$48,"L",IF('GNI per capita'!AY115&lt;=Thresholds!$D$48,"LM",IF('GNI per capita'!AY115&lt;=Thresholds!$E$48,"UM","H")))</f>
        <v>LM</v>
      </c>
      <c r="AZ115" s="42" t="str">
        <f>IF('GNI per capita'!AZ115&lt;=Thresholds!$C$49,"L",IF('GNI per capita'!AZ115&lt;=Thresholds!$D$49,"LM",IF('GNI per capita'!AZ115&lt;=Thresholds!$E$49,"UM","H")))</f>
        <v>LM</v>
      </c>
      <c r="BA115" s="42" t="str">
        <f>IF('GNI per capita'!BA115&lt;=Thresholds!$C$50,"L",IF('GNI per capita'!BA115&lt;=Thresholds!$D$50,"LM",IF('GNI per capita'!BA115&lt;=Thresholds!$E$50,"UM","H")))</f>
        <v>LM</v>
      </c>
      <c r="BB115" s="42" t="str">
        <f>IF('GNI per capita'!BB115&lt;=Thresholds!$C$51,"L",IF('GNI per capita'!BB115&lt;=Thresholds!$D$51,"LM",IF('GNI per capita'!BB115&lt;=Thresholds!$E$51,"UM","H")))</f>
        <v>LM</v>
      </c>
      <c r="BC115" s="42" t="str">
        <f>IF('GNI per capita'!BC115&lt;=Thresholds!$C$52,"L",IF('GNI per capita'!BC115&lt;=Thresholds!$D$52,"LM",IF('GNI per capita'!BC115&lt;=Thresholds!$E$52,"UM","H")))</f>
        <v>LM</v>
      </c>
      <c r="BD115" s="42" t="str">
        <f>IF('GNI per capita'!BD115&lt;=Thresholds!$C$53,"L",IF('GNI per capita'!BD115&lt;=Thresholds!$D$53,"LM",IF('GNI per capita'!BD115&lt;=Thresholds!$E$53,"UM","H")))</f>
        <v>LM</v>
      </c>
      <c r="BE115" s="42" t="str">
        <f>IF('GNI per capita'!BE115&lt;=Thresholds!$C$54,"L",IF('GNI per capita'!BE115&lt;=Thresholds!$D$54,"LM",IF('GNI per capita'!BE115&lt;=Thresholds!$E$54,"UM","H")))</f>
        <v>LM</v>
      </c>
      <c r="BF115" s="42" t="str">
        <f>IF('GNI per capita'!BF115&lt;=Thresholds!$C$55,"L",IF('GNI per capita'!BF115&lt;=Thresholds!$D$55,"LM",IF('GNI per capita'!BF115&lt;=Thresholds!$E$55,"UM","H")))</f>
        <v>LM</v>
      </c>
      <c r="BG115" s="42" t="str">
        <f>IF('GNI per capita'!BG115&lt;=Thresholds!$C$56,"L",IF('GNI per capita'!BG115&lt;=Thresholds!$D$56,"LM",IF('GNI per capita'!BG115&lt;=Thresholds!$E$56,"UM","H")))</f>
        <v>LM</v>
      </c>
      <c r="BH115" s="42" t="str">
        <f>IF('GNI per capita'!BH115&lt;=Thresholds!$C$57,"L",IF('GNI per capita'!BH115&lt;=Thresholds!$D$57,"LM",IF('GNI per capita'!BH115&lt;=Thresholds!$E$57,"UM","H")))</f>
        <v>LM</v>
      </c>
      <c r="BI115" s="42" t="str">
        <f>IF('GNI per capita'!BI115&lt;=Thresholds!$C$58,"L",IF('GNI per capita'!BI115&lt;=Thresholds!$D$58,"LM",IF('GNI per capita'!BI115&lt;=Thresholds!$E$58,"UM","H")))</f>
        <v>LM</v>
      </c>
      <c r="BJ115" s="42" t="str">
        <f>IF('GNI per capita'!BJ115&lt;=Thresholds!$C$59,"L",IF('GNI per capita'!BJ115&lt;=Thresholds!$D$59,"LM",IF('GNI per capita'!BJ115&lt;=Thresholds!$E$59,"UM","H")))</f>
        <v>LM</v>
      </c>
      <c r="BK115" s="42" t="str">
        <f>IF('GNI per capita'!BK115&lt;=Thresholds!$C$60,"L",IF('GNI per capita'!BK115&lt;=Thresholds!$D$60,"LM",IF('GNI per capita'!BK115&lt;=Thresholds!$E$60,"UM","H")))</f>
        <v>LM</v>
      </c>
      <c r="BL115" s="42" t="str">
        <f>IF('GNI per capita'!BL115&lt;=Thresholds!$C$61,"L",IF('GNI per capita'!BL115&lt;=Thresholds!$D$61,"LM",IF('GNI per capita'!BL115&lt;=Thresholds!$E$61,"UM","H")))</f>
        <v>LM</v>
      </c>
      <c r="BM115" s="42" t="str">
        <f>IF('GNI per capita'!BM115&lt;=Thresholds!$C$62,"L",IF('GNI per capita'!BM115&lt;=Thresholds!$D$62,"LM",IF('GNI per capita'!BM115&lt;=Thresholds!$E$62,"UM","H")))</f>
        <v>LM</v>
      </c>
      <c r="BN115" s="42" t="str">
        <f>IF('GNI per capita'!BN115&lt;=Thresholds!$C$63,"L",IF('GNI per capita'!BN115&lt;=Thresholds!$D$63,"LM",IF('GNI per capita'!BN115&lt;=Thresholds!$E$63,"UM","H")))</f>
        <v>LM</v>
      </c>
      <c r="BO115" s="42" t="str">
        <f>IF('GNI per capita'!BO115&lt;=Thresholds!$C$64,"L",IF('GNI per capita'!BO115&lt;=Thresholds!$D$64,"LM",IF('GNI per capita'!BO115&lt;=Thresholds!$E$64,"UM","H")))</f>
        <v>LM</v>
      </c>
      <c r="BP115" s="42" t="str">
        <f>IF('GNI per capita'!BP115&lt;=Thresholds!$C$65,"L",IF('GNI per capita'!BP115&lt;=Thresholds!$D$65,"LM",IF('GNI per capita'!BP115&lt;=Thresholds!$E$65,"UM","H")))</f>
        <v>LM</v>
      </c>
      <c r="BQ115" s="42" t="str">
        <f>IF('GNI per capita'!BQ115&lt;=Thresholds!$C$66,"L",IF('GNI per capita'!BQ115&lt;=Thresholds!$D$66,"LM",IF('GNI per capita'!BQ115&lt;=Thresholds!$E$66,"UM","H")))</f>
        <v>LM</v>
      </c>
      <c r="BR115" s="42" t="str">
        <f>IF('GNI per capita'!BR115&lt;=Thresholds!$C$67,"L",IF('GNI per capita'!BR115&lt;=Thresholds!$D$67,"LM",IF('GNI per capita'!BR115&lt;=Thresholds!$E$67,"UM","H")))</f>
        <v>LM</v>
      </c>
      <c r="BS115" s="42" t="str">
        <f>IF('GNI per capita'!BS115&lt;=Thresholds!$C$68,"L",IF('GNI per capita'!BS115&lt;=Thresholds!$D$68,"LM",IF('GNI per capita'!BS115&lt;=Thresholds!$E$68,"UM","H")))</f>
        <v>LM</v>
      </c>
    </row>
    <row r="116" spans="1:71" x14ac:dyDescent="0.2">
      <c r="A116" s="2" t="s">
        <v>446</v>
      </c>
      <c r="B116" s="2" t="s">
        <v>447</v>
      </c>
      <c r="C116" s="11" t="s">
        <v>75</v>
      </c>
      <c r="G116" s="2" t="s">
        <v>162</v>
      </c>
      <c r="H116" s="41" t="s">
        <v>75</v>
      </c>
      <c r="I116" s="41" t="s">
        <v>75</v>
      </c>
      <c r="J116" s="41" t="s">
        <v>75</v>
      </c>
      <c r="K116" s="41" t="s">
        <v>75</v>
      </c>
      <c r="L116" s="41" t="s">
        <v>75</v>
      </c>
      <c r="M116" s="41" t="s">
        <v>75</v>
      </c>
      <c r="N116" s="41" t="s">
        <v>75</v>
      </c>
      <c r="O116" s="41" t="s">
        <v>75</v>
      </c>
      <c r="P116" s="41" t="s">
        <v>75</v>
      </c>
      <c r="Q116" s="41" t="s">
        <v>75</v>
      </c>
      <c r="R116" s="41" t="s">
        <v>75</v>
      </c>
      <c r="S116" s="41" t="s">
        <v>75</v>
      </c>
      <c r="T116" s="41" t="s">
        <v>75</v>
      </c>
      <c r="U116" s="41" t="s">
        <v>75</v>
      </c>
      <c r="V116" s="41" t="s">
        <v>75</v>
      </c>
      <c r="W116" s="41" t="s">
        <v>75</v>
      </c>
      <c r="X116" s="41" t="s">
        <v>75</v>
      </c>
      <c r="Y116" s="41" t="s">
        <v>75</v>
      </c>
      <c r="Z116" s="41" t="s">
        <v>75</v>
      </c>
      <c r="AA116" s="41" t="s">
        <v>75</v>
      </c>
      <c r="AB116" s="41" t="s">
        <v>75</v>
      </c>
      <c r="AC116" s="41" t="s">
        <v>75</v>
      </c>
      <c r="AD116" s="41" t="s">
        <v>75</v>
      </c>
      <c r="AE116" s="41" t="s">
        <v>75</v>
      </c>
      <c r="AF116" s="41" t="s">
        <v>75</v>
      </c>
      <c r="AG116" s="41" t="s">
        <v>75</v>
      </c>
      <c r="AH116" s="41" t="s">
        <v>75</v>
      </c>
      <c r="AI116" s="41" t="s">
        <v>75</v>
      </c>
      <c r="AJ116" s="41" t="s">
        <v>75</v>
      </c>
      <c r="AK116" s="41" t="s">
        <v>75</v>
      </c>
      <c r="AL116" s="41" t="s">
        <v>75</v>
      </c>
      <c r="AM116" s="41" t="s">
        <v>75</v>
      </c>
      <c r="AN116" s="41" t="s">
        <v>75</v>
      </c>
      <c r="AO116" s="41" t="s">
        <v>75</v>
      </c>
      <c r="AP116" s="41" t="s">
        <v>75</v>
      </c>
      <c r="AQ116" s="41" t="s">
        <v>75</v>
      </c>
      <c r="AR116" s="41" t="s">
        <v>75</v>
      </c>
      <c r="AS116" s="41" t="s">
        <v>75</v>
      </c>
      <c r="AT116" s="41" t="s">
        <v>75</v>
      </c>
      <c r="AU116" s="42" t="str">
        <f>IF('GNI per capita'!AU116&lt;=Thresholds!$C$44,"L",IF('GNI per capita'!AU116&lt;=Thresholds!$D$44,"LM",IF('GNI per capita'!AU116&lt;=Thresholds!$E$44,"UM","H")))</f>
        <v>L</v>
      </c>
      <c r="AV116" s="42" t="str">
        <f>IF('GNI per capita'!AV116&lt;=Thresholds!$C$45,"L",IF('GNI per capita'!AV116&lt;=Thresholds!$D$45,"LM",IF('GNI per capita'!AV116&lt;=Thresholds!$E$45,"UM","H")))</f>
        <v>L</v>
      </c>
      <c r="AW116" s="42" t="str">
        <f>IF('GNI per capita'!AW116&lt;=Thresholds!$C$46,"L",IF('GNI per capita'!AW116&lt;=Thresholds!$D$46,"LM",IF('GNI per capita'!AW116&lt;=Thresholds!$E$46,"UM","H")))</f>
        <v>L</v>
      </c>
      <c r="AX116" s="42" t="str">
        <f>IF('GNI per capita'!AX116&lt;=Thresholds!$C$47,"L",IF('GNI per capita'!AX116&lt;=Thresholds!$D$47,"LM",IF('GNI per capita'!AX116&lt;=Thresholds!$E$47,"UM","H")))</f>
        <v>L</v>
      </c>
      <c r="AY116" s="42" t="str">
        <f>IF('GNI per capita'!AY116&lt;=Thresholds!$C$48,"L",IF('GNI per capita'!AY116&lt;=Thresholds!$D$48,"LM",IF('GNI per capita'!AY116&lt;=Thresholds!$E$48,"UM","H")))</f>
        <v>L</v>
      </c>
      <c r="AZ116" s="42" t="str">
        <f>IF('GNI per capita'!AZ116&lt;=Thresholds!$C$49,"L",IF('GNI per capita'!AZ116&lt;=Thresholds!$D$49,"LM",IF('GNI per capita'!AZ116&lt;=Thresholds!$E$49,"UM","H")))</f>
        <v>L</v>
      </c>
      <c r="BA116" s="42" t="str">
        <f>IF('GNI per capita'!BA116&lt;=Thresholds!$C$50,"L",IF('GNI per capita'!BA116&lt;=Thresholds!$D$50,"LM",IF('GNI per capita'!BA116&lt;=Thresholds!$E$50,"UM","H")))</f>
        <v>L</v>
      </c>
      <c r="BB116" s="42" t="str">
        <f>IF('GNI per capita'!BB116&lt;=Thresholds!$C$51,"L",IF('GNI per capita'!BB116&lt;=Thresholds!$D$51,"LM",IF('GNI per capita'!BB116&lt;=Thresholds!$E$51,"UM","H")))</f>
        <v>L</v>
      </c>
      <c r="BC116" s="42" t="str">
        <f>IF('GNI per capita'!BC116&lt;=Thresholds!$C$52,"L",IF('GNI per capita'!BC116&lt;=Thresholds!$D$52,"LM",IF('GNI per capita'!BC116&lt;=Thresholds!$E$52,"UM","H")))</f>
        <v>L</v>
      </c>
      <c r="BD116" s="42" t="str">
        <f>IF('GNI per capita'!BD116&lt;=Thresholds!$C$53,"L",IF('GNI per capita'!BD116&lt;=Thresholds!$D$53,"LM",IF('GNI per capita'!BD116&lt;=Thresholds!$E$53,"UM","H")))</f>
        <v>L</v>
      </c>
      <c r="BE116" s="42" t="str">
        <f>IF('GNI per capita'!BE116&lt;=Thresholds!$C$54,"L",IF('GNI per capita'!BE116&lt;=Thresholds!$D$54,"LM",IF('GNI per capita'!BE116&lt;=Thresholds!$E$54,"UM","H")))</f>
        <v>L</v>
      </c>
      <c r="BF116" s="42" t="str">
        <f>IF('GNI per capita'!BF116&lt;=Thresholds!$C$55,"L",IF('GNI per capita'!BF116&lt;=Thresholds!$D$55,"LM",IF('GNI per capita'!BF116&lt;=Thresholds!$E$55,"UM","H")))</f>
        <v>L</v>
      </c>
      <c r="BG116" s="42" t="str">
        <f>IF('GNI per capita'!BG116&lt;=Thresholds!$C$56,"L",IF('GNI per capita'!BG116&lt;=Thresholds!$D$56,"LM",IF('GNI per capita'!BG116&lt;=Thresholds!$E$56,"UM","H")))</f>
        <v>L</v>
      </c>
      <c r="BH116" s="42" t="str">
        <f>IF('GNI per capita'!BH116&lt;=Thresholds!$C$57,"L",IF('GNI per capita'!BH116&lt;=Thresholds!$D$57,"LM",IF('GNI per capita'!BH116&lt;=Thresholds!$E$57,"UM","H")))</f>
        <v>L</v>
      </c>
      <c r="BI116" s="42" t="str">
        <f>IF('GNI per capita'!BI116&lt;=Thresholds!$C$58,"L",IF('GNI per capita'!BI116&lt;=Thresholds!$D$58,"LM",IF('GNI per capita'!BI116&lt;=Thresholds!$E$58,"UM","H")))</f>
        <v>L</v>
      </c>
      <c r="BJ116" s="42" t="str">
        <f>IF('GNI per capita'!BJ116&lt;=Thresholds!$C$59,"L",IF('GNI per capita'!BJ116&lt;=Thresholds!$D$59,"LM",IF('GNI per capita'!BJ116&lt;=Thresholds!$E$59,"UM","H")))</f>
        <v>L</v>
      </c>
      <c r="BK116" s="42" t="str">
        <f>IF('GNI per capita'!BK116&lt;=Thresholds!$C$60,"L",IF('GNI per capita'!BK116&lt;=Thresholds!$D$60,"LM",IF('GNI per capita'!BK116&lt;=Thresholds!$E$60,"UM","H")))</f>
        <v>L</v>
      </c>
      <c r="BL116" s="42" t="str">
        <f>IF('GNI per capita'!BL116&lt;=Thresholds!$C$61,"L",IF('GNI per capita'!BL116&lt;=Thresholds!$D$61,"LM",IF('GNI per capita'!BL116&lt;=Thresholds!$E$61,"UM","H")))</f>
        <v>L</v>
      </c>
      <c r="BM116" s="42" t="str">
        <f>IF('GNI per capita'!BM116&lt;=Thresholds!$C$62,"L",IF('GNI per capita'!BM116&lt;=Thresholds!$D$62,"LM",IF('GNI per capita'!BM116&lt;=Thresholds!$E$62,"UM","H")))</f>
        <v>LM</v>
      </c>
      <c r="BN116" s="42" t="str">
        <f>IF('GNI per capita'!BN116&lt;=Thresholds!$C$63,"L",IF('GNI per capita'!BN116&lt;=Thresholds!$D$63,"LM",IF('GNI per capita'!BN116&lt;=Thresholds!$E$63,"UM","H")))</f>
        <v>LM</v>
      </c>
      <c r="BO116" s="42" t="str">
        <f>IF('GNI per capita'!BO116&lt;=Thresholds!$C$64,"L",IF('GNI per capita'!BO116&lt;=Thresholds!$D$64,"LM",IF('GNI per capita'!BO116&lt;=Thresholds!$E$64,"UM","H")))</f>
        <v>LM</v>
      </c>
      <c r="BP116" s="42" t="str">
        <f>IF('GNI per capita'!BP116&lt;=Thresholds!$C$65,"L",IF('GNI per capita'!BP116&lt;=Thresholds!$D$65,"LM",IF('GNI per capita'!BP116&lt;=Thresholds!$E$65,"UM","H")))</f>
        <v>LM</v>
      </c>
      <c r="BQ116" s="42" t="str">
        <f>IF('GNI per capita'!BQ116&lt;=Thresholds!$C$66,"L",IF('GNI per capita'!BQ116&lt;=Thresholds!$D$66,"LM",IF('GNI per capita'!BQ116&lt;=Thresholds!$E$66,"UM","H")))</f>
        <v>LM</v>
      </c>
      <c r="BR116" s="42" t="str">
        <f>IF('GNI per capita'!BR116&lt;=Thresholds!$C$67,"L",IF('GNI per capita'!BR116&lt;=Thresholds!$D$67,"LM",IF('GNI per capita'!BR116&lt;=Thresholds!$E$67,"UM","H")))</f>
        <v>LM</v>
      </c>
      <c r="BS116" s="42" t="str">
        <f>IF('GNI per capita'!BS116&lt;=Thresholds!$C$68,"L",IF('GNI per capita'!BS116&lt;=Thresholds!$D$68,"LM",IF('GNI per capita'!BS116&lt;=Thresholds!$E$68,"UM","H")))</f>
        <v>LM</v>
      </c>
    </row>
    <row r="117" spans="1:71" x14ac:dyDescent="0.2">
      <c r="A117" s="2" t="s">
        <v>448</v>
      </c>
      <c r="B117" s="2" t="s">
        <v>449</v>
      </c>
      <c r="C117" s="11" t="s">
        <v>82</v>
      </c>
      <c r="G117" s="2" t="s">
        <v>344</v>
      </c>
      <c r="H117" s="41" t="s">
        <v>82</v>
      </c>
      <c r="I117" s="41" t="s">
        <v>82</v>
      </c>
      <c r="J117" s="41" t="s">
        <v>82</v>
      </c>
      <c r="K117" s="41" t="s">
        <v>82</v>
      </c>
      <c r="L117" s="41" t="s">
        <v>82</v>
      </c>
      <c r="M117" s="41" t="s">
        <v>82</v>
      </c>
      <c r="N117" s="41" t="s">
        <v>82</v>
      </c>
      <c r="O117" s="41" t="s">
        <v>82</v>
      </c>
      <c r="P117" s="41" t="s">
        <v>82</v>
      </c>
      <c r="Q117" s="41" t="s">
        <v>82</v>
      </c>
      <c r="R117" s="41" t="s">
        <v>82</v>
      </c>
      <c r="S117" s="41" t="s">
        <v>82</v>
      </c>
      <c r="T117" s="41" t="s">
        <v>82</v>
      </c>
      <c r="U117" s="41" t="s">
        <v>82</v>
      </c>
      <c r="V117" s="41" t="s">
        <v>82</v>
      </c>
      <c r="W117" s="41" t="s">
        <v>82</v>
      </c>
      <c r="X117" s="41" t="s">
        <v>82</v>
      </c>
      <c r="Y117" s="41" t="s">
        <v>82</v>
      </c>
      <c r="Z117" s="41" t="s">
        <v>82</v>
      </c>
      <c r="AA117" s="41" t="s">
        <v>82</v>
      </c>
      <c r="AB117" s="41" t="s">
        <v>82</v>
      </c>
      <c r="AC117" s="41" t="s">
        <v>82</v>
      </c>
      <c r="AD117" s="41" t="s">
        <v>82</v>
      </c>
      <c r="AE117" s="41" t="s">
        <v>82</v>
      </c>
      <c r="AF117" s="41" t="s">
        <v>82</v>
      </c>
      <c r="AG117" s="41" t="s">
        <v>82</v>
      </c>
      <c r="AH117" s="41" t="s">
        <v>82</v>
      </c>
      <c r="AI117" s="41" t="s">
        <v>82</v>
      </c>
      <c r="AJ117" s="41" t="s">
        <v>82</v>
      </c>
      <c r="AK117" s="41" t="s">
        <v>82</v>
      </c>
      <c r="AL117" s="41" t="s">
        <v>82</v>
      </c>
      <c r="AM117" s="41" t="s">
        <v>82</v>
      </c>
      <c r="AN117" s="41" t="s">
        <v>82</v>
      </c>
      <c r="AO117" s="41" t="s">
        <v>82</v>
      </c>
      <c r="AP117" s="41" t="s">
        <v>82</v>
      </c>
      <c r="AQ117" s="41" t="s">
        <v>82</v>
      </c>
      <c r="AR117" s="41" t="s">
        <v>82</v>
      </c>
      <c r="AS117" s="41" t="s">
        <v>82</v>
      </c>
      <c r="AT117" s="41" t="s">
        <v>82</v>
      </c>
      <c r="AU117" s="42" t="str">
        <f>IF('GNI per capita'!AU117&lt;=Thresholds!$C$44,"L",IF('GNI per capita'!AU117&lt;=Thresholds!$D$44,"LM",IF('GNI per capita'!AU117&lt;=Thresholds!$E$44,"UM","H")))</f>
        <v>UM</v>
      </c>
      <c r="AV117" s="42" t="str">
        <f>IF('GNI per capita'!AV117&lt;=Thresholds!$C$45,"L",IF('GNI per capita'!AV117&lt;=Thresholds!$D$45,"LM",IF('GNI per capita'!AV117&lt;=Thresholds!$E$45,"UM","H")))</f>
        <v>UM</v>
      </c>
      <c r="AW117" s="42" t="str">
        <f>IF('GNI per capita'!AW117&lt;=Thresholds!$C$46,"L",IF('GNI per capita'!AW117&lt;=Thresholds!$D$46,"LM",IF('GNI per capita'!AW117&lt;=Thresholds!$E$46,"UM","H")))</f>
        <v>UM</v>
      </c>
      <c r="AX117" s="42" t="str">
        <f>IF('GNI per capita'!AX117&lt;=Thresholds!$C$47,"L",IF('GNI per capita'!AX117&lt;=Thresholds!$D$47,"LM",IF('GNI per capita'!AX117&lt;=Thresholds!$E$47,"UM","H")))</f>
        <v>UM</v>
      </c>
      <c r="AY117" s="42" t="str">
        <f>IF('GNI per capita'!AY117&lt;=Thresholds!$C$48,"L",IF('GNI per capita'!AY117&lt;=Thresholds!$D$48,"LM",IF('GNI per capita'!AY117&lt;=Thresholds!$E$48,"UM","H")))</f>
        <v>UM</v>
      </c>
      <c r="AZ117" s="42" t="str">
        <f>IF('GNI per capita'!AZ117&lt;=Thresholds!$C$49,"L",IF('GNI per capita'!AZ117&lt;=Thresholds!$D$49,"LM",IF('GNI per capita'!AZ117&lt;=Thresholds!$E$49,"UM","H")))</f>
        <v>UM</v>
      </c>
      <c r="BA117" s="42" t="str">
        <f>IF('GNI per capita'!BA117&lt;=Thresholds!$C$50,"L",IF('GNI per capita'!BA117&lt;=Thresholds!$D$50,"LM",IF('GNI per capita'!BA117&lt;=Thresholds!$E$50,"UM","H")))</f>
        <v>UM</v>
      </c>
      <c r="BB117" s="42" t="str">
        <f>IF('GNI per capita'!BB117&lt;=Thresholds!$C$51,"L",IF('GNI per capita'!BB117&lt;=Thresholds!$D$51,"LM",IF('GNI per capita'!BB117&lt;=Thresholds!$E$51,"UM","H")))</f>
        <v>UM</v>
      </c>
      <c r="BC117" s="42" t="str">
        <f>IF('GNI per capita'!BC117&lt;=Thresholds!$C$52,"L",IF('GNI per capita'!BC117&lt;=Thresholds!$D$52,"LM",IF('GNI per capita'!BC117&lt;=Thresholds!$E$52,"UM","H")))</f>
        <v>UM</v>
      </c>
      <c r="BD117" s="42" t="str">
        <f>IF('GNI per capita'!BD117&lt;=Thresholds!$C$53,"L",IF('GNI per capita'!BD117&lt;=Thresholds!$D$53,"LM",IF('GNI per capita'!BD117&lt;=Thresholds!$E$53,"UM","H")))</f>
        <v>UM</v>
      </c>
      <c r="BE117" s="42" t="str">
        <f>IF('GNI per capita'!BE117&lt;=Thresholds!$C$54,"L",IF('GNI per capita'!BE117&lt;=Thresholds!$D$54,"LM",IF('GNI per capita'!BE117&lt;=Thresholds!$E$54,"UM","H")))</f>
        <v>UM</v>
      </c>
      <c r="BF117" s="42" t="str">
        <f>IF('GNI per capita'!BF117&lt;=Thresholds!$C$55,"L",IF('GNI per capita'!BF117&lt;=Thresholds!$D$55,"LM",IF('GNI per capita'!BF117&lt;=Thresholds!$E$55,"UM","H")))</f>
        <v>UM</v>
      </c>
      <c r="BG117" s="42" t="str">
        <f>IF('GNI per capita'!BG117&lt;=Thresholds!$C$56,"L",IF('GNI per capita'!BG117&lt;=Thresholds!$D$56,"LM",IF('GNI per capita'!BG117&lt;=Thresholds!$E$56,"UM","H")))</f>
        <v>UM</v>
      </c>
      <c r="BH117" s="42" t="str">
        <f>IF('GNI per capita'!BH117&lt;=Thresholds!$C$57,"L",IF('GNI per capita'!BH117&lt;=Thresholds!$D$57,"LM",IF('GNI per capita'!BH117&lt;=Thresholds!$E$57,"UM","H")))</f>
        <v>UM</v>
      </c>
      <c r="BI117" s="42" t="str">
        <f>IF('GNI per capita'!BI117&lt;=Thresholds!$C$58,"L",IF('GNI per capita'!BI117&lt;=Thresholds!$D$58,"LM",IF('GNI per capita'!BI117&lt;=Thresholds!$E$58,"UM","H")))</f>
        <v>UM</v>
      </c>
      <c r="BJ117" s="42" t="str">
        <f>IF('GNI per capita'!BJ117&lt;=Thresholds!$C$59,"L",IF('GNI per capita'!BJ117&lt;=Thresholds!$D$59,"LM",IF('GNI per capita'!BJ117&lt;=Thresholds!$E$59,"UM","H")))</f>
        <v>UM</v>
      </c>
      <c r="BK117" s="42" t="str">
        <f>IF('GNI per capita'!BK117&lt;=Thresholds!$C$60,"L",IF('GNI per capita'!BK117&lt;=Thresholds!$D$60,"LM",IF('GNI per capita'!BK117&lt;=Thresholds!$E$60,"UM","H")))</f>
        <v>UM</v>
      </c>
      <c r="BL117" s="42" t="str">
        <f>IF('GNI per capita'!BL117&lt;=Thresholds!$C$61,"L",IF('GNI per capita'!BL117&lt;=Thresholds!$D$61,"LM",IF('GNI per capita'!BL117&lt;=Thresholds!$E$61,"UM","H")))</f>
        <v>UM</v>
      </c>
      <c r="BM117" s="42" t="str">
        <f>IF('GNI per capita'!BM117&lt;=Thresholds!$C$62,"L",IF('GNI per capita'!BM117&lt;=Thresholds!$D$62,"LM",IF('GNI per capita'!BM117&lt;=Thresholds!$E$62,"UM","H")))</f>
        <v>UM</v>
      </c>
      <c r="BN117" s="42" t="str">
        <f>IF('GNI per capita'!BN117&lt;=Thresholds!$C$63,"L",IF('GNI per capita'!BN117&lt;=Thresholds!$D$63,"LM",IF('GNI per capita'!BN117&lt;=Thresholds!$E$63,"UM","H")))</f>
        <v>UM</v>
      </c>
      <c r="BO117" s="42" t="str">
        <f>IF('GNI per capita'!BO117&lt;=Thresholds!$C$64,"L",IF('GNI per capita'!BO117&lt;=Thresholds!$D$64,"LM",IF('GNI per capita'!BO117&lt;=Thresholds!$E$64,"UM","H")))</f>
        <v>UM</v>
      </c>
      <c r="BP117" s="42" t="str">
        <f>IF('GNI per capita'!BP117&lt;=Thresholds!$C$65,"L",IF('GNI per capita'!BP117&lt;=Thresholds!$D$65,"LM",IF('GNI per capita'!BP117&lt;=Thresholds!$E$65,"UM","H")))</f>
        <v>UM</v>
      </c>
      <c r="BQ117" s="42" t="str">
        <f>IF('GNI per capita'!BQ117&lt;=Thresholds!$C$66,"L",IF('GNI per capita'!BQ117&lt;=Thresholds!$D$66,"LM",IF('GNI per capita'!BQ117&lt;=Thresholds!$E$66,"UM","H")))</f>
        <v>UM</v>
      </c>
      <c r="BR117" s="42" t="str">
        <f>IF('GNI per capita'!BR117&lt;=Thresholds!$C$67,"L",IF('GNI per capita'!BR117&lt;=Thresholds!$D$67,"LM",IF('GNI per capita'!BR117&lt;=Thresholds!$E$67,"UM","H")))</f>
        <v>UM</v>
      </c>
      <c r="BS117" s="42" t="str">
        <f>IF('GNI per capita'!BS117&lt;=Thresholds!$C$68,"L",IF('GNI per capita'!BS117&lt;=Thresholds!$D$68,"LM",IF('GNI per capita'!BS117&lt;=Thresholds!$E$68,"UM","H")))</f>
        <v>UM</v>
      </c>
    </row>
    <row r="118" spans="1:71" x14ac:dyDescent="0.2">
      <c r="A118" s="2" t="s">
        <v>450</v>
      </c>
      <c r="B118" s="2" t="s">
        <v>451</v>
      </c>
      <c r="C118" s="11" t="s">
        <v>79</v>
      </c>
      <c r="G118" s="28" t="s">
        <v>204</v>
      </c>
      <c r="H118" s="41"/>
      <c r="I118" s="41"/>
      <c r="J118" s="41"/>
      <c r="K118" s="41"/>
      <c r="L118" s="41"/>
      <c r="M118" s="41"/>
      <c r="N118" s="41"/>
      <c r="O118" s="41" t="s">
        <v>79</v>
      </c>
      <c r="P118" s="41" t="s">
        <v>79</v>
      </c>
      <c r="Q118" s="41" t="s">
        <v>79</v>
      </c>
      <c r="R118" s="41" t="s">
        <v>79</v>
      </c>
      <c r="S118" s="41" t="s">
        <v>79</v>
      </c>
      <c r="T118" s="41" t="s">
        <v>79</v>
      </c>
      <c r="U118" s="41" t="s">
        <v>79</v>
      </c>
      <c r="V118" s="41" t="s">
        <v>79</v>
      </c>
      <c r="W118" s="41" t="s">
        <v>79</v>
      </c>
      <c r="X118" s="41" t="s">
        <v>79</v>
      </c>
      <c r="Y118" s="41" t="s">
        <v>79</v>
      </c>
      <c r="Z118" s="41" t="s">
        <v>79</v>
      </c>
      <c r="AA118" s="41" t="s">
        <v>79</v>
      </c>
      <c r="AB118" s="41" t="s">
        <v>79</v>
      </c>
      <c r="AC118" s="41" t="s">
        <v>79</v>
      </c>
      <c r="AD118" s="41" t="s">
        <v>79</v>
      </c>
      <c r="AE118" s="41" t="s">
        <v>79</v>
      </c>
      <c r="AF118" s="41" t="s">
        <v>79</v>
      </c>
      <c r="AG118" s="41" t="s">
        <v>79</v>
      </c>
      <c r="AH118" s="41" t="s">
        <v>79</v>
      </c>
      <c r="AI118" s="41" t="s">
        <v>79</v>
      </c>
      <c r="AJ118" s="41" t="s">
        <v>79</v>
      </c>
      <c r="AK118" s="41" t="s">
        <v>79</v>
      </c>
      <c r="AL118" s="41" t="s">
        <v>79</v>
      </c>
      <c r="AM118" s="41" t="s">
        <v>79</v>
      </c>
      <c r="AN118" s="41" t="s">
        <v>79</v>
      </c>
      <c r="AO118" s="41" t="s">
        <v>79</v>
      </c>
      <c r="AP118" s="41" t="s">
        <v>79</v>
      </c>
      <c r="AQ118" s="41" t="s">
        <v>79</v>
      </c>
      <c r="AR118" s="41" t="s">
        <v>79</v>
      </c>
      <c r="AS118" s="41" t="s">
        <v>79</v>
      </c>
      <c r="AT118" s="41" t="s">
        <v>79</v>
      </c>
      <c r="AU118" s="42" t="str">
        <f t="shared" ref="AU118:BS118" si="10">$C118</f>
        <v>H</v>
      </c>
      <c r="AV118" s="42" t="str">
        <f t="shared" si="10"/>
        <v>H</v>
      </c>
      <c r="AW118" s="42" t="str">
        <f t="shared" si="10"/>
        <v>H</v>
      </c>
      <c r="AX118" s="42" t="str">
        <f t="shared" si="10"/>
        <v>H</v>
      </c>
      <c r="AY118" s="42" t="str">
        <f t="shared" si="10"/>
        <v>H</v>
      </c>
      <c r="AZ118" s="42" t="str">
        <f t="shared" si="10"/>
        <v>H</v>
      </c>
      <c r="BA118" s="42" t="str">
        <f t="shared" si="10"/>
        <v>H</v>
      </c>
      <c r="BB118" s="42" t="str">
        <f t="shared" si="10"/>
        <v>H</v>
      </c>
      <c r="BC118" s="42" t="str">
        <f t="shared" si="10"/>
        <v>H</v>
      </c>
      <c r="BD118" s="42" t="str">
        <f t="shared" si="10"/>
        <v>H</v>
      </c>
      <c r="BE118" s="42" t="str">
        <f t="shared" si="10"/>
        <v>H</v>
      </c>
      <c r="BF118" s="42" t="str">
        <f t="shared" si="10"/>
        <v>H</v>
      </c>
      <c r="BG118" s="42" t="str">
        <f t="shared" si="10"/>
        <v>H</v>
      </c>
      <c r="BH118" s="42" t="str">
        <f t="shared" si="10"/>
        <v>H</v>
      </c>
      <c r="BI118" s="42" t="str">
        <f t="shared" si="10"/>
        <v>H</v>
      </c>
      <c r="BJ118" s="42" t="str">
        <f t="shared" si="10"/>
        <v>H</v>
      </c>
      <c r="BK118" s="42" t="str">
        <f t="shared" si="10"/>
        <v>H</v>
      </c>
      <c r="BL118" s="42" t="str">
        <f t="shared" si="10"/>
        <v>H</v>
      </c>
      <c r="BM118" s="42" t="str">
        <f t="shared" si="10"/>
        <v>H</v>
      </c>
      <c r="BN118" s="42" t="str">
        <f t="shared" si="10"/>
        <v>H</v>
      </c>
      <c r="BO118" s="42" t="str">
        <f t="shared" si="10"/>
        <v>H</v>
      </c>
      <c r="BP118" s="42" t="str">
        <f t="shared" si="10"/>
        <v>H</v>
      </c>
      <c r="BQ118" s="42" t="str">
        <f t="shared" si="10"/>
        <v>H</v>
      </c>
      <c r="BR118" s="42" t="str">
        <f t="shared" si="10"/>
        <v>H</v>
      </c>
      <c r="BS118" s="42" t="str">
        <f t="shared" si="10"/>
        <v>H</v>
      </c>
    </row>
    <row r="119" spans="1:71" x14ac:dyDescent="0.2">
      <c r="A119" s="2" t="s">
        <v>452</v>
      </c>
      <c r="B119" s="2" t="s">
        <v>453</v>
      </c>
      <c r="C119" s="11" t="s">
        <v>79</v>
      </c>
      <c r="G119" s="2" t="s">
        <v>454</v>
      </c>
      <c r="H119" s="41"/>
      <c r="I119" s="41"/>
      <c r="J119" s="41"/>
      <c r="K119" s="41"/>
      <c r="L119" s="41" t="s">
        <v>82</v>
      </c>
      <c r="M119" s="41" t="s">
        <v>210</v>
      </c>
      <c r="N119" s="41" t="s">
        <v>210</v>
      </c>
      <c r="O119" s="41" t="s">
        <v>210</v>
      </c>
      <c r="P119" s="41" t="s">
        <v>210</v>
      </c>
      <c r="Q119" s="41" t="s">
        <v>210</v>
      </c>
      <c r="R119" s="41" t="s">
        <v>210</v>
      </c>
      <c r="S119" s="41" t="s">
        <v>210</v>
      </c>
      <c r="T119" s="41" t="s">
        <v>210</v>
      </c>
      <c r="U119" s="41" t="s">
        <v>210</v>
      </c>
      <c r="V119" s="41" t="s">
        <v>82</v>
      </c>
      <c r="W119" s="41" t="s">
        <v>82</v>
      </c>
      <c r="X119" s="41" t="s">
        <v>82</v>
      </c>
      <c r="Y119" s="41" t="s">
        <v>82</v>
      </c>
      <c r="Z119" s="41" t="s">
        <v>82</v>
      </c>
      <c r="AA119" s="41" t="s">
        <v>82</v>
      </c>
      <c r="AB119" s="41" t="s">
        <v>82</v>
      </c>
      <c r="AC119" s="41" t="s">
        <v>82</v>
      </c>
      <c r="AD119" s="41" t="s">
        <v>82</v>
      </c>
      <c r="AE119" s="41" t="s">
        <v>82</v>
      </c>
      <c r="AF119" s="41" t="s">
        <v>82</v>
      </c>
      <c r="AG119" s="41" t="s">
        <v>79</v>
      </c>
      <c r="AH119" s="41" t="s">
        <v>79</v>
      </c>
      <c r="AI119" s="41" t="s">
        <v>79</v>
      </c>
      <c r="AJ119" s="41" t="s">
        <v>79</v>
      </c>
      <c r="AK119" s="41" t="s">
        <v>79</v>
      </c>
      <c r="AL119" s="41" t="s">
        <v>79</v>
      </c>
      <c r="AM119" s="41" t="s">
        <v>79</v>
      </c>
      <c r="AN119" s="41" t="s">
        <v>79</v>
      </c>
      <c r="AO119" s="41" t="s">
        <v>79</v>
      </c>
      <c r="AP119" s="41" t="s">
        <v>79</v>
      </c>
      <c r="AQ119" s="41" t="s">
        <v>79</v>
      </c>
      <c r="AR119" s="41" t="s">
        <v>79</v>
      </c>
      <c r="AS119" s="41" t="s">
        <v>79</v>
      </c>
      <c r="AT119" s="41" t="s">
        <v>79</v>
      </c>
      <c r="AU119" s="42" t="str">
        <f>IF('GNI per capita'!AU119&lt;=Thresholds!$C$44,"L",IF('GNI per capita'!AU119&lt;=Thresholds!$D$44,"LM",IF('GNI per capita'!AU119&lt;=Thresholds!$E$44,"UM","H")))</f>
        <v>H</v>
      </c>
      <c r="AV119" s="42" t="str">
        <f>IF('GNI per capita'!AV119&lt;=Thresholds!$C$45,"L",IF('GNI per capita'!AV119&lt;=Thresholds!$D$45,"LM",IF('GNI per capita'!AV119&lt;=Thresholds!$E$45,"UM","H")))</f>
        <v>H</v>
      </c>
      <c r="AW119" s="42" t="str">
        <f>IF('GNI per capita'!AW119&lt;=Thresholds!$C$46,"L",IF('GNI per capita'!AW119&lt;=Thresholds!$D$46,"LM",IF('GNI per capita'!AW119&lt;=Thresholds!$E$46,"UM","H")))</f>
        <v>H</v>
      </c>
      <c r="AX119" s="42" t="str">
        <f>IF('GNI per capita'!AX119&lt;=Thresholds!$C$47,"L",IF('GNI per capita'!AX119&lt;=Thresholds!$D$47,"LM",IF('GNI per capita'!AX119&lt;=Thresholds!$E$47,"UM","H")))</f>
        <v>H</v>
      </c>
      <c r="AY119" s="42" t="str">
        <f>IF('GNI per capita'!AY119&lt;=Thresholds!$C$48,"L",IF('GNI per capita'!AY119&lt;=Thresholds!$D$48,"LM",IF('GNI per capita'!AY119&lt;=Thresholds!$E$48,"UM","H")))</f>
        <v>H</v>
      </c>
      <c r="AZ119" s="42" t="str">
        <f>IF('GNI per capita'!AZ119&lt;=Thresholds!$C$49,"L",IF('GNI per capita'!AZ119&lt;=Thresholds!$D$49,"LM",IF('GNI per capita'!AZ119&lt;=Thresholds!$E$49,"UM","H")))</f>
        <v>H</v>
      </c>
      <c r="BA119" s="42" t="str">
        <f>IF('GNI per capita'!BA119&lt;=Thresholds!$C$50,"L",IF('GNI per capita'!BA119&lt;=Thresholds!$D$50,"LM",IF('GNI per capita'!BA119&lt;=Thresholds!$E$50,"UM","H")))</f>
        <v>H</v>
      </c>
      <c r="BB119" s="42" t="str">
        <f>IF('GNI per capita'!BB119&lt;=Thresholds!$C$51,"L",IF('GNI per capita'!BB119&lt;=Thresholds!$D$51,"LM",IF('GNI per capita'!BB119&lt;=Thresholds!$E$51,"UM","H")))</f>
        <v>H</v>
      </c>
      <c r="BC119" s="42" t="str">
        <f>IF('GNI per capita'!BC119&lt;=Thresholds!$C$52,"L",IF('GNI per capita'!BC119&lt;=Thresholds!$D$52,"LM",IF('GNI per capita'!BC119&lt;=Thresholds!$E$52,"UM","H")))</f>
        <v>H</v>
      </c>
      <c r="BD119" s="42" t="str">
        <f>IF('GNI per capita'!BD119&lt;=Thresholds!$C$53,"L",IF('GNI per capita'!BD119&lt;=Thresholds!$D$53,"LM",IF('GNI per capita'!BD119&lt;=Thresholds!$E$53,"UM","H")))</f>
        <v>H</v>
      </c>
      <c r="BE119" s="42" t="str">
        <f>IF('GNI per capita'!BE119&lt;=Thresholds!$C$54,"L",IF('GNI per capita'!BE119&lt;=Thresholds!$D$54,"LM",IF('GNI per capita'!BE119&lt;=Thresholds!$E$54,"UM","H")))</f>
        <v>H</v>
      </c>
      <c r="BF119" s="42" t="str">
        <f>IF('GNI per capita'!BF119&lt;=Thresholds!$C$55,"L",IF('GNI per capita'!BF119&lt;=Thresholds!$D$55,"LM",IF('GNI per capita'!BF119&lt;=Thresholds!$E$55,"UM","H")))</f>
        <v>H</v>
      </c>
      <c r="BG119" s="42" t="str">
        <f>IF('GNI per capita'!BG119&lt;=Thresholds!$C$56,"L",IF('GNI per capita'!BG119&lt;=Thresholds!$D$56,"LM",IF('GNI per capita'!BG119&lt;=Thresholds!$E$56,"UM","H")))</f>
        <v>H</v>
      </c>
      <c r="BH119" s="42" t="str">
        <f>IF('GNI per capita'!BH119&lt;=Thresholds!$C$57,"L",IF('GNI per capita'!BH119&lt;=Thresholds!$D$57,"LM",IF('GNI per capita'!BH119&lt;=Thresholds!$E$57,"UM","H")))</f>
        <v>H</v>
      </c>
      <c r="BI119" s="42" t="str">
        <f>IF('GNI per capita'!BI119&lt;=Thresholds!$C$58,"L",IF('GNI per capita'!BI119&lt;=Thresholds!$D$58,"LM",IF('GNI per capita'!BI119&lt;=Thresholds!$E$58,"UM","H")))</f>
        <v>H</v>
      </c>
      <c r="BJ119" s="42" t="str">
        <f>IF('GNI per capita'!BJ119&lt;=Thresholds!$C$59,"L",IF('GNI per capita'!BJ119&lt;=Thresholds!$D$59,"LM",IF('GNI per capita'!BJ119&lt;=Thresholds!$E$59,"UM","H")))</f>
        <v>H</v>
      </c>
      <c r="BK119" s="42" t="str">
        <f>IF('GNI per capita'!BK119&lt;=Thresholds!$C$60,"L",IF('GNI per capita'!BK119&lt;=Thresholds!$D$60,"LM",IF('GNI per capita'!BK119&lt;=Thresholds!$E$60,"UM","H")))</f>
        <v>H</v>
      </c>
      <c r="BL119" s="42" t="str">
        <f>IF('GNI per capita'!BL119&lt;=Thresholds!$C$61,"L",IF('GNI per capita'!BL119&lt;=Thresholds!$D$61,"LM",IF('GNI per capita'!BL119&lt;=Thresholds!$E$61,"UM","H")))</f>
        <v>H</v>
      </c>
      <c r="BM119" s="42" t="str">
        <f>IF('GNI per capita'!BM119&lt;=Thresholds!$C$62,"L",IF('GNI per capita'!BM119&lt;=Thresholds!$D$62,"LM",IF('GNI per capita'!BM119&lt;=Thresholds!$E$62,"UM","H")))</f>
        <v>H</v>
      </c>
      <c r="BN119" s="42" t="str">
        <f>IF('GNI per capita'!BN119&lt;=Thresholds!$C$63,"L",IF('GNI per capita'!BN119&lt;=Thresholds!$D$63,"LM",IF('GNI per capita'!BN119&lt;=Thresholds!$E$63,"UM","H")))</f>
        <v>H</v>
      </c>
      <c r="BO119" s="42" t="str">
        <f>IF('GNI per capita'!BO119&lt;=Thresholds!$C$64,"L",IF('GNI per capita'!BO119&lt;=Thresholds!$D$64,"LM",IF('GNI per capita'!BO119&lt;=Thresholds!$E$64,"UM","H")))</f>
        <v>H</v>
      </c>
      <c r="BP119" s="42" t="str">
        <f>IF('GNI per capita'!BP119&lt;=Thresholds!$C$65,"L",IF('GNI per capita'!BP119&lt;=Thresholds!$D$65,"LM",IF('GNI per capita'!BP119&lt;=Thresholds!$E$65,"UM","H")))</f>
        <v>H</v>
      </c>
      <c r="BQ119" s="42" t="str">
        <f>IF('GNI per capita'!BQ119&lt;=Thresholds!$C$66,"L",IF('GNI per capita'!BQ119&lt;=Thresholds!$D$66,"LM",IF('GNI per capita'!BQ119&lt;=Thresholds!$E$66,"UM","H")))</f>
        <v>H</v>
      </c>
      <c r="BR119" s="42" t="str">
        <f>IF('GNI per capita'!BR119&lt;=Thresholds!$C$67,"L",IF('GNI per capita'!BR119&lt;=Thresholds!$D$67,"LM",IF('GNI per capita'!BR119&lt;=Thresholds!$E$67,"UM","H")))</f>
        <v>H</v>
      </c>
      <c r="BS119" s="42" t="str">
        <f>IF('GNI per capita'!BS119&lt;=Thresholds!$C$68,"L",IF('GNI per capita'!BS119&lt;=Thresholds!$D$68,"LM",IF('GNI per capita'!BS119&lt;=Thresholds!$E$68,"UM","H")))</f>
        <v>H</v>
      </c>
    </row>
    <row r="120" spans="1:71" x14ac:dyDescent="0.2">
      <c r="A120" s="2" t="s">
        <v>455</v>
      </c>
      <c r="B120" s="2" t="s">
        <v>456</v>
      </c>
      <c r="C120" s="11" t="s">
        <v>79</v>
      </c>
      <c r="G120" s="2" t="s">
        <v>162</v>
      </c>
      <c r="H120" s="41" t="s">
        <v>79</v>
      </c>
      <c r="I120" s="41" t="s">
        <v>79</v>
      </c>
      <c r="J120" s="41" t="s">
        <v>79</v>
      </c>
      <c r="K120" s="41" t="s">
        <v>79</v>
      </c>
      <c r="L120" s="41" t="s">
        <v>79</v>
      </c>
      <c r="M120" s="41" t="s">
        <v>79</v>
      </c>
      <c r="N120" s="41" t="s">
        <v>79</v>
      </c>
      <c r="O120" s="41" t="s">
        <v>79</v>
      </c>
      <c r="P120" s="41" t="s">
        <v>79</v>
      </c>
      <c r="Q120" s="41" t="s">
        <v>79</v>
      </c>
      <c r="R120" s="41" t="s">
        <v>79</v>
      </c>
      <c r="S120" s="41" t="s">
        <v>79</v>
      </c>
      <c r="T120" s="41" t="s">
        <v>79</v>
      </c>
      <c r="U120" s="41" t="s">
        <v>79</v>
      </c>
      <c r="V120" s="41" t="s">
        <v>79</v>
      </c>
      <c r="W120" s="41" t="s">
        <v>79</v>
      </c>
      <c r="X120" s="41" t="s">
        <v>79</v>
      </c>
      <c r="Y120" s="41" t="s">
        <v>79</v>
      </c>
      <c r="Z120" s="41" t="s">
        <v>79</v>
      </c>
      <c r="AA120" s="41" t="s">
        <v>79</v>
      </c>
      <c r="AB120" s="41" t="s">
        <v>79</v>
      </c>
      <c r="AC120" s="41" t="s">
        <v>79</v>
      </c>
      <c r="AD120" s="41" t="s">
        <v>79</v>
      </c>
      <c r="AE120" s="41" t="s">
        <v>79</v>
      </c>
      <c r="AF120" s="41" t="s">
        <v>79</v>
      </c>
      <c r="AG120" s="41" t="s">
        <v>79</v>
      </c>
      <c r="AH120" s="41" t="s">
        <v>79</v>
      </c>
      <c r="AI120" s="41" t="s">
        <v>79</v>
      </c>
      <c r="AJ120" s="41" t="s">
        <v>79</v>
      </c>
      <c r="AK120" s="41" t="s">
        <v>79</v>
      </c>
      <c r="AL120" s="41" t="s">
        <v>79</v>
      </c>
      <c r="AM120" s="41" t="s">
        <v>79</v>
      </c>
      <c r="AN120" s="41" t="s">
        <v>79</v>
      </c>
      <c r="AO120" s="41" t="s">
        <v>79</v>
      </c>
      <c r="AP120" s="41" t="s">
        <v>79</v>
      </c>
      <c r="AQ120" s="41" t="s">
        <v>79</v>
      </c>
      <c r="AR120" s="41" t="s">
        <v>79</v>
      </c>
      <c r="AS120" s="41" t="s">
        <v>79</v>
      </c>
      <c r="AT120" s="41" t="s">
        <v>79</v>
      </c>
      <c r="AU120" s="42" t="str">
        <f>IF('GNI per capita'!AU120&lt;=Thresholds!$C$44,"L",IF('GNI per capita'!AU120&lt;=Thresholds!$D$44,"LM",IF('GNI per capita'!AU120&lt;=Thresholds!$E$44,"UM","H")))</f>
        <v>H</v>
      </c>
      <c r="AV120" s="42" t="str">
        <f>IF('GNI per capita'!AV120&lt;=Thresholds!$C$45,"L",IF('GNI per capita'!AV120&lt;=Thresholds!$D$45,"LM",IF('GNI per capita'!AV120&lt;=Thresholds!$E$45,"UM","H")))</f>
        <v>H</v>
      </c>
      <c r="AW120" s="42" t="str">
        <f>IF('GNI per capita'!AW120&lt;=Thresholds!$C$46,"L",IF('GNI per capita'!AW120&lt;=Thresholds!$D$46,"LM",IF('GNI per capita'!AW120&lt;=Thresholds!$E$46,"UM","H")))</f>
        <v>H</v>
      </c>
      <c r="AX120" s="42" t="str">
        <f>IF('GNI per capita'!AX120&lt;=Thresholds!$C$47,"L",IF('GNI per capita'!AX120&lt;=Thresholds!$D$47,"LM",IF('GNI per capita'!AX120&lt;=Thresholds!$E$47,"UM","H")))</f>
        <v>H</v>
      </c>
      <c r="AY120" s="42" t="str">
        <f>IF('GNI per capita'!AY120&lt;=Thresholds!$C$48,"L",IF('GNI per capita'!AY120&lt;=Thresholds!$D$48,"LM",IF('GNI per capita'!AY120&lt;=Thresholds!$E$48,"UM","H")))</f>
        <v>H</v>
      </c>
      <c r="AZ120" s="42" t="str">
        <f>IF('GNI per capita'!AZ120&lt;=Thresholds!$C$49,"L",IF('GNI per capita'!AZ120&lt;=Thresholds!$D$49,"LM",IF('GNI per capita'!AZ120&lt;=Thresholds!$E$49,"UM","H")))</f>
        <v>H</v>
      </c>
      <c r="BA120" s="42" t="str">
        <f>IF('GNI per capita'!BA120&lt;=Thresholds!$C$50,"L",IF('GNI per capita'!BA120&lt;=Thresholds!$D$50,"LM",IF('GNI per capita'!BA120&lt;=Thresholds!$E$50,"UM","H")))</f>
        <v>H</v>
      </c>
      <c r="BB120" s="42" t="str">
        <f>IF('GNI per capita'!BB120&lt;=Thresholds!$C$51,"L",IF('GNI per capita'!BB120&lt;=Thresholds!$D$51,"LM",IF('GNI per capita'!BB120&lt;=Thresholds!$E$51,"UM","H")))</f>
        <v>H</v>
      </c>
      <c r="BC120" s="42" t="str">
        <f>IF('GNI per capita'!BC120&lt;=Thresholds!$C$52,"L",IF('GNI per capita'!BC120&lt;=Thresholds!$D$52,"LM",IF('GNI per capita'!BC120&lt;=Thresholds!$E$52,"UM","H")))</f>
        <v>H</v>
      </c>
      <c r="BD120" s="42" t="str">
        <f>IF('GNI per capita'!BD120&lt;=Thresholds!$C$53,"L",IF('GNI per capita'!BD120&lt;=Thresholds!$D$53,"LM",IF('GNI per capita'!BD120&lt;=Thresholds!$E$53,"UM","H")))</f>
        <v>H</v>
      </c>
      <c r="BE120" s="42" t="str">
        <f>IF('GNI per capita'!BE120&lt;=Thresholds!$C$54,"L",IF('GNI per capita'!BE120&lt;=Thresholds!$D$54,"LM",IF('GNI per capita'!BE120&lt;=Thresholds!$E$54,"UM","H")))</f>
        <v>H</v>
      </c>
      <c r="BF120" s="42" t="str">
        <f>IF('GNI per capita'!BF120&lt;=Thresholds!$C$55,"L",IF('GNI per capita'!BF120&lt;=Thresholds!$D$55,"LM",IF('GNI per capita'!BF120&lt;=Thresholds!$E$55,"UM","H")))</f>
        <v>H</v>
      </c>
      <c r="BG120" s="42" t="str">
        <f>IF('GNI per capita'!BG120&lt;=Thresholds!$C$56,"L",IF('GNI per capita'!BG120&lt;=Thresholds!$D$56,"LM",IF('GNI per capita'!BG120&lt;=Thresholds!$E$56,"UM","H")))</f>
        <v>H</v>
      </c>
      <c r="BH120" s="42" t="str">
        <f>IF('GNI per capita'!BH120&lt;=Thresholds!$C$57,"L",IF('GNI per capita'!BH120&lt;=Thresholds!$D$57,"LM",IF('GNI per capita'!BH120&lt;=Thresholds!$E$57,"UM","H")))</f>
        <v>H</v>
      </c>
      <c r="BI120" s="42" t="str">
        <f>IF('GNI per capita'!BI120&lt;=Thresholds!$C$58,"L",IF('GNI per capita'!BI120&lt;=Thresholds!$D$58,"LM",IF('GNI per capita'!BI120&lt;=Thresholds!$E$58,"UM","H")))</f>
        <v>H</v>
      </c>
      <c r="BJ120" s="42" t="str">
        <f>IF('GNI per capita'!BJ120&lt;=Thresholds!$C$59,"L",IF('GNI per capita'!BJ120&lt;=Thresholds!$D$59,"LM",IF('GNI per capita'!BJ120&lt;=Thresholds!$E$59,"UM","H")))</f>
        <v>H</v>
      </c>
      <c r="BK120" s="42" t="str">
        <f>IF('GNI per capita'!BK120&lt;=Thresholds!$C$60,"L",IF('GNI per capita'!BK120&lt;=Thresholds!$D$60,"LM",IF('GNI per capita'!BK120&lt;=Thresholds!$E$60,"UM","H")))</f>
        <v>H</v>
      </c>
      <c r="BL120" s="42" t="str">
        <f>IF('GNI per capita'!BL120&lt;=Thresholds!$C$61,"L",IF('GNI per capita'!BL120&lt;=Thresholds!$D$61,"LM",IF('GNI per capita'!BL120&lt;=Thresholds!$E$61,"UM","H")))</f>
        <v>H</v>
      </c>
      <c r="BM120" s="42" t="str">
        <f>IF('GNI per capita'!BM120&lt;=Thresholds!$C$62,"L",IF('GNI per capita'!BM120&lt;=Thresholds!$D$62,"LM",IF('GNI per capita'!BM120&lt;=Thresholds!$E$62,"UM","H")))</f>
        <v>H</v>
      </c>
      <c r="BN120" s="42" t="str">
        <f>IF('GNI per capita'!BN120&lt;=Thresholds!$C$63,"L",IF('GNI per capita'!BN120&lt;=Thresholds!$D$63,"LM",IF('GNI per capita'!BN120&lt;=Thresholds!$E$63,"UM","H")))</f>
        <v>H</v>
      </c>
      <c r="BO120" s="42" t="str">
        <f>IF('GNI per capita'!BO120&lt;=Thresholds!$C$64,"L",IF('GNI per capita'!BO120&lt;=Thresholds!$D$64,"LM",IF('GNI per capita'!BO120&lt;=Thresholds!$E$64,"UM","H")))</f>
        <v>H</v>
      </c>
      <c r="BP120" s="42" t="str">
        <f>IF('GNI per capita'!BP120&lt;=Thresholds!$C$65,"L",IF('GNI per capita'!BP120&lt;=Thresholds!$D$65,"LM",IF('GNI per capita'!BP120&lt;=Thresholds!$E$65,"UM","H")))</f>
        <v>H</v>
      </c>
      <c r="BQ120" s="42" t="str">
        <f>IF('GNI per capita'!BQ120&lt;=Thresholds!$C$66,"L",IF('GNI per capita'!BQ120&lt;=Thresholds!$D$66,"LM",IF('GNI per capita'!BQ120&lt;=Thresholds!$E$66,"UM","H")))</f>
        <v>H</v>
      </c>
      <c r="BR120" s="42" t="str">
        <f>IF('GNI per capita'!BR120&lt;=Thresholds!$C$67,"L",IF('GNI per capita'!BR120&lt;=Thresholds!$D$67,"LM",IF('GNI per capita'!BR120&lt;=Thresholds!$E$67,"UM","H")))</f>
        <v>H</v>
      </c>
      <c r="BS120" s="42" t="str">
        <f>IF('GNI per capita'!BS120&lt;=Thresholds!$C$68,"L",IF('GNI per capita'!BS120&lt;=Thresholds!$D$68,"LM",IF('GNI per capita'!BS120&lt;=Thresholds!$E$68,"UM","H")))</f>
        <v>H</v>
      </c>
    </row>
    <row r="121" spans="1:71" x14ac:dyDescent="0.2">
      <c r="A121" s="2" t="s">
        <v>457</v>
      </c>
      <c r="B121" s="2" t="s">
        <v>458</v>
      </c>
      <c r="C121" s="11" t="s">
        <v>79</v>
      </c>
      <c r="G121" s="2" t="s">
        <v>162</v>
      </c>
      <c r="H121" s="41" t="s">
        <v>82</v>
      </c>
      <c r="I121" s="41" t="s">
        <v>82</v>
      </c>
      <c r="J121" s="41" t="s">
        <v>82</v>
      </c>
      <c r="K121" s="41" t="s">
        <v>82</v>
      </c>
      <c r="L121" s="41" t="s">
        <v>82</v>
      </c>
      <c r="M121" s="41" t="s">
        <v>82</v>
      </c>
      <c r="N121" s="41" t="s">
        <v>82</v>
      </c>
      <c r="O121" s="41" t="s">
        <v>79</v>
      </c>
      <c r="P121" s="41" t="s">
        <v>79</v>
      </c>
      <c r="Q121" s="41" t="s">
        <v>79</v>
      </c>
      <c r="R121" s="41" t="s">
        <v>79</v>
      </c>
      <c r="S121" s="41" t="s">
        <v>79</v>
      </c>
      <c r="T121" s="41" t="s">
        <v>79</v>
      </c>
      <c r="U121" s="41" t="s">
        <v>79</v>
      </c>
      <c r="V121" s="41" t="s">
        <v>79</v>
      </c>
      <c r="W121" s="41" t="s">
        <v>79</v>
      </c>
      <c r="X121" s="41" t="s">
        <v>79</v>
      </c>
      <c r="Y121" s="41" t="s">
        <v>79</v>
      </c>
      <c r="Z121" s="41" t="s">
        <v>79</v>
      </c>
      <c r="AA121" s="41" t="s">
        <v>79</v>
      </c>
      <c r="AB121" s="41" t="s">
        <v>79</v>
      </c>
      <c r="AC121" s="41" t="s">
        <v>79</v>
      </c>
      <c r="AD121" s="41" t="s">
        <v>79</v>
      </c>
      <c r="AE121" s="41" t="s">
        <v>79</v>
      </c>
      <c r="AF121" s="41" t="s">
        <v>79</v>
      </c>
      <c r="AG121" s="41" t="s">
        <v>79</v>
      </c>
      <c r="AH121" s="41" t="s">
        <v>79</v>
      </c>
      <c r="AI121" s="41" t="s">
        <v>79</v>
      </c>
      <c r="AJ121" s="41" t="s">
        <v>79</v>
      </c>
      <c r="AK121" s="41" t="s">
        <v>79</v>
      </c>
      <c r="AL121" s="41" t="s">
        <v>79</v>
      </c>
      <c r="AM121" s="41" t="s">
        <v>79</v>
      </c>
      <c r="AN121" s="41" t="s">
        <v>79</v>
      </c>
      <c r="AO121" s="41" t="s">
        <v>79</v>
      </c>
      <c r="AP121" s="41" t="s">
        <v>79</v>
      </c>
      <c r="AQ121" s="41" t="s">
        <v>79</v>
      </c>
      <c r="AR121" s="41" t="s">
        <v>79</v>
      </c>
      <c r="AS121" s="41" t="s">
        <v>79</v>
      </c>
      <c r="AT121" s="41" t="s">
        <v>79</v>
      </c>
      <c r="AU121" s="42" t="str">
        <f>IF('GNI per capita'!AU121&lt;=Thresholds!$C$44,"L",IF('GNI per capita'!AU121&lt;=Thresholds!$D$44,"LM",IF('GNI per capita'!AU121&lt;=Thresholds!$E$44,"UM","H")))</f>
        <v>H</v>
      </c>
      <c r="AV121" s="42" t="str">
        <f>IF('GNI per capita'!AV121&lt;=Thresholds!$C$45,"L",IF('GNI per capita'!AV121&lt;=Thresholds!$D$45,"LM",IF('GNI per capita'!AV121&lt;=Thresholds!$E$45,"UM","H")))</f>
        <v>H</v>
      </c>
      <c r="AW121" s="42" t="str">
        <f>IF('GNI per capita'!AW121&lt;=Thresholds!$C$46,"L",IF('GNI per capita'!AW121&lt;=Thresholds!$D$46,"LM",IF('GNI per capita'!AW121&lt;=Thresholds!$E$46,"UM","H")))</f>
        <v>H</v>
      </c>
      <c r="AX121" s="42" t="str">
        <f>IF('GNI per capita'!AX121&lt;=Thresholds!$C$47,"L",IF('GNI per capita'!AX121&lt;=Thresholds!$D$47,"LM",IF('GNI per capita'!AX121&lt;=Thresholds!$E$47,"UM","H")))</f>
        <v>H</v>
      </c>
      <c r="AY121" s="42" t="str">
        <f>IF('GNI per capita'!AY121&lt;=Thresholds!$C$48,"L",IF('GNI per capita'!AY121&lt;=Thresholds!$D$48,"LM",IF('GNI per capita'!AY121&lt;=Thresholds!$E$48,"UM","H")))</f>
        <v>H</v>
      </c>
      <c r="AZ121" s="42" t="str">
        <f>IF('GNI per capita'!AZ121&lt;=Thresholds!$C$49,"L",IF('GNI per capita'!AZ121&lt;=Thresholds!$D$49,"LM",IF('GNI per capita'!AZ121&lt;=Thresholds!$E$49,"UM","H")))</f>
        <v>H</v>
      </c>
      <c r="BA121" s="42" t="str">
        <f>IF('GNI per capita'!BA121&lt;=Thresholds!$C$50,"L",IF('GNI per capita'!BA121&lt;=Thresholds!$D$50,"LM",IF('GNI per capita'!BA121&lt;=Thresholds!$E$50,"UM","H")))</f>
        <v>H</v>
      </c>
      <c r="BB121" s="42" t="str">
        <f>IF('GNI per capita'!BB121&lt;=Thresholds!$C$51,"L",IF('GNI per capita'!BB121&lt;=Thresholds!$D$51,"LM",IF('GNI per capita'!BB121&lt;=Thresholds!$E$51,"UM","H")))</f>
        <v>H</v>
      </c>
      <c r="BC121" s="42" t="str">
        <f>IF('GNI per capita'!BC121&lt;=Thresholds!$C$52,"L",IF('GNI per capita'!BC121&lt;=Thresholds!$D$52,"LM",IF('GNI per capita'!BC121&lt;=Thresholds!$E$52,"UM","H")))</f>
        <v>H</v>
      </c>
      <c r="BD121" s="42" t="str">
        <f>IF('GNI per capita'!BD121&lt;=Thresholds!$C$53,"L",IF('GNI per capita'!BD121&lt;=Thresholds!$D$53,"LM",IF('GNI per capita'!BD121&lt;=Thresholds!$E$53,"UM","H")))</f>
        <v>H</v>
      </c>
      <c r="BE121" s="42" t="str">
        <f>IF('GNI per capita'!BE121&lt;=Thresholds!$C$54,"L",IF('GNI per capita'!BE121&lt;=Thresholds!$D$54,"LM",IF('GNI per capita'!BE121&lt;=Thresholds!$E$54,"UM","H")))</f>
        <v>H</v>
      </c>
      <c r="BF121" s="42" t="str">
        <f>IF('GNI per capita'!BF121&lt;=Thresholds!$C$55,"L",IF('GNI per capita'!BF121&lt;=Thresholds!$D$55,"LM",IF('GNI per capita'!BF121&lt;=Thresholds!$E$55,"UM","H")))</f>
        <v>H</v>
      </c>
      <c r="BG121" s="42" t="str">
        <f>IF('GNI per capita'!BG121&lt;=Thresholds!$C$56,"L",IF('GNI per capita'!BG121&lt;=Thresholds!$D$56,"LM",IF('GNI per capita'!BG121&lt;=Thresholds!$E$56,"UM","H")))</f>
        <v>H</v>
      </c>
      <c r="BH121" s="42" t="str">
        <f>IF('GNI per capita'!BH121&lt;=Thresholds!$C$57,"L",IF('GNI per capita'!BH121&lt;=Thresholds!$D$57,"LM",IF('GNI per capita'!BH121&lt;=Thresholds!$E$57,"UM","H")))</f>
        <v>H</v>
      </c>
      <c r="BI121" s="42" t="str">
        <f>IF('GNI per capita'!BI121&lt;=Thresholds!$C$58,"L",IF('GNI per capita'!BI121&lt;=Thresholds!$D$58,"LM",IF('GNI per capita'!BI121&lt;=Thresholds!$E$58,"UM","H")))</f>
        <v>H</v>
      </c>
      <c r="BJ121" s="42" t="str">
        <f>IF('GNI per capita'!BJ121&lt;=Thresholds!$C$59,"L",IF('GNI per capita'!BJ121&lt;=Thresholds!$D$59,"LM",IF('GNI per capita'!BJ121&lt;=Thresholds!$E$59,"UM","H")))</f>
        <v>H</v>
      </c>
      <c r="BK121" s="42" t="str">
        <f>IF('GNI per capita'!BK121&lt;=Thresholds!$C$60,"L",IF('GNI per capita'!BK121&lt;=Thresholds!$D$60,"LM",IF('GNI per capita'!BK121&lt;=Thresholds!$E$60,"UM","H")))</f>
        <v>H</v>
      </c>
      <c r="BL121" s="42" t="str">
        <f>IF('GNI per capita'!BL121&lt;=Thresholds!$C$61,"L",IF('GNI per capita'!BL121&lt;=Thresholds!$D$61,"LM",IF('GNI per capita'!BL121&lt;=Thresholds!$E$61,"UM","H")))</f>
        <v>H</v>
      </c>
      <c r="BM121" s="42" t="str">
        <f>IF('GNI per capita'!BM121&lt;=Thresholds!$C$62,"L",IF('GNI per capita'!BM121&lt;=Thresholds!$D$62,"LM",IF('GNI per capita'!BM121&lt;=Thresholds!$E$62,"UM","H")))</f>
        <v>H</v>
      </c>
      <c r="BN121" s="42" t="str">
        <f>IF('GNI per capita'!BN121&lt;=Thresholds!$C$63,"L",IF('GNI per capita'!BN121&lt;=Thresholds!$D$63,"LM",IF('GNI per capita'!BN121&lt;=Thresholds!$E$63,"UM","H")))</f>
        <v>H</v>
      </c>
      <c r="BO121" s="42" t="str">
        <f>IF('GNI per capita'!BO121&lt;=Thresholds!$C$64,"L",IF('GNI per capita'!BO121&lt;=Thresholds!$D$64,"LM",IF('GNI per capita'!BO121&lt;=Thresholds!$E$64,"UM","H")))</f>
        <v>H</v>
      </c>
      <c r="BP121" s="42" t="str">
        <f>IF('GNI per capita'!BP121&lt;=Thresholds!$C$65,"L",IF('GNI per capita'!BP121&lt;=Thresholds!$D$65,"LM",IF('GNI per capita'!BP121&lt;=Thresholds!$E$65,"UM","H")))</f>
        <v>H</v>
      </c>
      <c r="BQ121" s="42" t="str">
        <f>IF('GNI per capita'!BQ121&lt;=Thresholds!$C$66,"L",IF('GNI per capita'!BQ121&lt;=Thresholds!$D$66,"LM",IF('GNI per capita'!BQ121&lt;=Thresholds!$E$66,"UM","H")))</f>
        <v>H</v>
      </c>
      <c r="BR121" s="42" t="str">
        <f>IF('GNI per capita'!BR121&lt;=Thresholds!$C$67,"L",IF('GNI per capita'!BR121&lt;=Thresholds!$D$67,"LM",IF('GNI per capita'!BR121&lt;=Thresholds!$E$67,"UM","H")))</f>
        <v>H</v>
      </c>
      <c r="BS121" s="42" t="str">
        <f>IF('GNI per capita'!BS121&lt;=Thresholds!$C$68,"L",IF('GNI per capita'!BS121&lt;=Thresholds!$D$68,"LM",IF('GNI per capita'!BS121&lt;=Thresholds!$E$68,"UM","H")))</f>
        <v>H</v>
      </c>
    </row>
    <row r="122" spans="1:71" x14ac:dyDescent="0.2">
      <c r="A122" s="2" t="s">
        <v>459</v>
      </c>
      <c r="B122" s="2" t="s">
        <v>460</v>
      </c>
      <c r="C122" s="11" t="s">
        <v>75</v>
      </c>
      <c r="G122" s="2" t="s">
        <v>162</v>
      </c>
      <c r="H122" s="41" t="s">
        <v>75</v>
      </c>
      <c r="I122" s="41" t="s">
        <v>75</v>
      </c>
      <c r="J122" s="41" t="s">
        <v>75</v>
      </c>
      <c r="K122" s="41" t="s">
        <v>75</v>
      </c>
      <c r="L122" s="41" t="s">
        <v>75</v>
      </c>
      <c r="M122" s="41" t="s">
        <v>75</v>
      </c>
      <c r="N122" s="41" t="s">
        <v>75</v>
      </c>
      <c r="O122" s="41" t="s">
        <v>75</v>
      </c>
      <c r="P122" s="41" t="s">
        <v>75</v>
      </c>
      <c r="Q122" s="41" t="s">
        <v>75</v>
      </c>
      <c r="R122" s="41" t="s">
        <v>75</v>
      </c>
      <c r="S122" s="41" t="s">
        <v>75</v>
      </c>
      <c r="T122" s="41" t="s">
        <v>75</v>
      </c>
      <c r="U122" s="41" t="s">
        <v>75</v>
      </c>
      <c r="V122" s="41" t="s">
        <v>75</v>
      </c>
      <c r="W122" s="41" t="s">
        <v>75</v>
      </c>
      <c r="X122" s="41" t="s">
        <v>75</v>
      </c>
      <c r="Y122" s="41" t="s">
        <v>75</v>
      </c>
      <c r="Z122" s="41" t="s">
        <v>75</v>
      </c>
      <c r="AA122" s="41" t="s">
        <v>75</v>
      </c>
      <c r="AB122" s="41" t="s">
        <v>75</v>
      </c>
      <c r="AC122" s="41" t="s">
        <v>75</v>
      </c>
      <c r="AD122" s="41" t="s">
        <v>75</v>
      </c>
      <c r="AE122" s="41" t="s">
        <v>75</v>
      </c>
      <c r="AF122" s="41" t="s">
        <v>75</v>
      </c>
      <c r="AG122" s="41" t="s">
        <v>75</v>
      </c>
      <c r="AH122" s="41" t="s">
        <v>75</v>
      </c>
      <c r="AI122" s="41" t="s">
        <v>75</v>
      </c>
      <c r="AJ122" s="41" t="s">
        <v>75</v>
      </c>
      <c r="AK122" s="41" t="s">
        <v>75</v>
      </c>
      <c r="AL122" s="41" t="s">
        <v>75</v>
      </c>
      <c r="AM122" s="41" t="s">
        <v>75</v>
      </c>
      <c r="AN122" s="41" t="s">
        <v>75</v>
      </c>
      <c r="AO122" s="41" t="s">
        <v>75</v>
      </c>
      <c r="AP122" s="41" t="s">
        <v>75</v>
      </c>
      <c r="AQ122" s="41" t="s">
        <v>75</v>
      </c>
      <c r="AR122" s="41" t="s">
        <v>75</v>
      </c>
      <c r="AS122" s="41" t="s">
        <v>75</v>
      </c>
      <c r="AT122" s="41" t="s">
        <v>75</v>
      </c>
      <c r="AU122" s="42" t="str">
        <f>IF('GNI per capita'!AU122&lt;=Thresholds!$C$44,"L",IF('GNI per capita'!AU122&lt;=Thresholds!$D$44,"LM",IF('GNI per capita'!AU122&lt;=Thresholds!$E$44,"UM","H")))</f>
        <v>L</v>
      </c>
      <c r="AV122" s="42" t="str">
        <f>IF('GNI per capita'!AV122&lt;=Thresholds!$C$45,"L",IF('GNI per capita'!AV122&lt;=Thresholds!$D$45,"LM",IF('GNI per capita'!AV122&lt;=Thresholds!$E$45,"UM","H")))</f>
        <v>L</v>
      </c>
      <c r="AW122" s="42" t="str">
        <f>IF('GNI per capita'!AW122&lt;=Thresholds!$C$46,"L",IF('GNI per capita'!AW122&lt;=Thresholds!$D$46,"LM",IF('GNI per capita'!AW122&lt;=Thresholds!$E$46,"UM","H")))</f>
        <v>L</v>
      </c>
      <c r="AX122" s="42" t="str">
        <f>IF('GNI per capita'!AX122&lt;=Thresholds!$C$47,"L",IF('GNI per capita'!AX122&lt;=Thresholds!$D$47,"LM",IF('GNI per capita'!AX122&lt;=Thresholds!$E$47,"UM","H")))</f>
        <v>L</v>
      </c>
      <c r="AY122" s="42" t="str">
        <f>IF('GNI per capita'!AY122&lt;=Thresholds!$C$48,"L",IF('GNI per capita'!AY122&lt;=Thresholds!$D$48,"LM",IF('GNI per capita'!AY122&lt;=Thresholds!$E$48,"UM","H")))</f>
        <v>L</v>
      </c>
      <c r="AZ122" s="42" t="str">
        <f>IF('GNI per capita'!AZ122&lt;=Thresholds!$C$49,"L",IF('GNI per capita'!AZ122&lt;=Thresholds!$D$49,"LM",IF('GNI per capita'!AZ122&lt;=Thresholds!$E$49,"UM","H")))</f>
        <v>L</v>
      </c>
      <c r="BA122" s="42" t="str">
        <f>IF('GNI per capita'!BA122&lt;=Thresholds!$C$50,"L",IF('GNI per capita'!BA122&lt;=Thresholds!$D$50,"LM",IF('GNI per capita'!BA122&lt;=Thresholds!$E$50,"UM","H")))</f>
        <v>L</v>
      </c>
      <c r="BB122" s="42" t="str">
        <f>IF('GNI per capita'!BB122&lt;=Thresholds!$C$51,"L",IF('GNI per capita'!BB122&lt;=Thresholds!$D$51,"LM",IF('GNI per capita'!BB122&lt;=Thresholds!$E$51,"UM","H")))</f>
        <v>L</v>
      </c>
      <c r="BC122" s="42" t="str">
        <f>IF('GNI per capita'!BC122&lt;=Thresholds!$C$52,"L",IF('GNI per capita'!BC122&lt;=Thresholds!$D$52,"LM",IF('GNI per capita'!BC122&lt;=Thresholds!$E$52,"UM","H")))</f>
        <v>L</v>
      </c>
      <c r="BD122" s="42" t="str">
        <f>IF('GNI per capita'!BD122&lt;=Thresholds!$C$53,"L",IF('GNI per capita'!BD122&lt;=Thresholds!$D$53,"LM",IF('GNI per capita'!BD122&lt;=Thresholds!$E$53,"UM","H")))</f>
        <v>L</v>
      </c>
      <c r="BE122" s="42" t="str">
        <f>IF('GNI per capita'!BE122&lt;=Thresholds!$C$54,"L",IF('GNI per capita'!BE122&lt;=Thresholds!$D$54,"LM",IF('GNI per capita'!BE122&lt;=Thresholds!$E$54,"UM","H")))</f>
        <v>L</v>
      </c>
      <c r="BF122" s="42" t="str">
        <f>IF('GNI per capita'!BF122&lt;=Thresholds!$C$55,"L",IF('GNI per capita'!BF122&lt;=Thresholds!$D$55,"LM",IF('GNI per capita'!BF122&lt;=Thresholds!$E$55,"UM","H")))</f>
        <v>L</v>
      </c>
      <c r="BG122" s="42" t="str">
        <f>IF('GNI per capita'!BG122&lt;=Thresholds!$C$56,"L",IF('GNI per capita'!BG122&lt;=Thresholds!$D$56,"LM",IF('GNI per capita'!BG122&lt;=Thresholds!$E$56,"UM","H")))</f>
        <v>L</v>
      </c>
      <c r="BH122" s="42" t="str">
        <f>IF('GNI per capita'!BH122&lt;=Thresholds!$C$57,"L",IF('GNI per capita'!BH122&lt;=Thresholds!$D$57,"LM",IF('GNI per capita'!BH122&lt;=Thresholds!$E$57,"UM","H")))</f>
        <v>L</v>
      </c>
      <c r="BI122" s="42" t="str">
        <f>IF('GNI per capita'!BI122&lt;=Thresholds!$C$58,"L",IF('GNI per capita'!BI122&lt;=Thresholds!$D$58,"LM",IF('GNI per capita'!BI122&lt;=Thresholds!$E$58,"UM","H")))</f>
        <v>L</v>
      </c>
      <c r="BJ122" s="42" t="str">
        <f>IF('GNI per capita'!BJ122&lt;=Thresholds!$C$59,"L",IF('GNI per capita'!BJ122&lt;=Thresholds!$D$59,"LM",IF('GNI per capita'!BJ122&lt;=Thresholds!$E$59,"UM","H")))</f>
        <v>L</v>
      </c>
      <c r="BK122" s="42" t="str">
        <f>IF('GNI per capita'!BK122&lt;=Thresholds!$C$60,"L",IF('GNI per capita'!BK122&lt;=Thresholds!$D$60,"LM",IF('GNI per capita'!BK122&lt;=Thresholds!$E$60,"UM","H")))</f>
        <v>L</v>
      </c>
      <c r="BL122" s="42" t="str">
        <f>IF('GNI per capita'!BL122&lt;=Thresholds!$C$61,"L",IF('GNI per capita'!BL122&lt;=Thresholds!$D$61,"LM",IF('GNI per capita'!BL122&lt;=Thresholds!$E$61,"UM","H")))</f>
        <v>L</v>
      </c>
      <c r="BM122" s="42" t="str">
        <f>IF('GNI per capita'!BM122&lt;=Thresholds!$C$62,"L",IF('GNI per capita'!BM122&lt;=Thresholds!$D$62,"LM",IF('GNI per capita'!BM122&lt;=Thresholds!$E$62,"UM","H")))</f>
        <v>L</v>
      </c>
      <c r="BN122" s="42" t="str">
        <f>IF('GNI per capita'!BN122&lt;=Thresholds!$C$63,"L",IF('GNI per capita'!BN122&lt;=Thresholds!$D$63,"LM",IF('GNI per capita'!BN122&lt;=Thresholds!$E$63,"UM","H")))</f>
        <v>L</v>
      </c>
      <c r="BO122" s="42" t="str">
        <f>IF('GNI per capita'!BO122&lt;=Thresholds!$C$64,"L",IF('GNI per capita'!BO122&lt;=Thresholds!$D$64,"LM",IF('GNI per capita'!BO122&lt;=Thresholds!$E$64,"UM","H")))</f>
        <v>L</v>
      </c>
      <c r="BP122" s="42" t="str">
        <f>IF('GNI per capita'!BP122&lt;=Thresholds!$C$65,"L",IF('GNI per capita'!BP122&lt;=Thresholds!$D$65,"LM",IF('GNI per capita'!BP122&lt;=Thresholds!$E$65,"UM","H")))</f>
        <v>L</v>
      </c>
      <c r="BQ122" s="42" t="str">
        <f>IF('GNI per capita'!BQ122&lt;=Thresholds!$C$66,"L",IF('GNI per capita'!BQ122&lt;=Thresholds!$D$66,"LM",IF('GNI per capita'!BQ122&lt;=Thresholds!$E$66,"UM","H")))</f>
        <v>L</v>
      </c>
      <c r="BR122" s="42" t="str">
        <f>IF('GNI per capita'!BR122&lt;=Thresholds!$C$67,"L",IF('GNI per capita'!BR122&lt;=Thresholds!$D$67,"LM",IF('GNI per capita'!BR122&lt;=Thresholds!$E$67,"UM","H")))</f>
        <v>L</v>
      </c>
      <c r="BS122" s="42" t="str">
        <f>IF('GNI per capita'!BS122&lt;=Thresholds!$C$68,"L",IF('GNI per capita'!BS122&lt;=Thresholds!$D$68,"LM",IF('GNI per capita'!BS122&lt;=Thresholds!$E$68,"UM","H")))</f>
        <v>L</v>
      </c>
    </row>
    <row r="123" spans="1:71" x14ac:dyDescent="0.2">
      <c r="A123" s="2" t="s">
        <v>461</v>
      </c>
      <c r="B123" s="2" t="s">
        <v>462</v>
      </c>
      <c r="C123" s="11" t="s">
        <v>75</v>
      </c>
      <c r="G123" s="2" t="s">
        <v>162</v>
      </c>
      <c r="H123" s="41" t="s">
        <v>75</v>
      </c>
      <c r="I123" s="41" t="s">
        <v>75</v>
      </c>
      <c r="J123" s="41" t="s">
        <v>75</v>
      </c>
      <c r="K123" s="41" t="s">
        <v>75</v>
      </c>
      <c r="L123" s="41" t="s">
        <v>75</v>
      </c>
      <c r="M123" s="41" t="s">
        <v>75</v>
      </c>
      <c r="N123" s="41" t="s">
        <v>75</v>
      </c>
      <c r="O123" s="41" t="s">
        <v>75</v>
      </c>
      <c r="P123" s="41" t="s">
        <v>75</v>
      </c>
      <c r="Q123" s="41" t="s">
        <v>75</v>
      </c>
      <c r="R123" s="41" t="s">
        <v>75</v>
      </c>
      <c r="S123" s="41" t="s">
        <v>75</v>
      </c>
      <c r="T123" s="41" t="s">
        <v>75</v>
      </c>
      <c r="U123" s="41" t="s">
        <v>75</v>
      </c>
      <c r="V123" s="41" t="s">
        <v>75</v>
      </c>
      <c r="W123" s="41" t="s">
        <v>75</v>
      </c>
      <c r="X123" s="41" t="s">
        <v>75</v>
      </c>
      <c r="Y123" s="41" t="s">
        <v>75</v>
      </c>
      <c r="Z123" s="41" t="s">
        <v>75</v>
      </c>
      <c r="AA123" s="41" t="s">
        <v>75</v>
      </c>
      <c r="AB123" s="41" t="s">
        <v>75</v>
      </c>
      <c r="AC123" s="41" t="s">
        <v>75</v>
      </c>
      <c r="AD123" s="41" t="s">
        <v>75</v>
      </c>
      <c r="AE123" s="41" t="s">
        <v>75</v>
      </c>
      <c r="AF123" s="41" t="s">
        <v>75</v>
      </c>
      <c r="AG123" s="41" t="s">
        <v>75</v>
      </c>
      <c r="AH123" s="41" t="s">
        <v>75</v>
      </c>
      <c r="AI123" s="41" t="s">
        <v>75</v>
      </c>
      <c r="AJ123" s="41" t="s">
        <v>75</v>
      </c>
      <c r="AK123" s="41" t="s">
        <v>75</v>
      </c>
      <c r="AL123" s="41" t="s">
        <v>75</v>
      </c>
      <c r="AM123" s="41" t="s">
        <v>75</v>
      </c>
      <c r="AN123" s="41" t="s">
        <v>75</v>
      </c>
      <c r="AO123" s="41" t="s">
        <v>75</v>
      </c>
      <c r="AP123" s="41" t="s">
        <v>75</v>
      </c>
      <c r="AQ123" s="41" t="s">
        <v>75</v>
      </c>
      <c r="AR123" s="41" t="s">
        <v>75</v>
      </c>
      <c r="AS123" s="41" t="s">
        <v>75</v>
      </c>
      <c r="AT123" s="41" t="s">
        <v>75</v>
      </c>
      <c r="AU123" s="42" t="str">
        <f>IF('GNI per capita'!AU123&lt;=Thresholds!$C$44,"L",IF('GNI per capita'!AU123&lt;=Thresholds!$D$44,"LM",IF('GNI per capita'!AU123&lt;=Thresholds!$E$44,"UM","H")))</f>
        <v>L</v>
      </c>
      <c r="AV123" s="42" t="str">
        <f>IF('GNI per capita'!AV123&lt;=Thresholds!$C$45,"L",IF('GNI per capita'!AV123&lt;=Thresholds!$D$45,"LM",IF('GNI per capita'!AV123&lt;=Thresholds!$E$45,"UM","H")))</f>
        <v>L</v>
      </c>
      <c r="AW123" s="42" t="str">
        <f>IF('GNI per capita'!AW123&lt;=Thresholds!$C$46,"L",IF('GNI per capita'!AW123&lt;=Thresholds!$D$46,"LM",IF('GNI per capita'!AW123&lt;=Thresholds!$E$46,"UM","H")))</f>
        <v>L</v>
      </c>
      <c r="AX123" s="42" t="str">
        <f>IF('GNI per capita'!AX123&lt;=Thresholds!$C$47,"L",IF('GNI per capita'!AX123&lt;=Thresholds!$D$47,"LM",IF('GNI per capita'!AX123&lt;=Thresholds!$E$47,"UM","H")))</f>
        <v>L</v>
      </c>
      <c r="AY123" s="42" t="str">
        <f>IF('GNI per capita'!AY123&lt;=Thresholds!$C$48,"L",IF('GNI per capita'!AY123&lt;=Thresholds!$D$48,"LM",IF('GNI per capita'!AY123&lt;=Thresholds!$E$48,"UM","H")))</f>
        <v>L</v>
      </c>
      <c r="AZ123" s="42" t="str">
        <f>IF('GNI per capita'!AZ123&lt;=Thresholds!$C$49,"L",IF('GNI per capita'!AZ123&lt;=Thresholds!$D$49,"LM",IF('GNI per capita'!AZ123&lt;=Thresholds!$E$49,"UM","H")))</f>
        <v>L</v>
      </c>
      <c r="BA123" s="42" t="str">
        <f>IF('GNI per capita'!BA123&lt;=Thresholds!$C$50,"L",IF('GNI per capita'!BA123&lt;=Thresholds!$D$50,"LM",IF('GNI per capita'!BA123&lt;=Thresholds!$E$50,"UM","H")))</f>
        <v>L</v>
      </c>
      <c r="BB123" s="42" t="str">
        <f>IF('GNI per capita'!BB123&lt;=Thresholds!$C$51,"L",IF('GNI per capita'!BB123&lt;=Thresholds!$D$51,"LM",IF('GNI per capita'!BB123&lt;=Thresholds!$E$51,"UM","H")))</f>
        <v>L</v>
      </c>
      <c r="BC123" s="42" t="str">
        <f>IF('GNI per capita'!BC123&lt;=Thresholds!$C$52,"L",IF('GNI per capita'!BC123&lt;=Thresholds!$D$52,"LM",IF('GNI per capita'!BC123&lt;=Thresholds!$E$52,"UM","H")))</f>
        <v>L</v>
      </c>
      <c r="BD123" s="42" t="str">
        <f>IF('GNI per capita'!BD123&lt;=Thresholds!$C$53,"L",IF('GNI per capita'!BD123&lt;=Thresholds!$D$53,"LM",IF('GNI per capita'!BD123&lt;=Thresholds!$E$53,"UM","H")))</f>
        <v>L</v>
      </c>
      <c r="BE123" s="42" t="str">
        <f>IF('GNI per capita'!BE123&lt;=Thresholds!$C$54,"L",IF('GNI per capita'!BE123&lt;=Thresholds!$D$54,"LM",IF('GNI per capita'!BE123&lt;=Thresholds!$E$54,"UM","H")))</f>
        <v>L</v>
      </c>
      <c r="BF123" s="42" t="str">
        <f>IF('GNI per capita'!BF123&lt;=Thresholds!$C$55,"L",IF('GNI per capita'!BF123&lt;=Thresholds!$D$55,"LM",IF('GNI per capita'!BF123&lt;=Thresholds!$E$55,"UM","H")))</f>
        <v>L</v>
      </c>
      <c r="BG123" s="42" t="str">
        <f>IF('GNI per capita'!BG123&lt;=Thresholds!$C$56,"L",IF('GNI per capita'!BG123&lt;=Thresholds!$D$56,"LM",IF('GNI per capita'!BG123&lt;=Thresholds!$E$56,"UM","H")))</f>
        <v>L</v>
      </c>
      <c r="BH123" s="42" t="str">
        <f>IF('GNI per capita'!BH123&lt;=Thresholds!$C$57,"L",IF('GNI per capita'!BH123&lt;=Thresholds!$D$57,"LM",IF('GNI per capita'!BH123&lt;=Thresholds!$E$57,"UM","H")))</f>
        <v>L</v>
      </c>
      <c r="BI123" s="42" t="str">
        <f>IF('GNI per capita'!BI123&lt;=Thresholds!$C$58,"L",IF('GNI per capita'!BI123&lt;=Thresholds!$D$58,"LM",IF('GNI per capita'!BI123&lt;=Thresholds!$E$58,"UM","H")))</f>
        <v>L</v>
      </c>
      <c r="BJ123" s="42" t="str">
        <f>IF('GNI per capita'!BJ123&lt;=Thresholds!$C$59,"L",IF('GNI per capita'!BJ123&lt;=Thresholds!$D$59,"LM",IF('GNI per capita'!BJ123&lt;=Thresholds!$E$59,"UM","H")))</f>
        <v>L</v>
      </c>
      <c r="BK123" s="42" t="str">
        <f>IF('GNI per capita'!BK123&lt;=Thresholds!$C$60,"L",IF('GNI per capita'!BK123&lt;=Thresholds!$D$60,"LM",IF('GNI per capita'!BK123&lt;=Thresholds!$E$60,"UM","H")))</f>
        <v>L</v>
      </c>
      <c r="BL123" s="42" t="str">
        <f>IF('GNI per capita'!BL123&lt;=Thresholds!$C$61,"L",IF('GNI per capita'!BL123&lt;=Thresholds!$D$61,"LM",IF('GNI per capita'!BL123&lt;=Thresholds!$E$61,"UM","H")))</f>
        <v>L</v>
      </c>
      <c r="BM123" s="42" t="str">
        <f>IF('GNI per capita'!BM123&lt;=Thresholds!$C$62,"L",IF('GNI per capita'!BM123&lt;=Thresholds!$D$62,"LM",IF('GNI per capita'!BM123&lt;=Thresholds!$E$62,"UM","H")))</f>
        <v>L</v>
      </c>
      <c r="BN123" s="42" t="str">
        <f>IF('GNI per capita'!BN123&lt;=Thresholds!$C$63,"L",IF('GNI per capita'!BN123&lt;=Thresholds!$D$63,"LM",IF('GNI per capita'!BN123&lt;=Thresholds!$E$63,"UM","H")))</f>
        <v>L</v>
      </c>
      <c r="BO123" s="42" t="str">
        <f>IF('GNI per capita'!BO123&lt;=Thresholds!$C$64,"L",IF('GNI per capita'!BO123&lt;=Thresholds!$D$64,"LM",IF('GNI per capita'!BO123&lt;=Thresholds!$E$64,"UM","H")))</f>
        <v>L</v>
      </c>
      <c r="BP123" s="42" t="str">
        <f>IF('GNI per capita'!BP123&lt;=Thresholds!$C$65,"L",IF('GNI per capita'!BP123&lt;=Thresholds!$D$65,"LM",IF('GNI per capita'!BP123&lt;=Thresholds!$E$65,"UM","H")))</f>
        <v>L</v>
      </c>
      <c r="BQ123" s="42" t="str">
        <f>IF('GNI per capita'!BQ123&lt;=Thresholds!$C$66,"L",IF('GNI per capita'!BQ123&lt;=Thresholds!$D$66,"LM",IF('GNI per capita'!BQ123&lt;=Thresholds!$E$66,"UM","H")))</f>
        <v>L</v>
      </c>
      <c r="BR123" s="42" t="str">
        <f>IF('GNI per capita'!BR123&lt;=Thresholds!$C$67,"L",IF('GNI per capita'!BR123&lt;=Thresholds!$D$67,"LM",IF('GNI per capita'!BR123&lt;=Thresholds!$E$67,"UM","H")))</f>
        <v>L</v>
      </c>
      <c r="BS123" s="42" t="str">
        <f>IF('GNI per capita'!BS123&lt;=Thresholds!$C$68,"L",IF('GNI per capita'!BS123&lt;=Thresholds!$D$68,"LM",IF('GNI per capita'!BS123&lt;=Thresholds!$E$68,"UM","H")))</f>
        <v>L</v>
      </c>
    </row>
    <row r="124" spans="1:71" x14ac:dyDescent="0.2">
      <c r="A124" s="2" t="s">
        <v>463</v>
      </c>
      <c r="B124" s="2" t="s">
        <v>464</v>
      </c>
      <c r="C124" s="11" t="s">
        <v>82</v>
      </c>
      <c r="G124" s="2" t="s">
        <v>162</v>
      </c>
      <c r="H124" s="41" t="s">
        <v>210</v>
      </c>
      <c r="I124" s="41" t="s">
        <v>210</v>
      </c>
      <c r="J124" s="41" t="s">
        <v>210</v>
      </c>
      <c r="K124" s="41" t="s">
        <v>210</v>
      </c>
      <c r="L124" s="41" t="s">
        <v>210</v>
      </c>
      <c r="M124" s="41" t="s">
        <v>82</v>
      </c>
      <c r="N124" s="41" t="s">
        <v>82</v>
      </c>
      <c r="O124" s="41" t="s">
        <v>82</v>
      </c>
      <c r="P124" s="41" t="s">
        <v>82</v>
      </c>
      <c r="Q124" s="41" t="s">
        <v>82</v>
      </c>
      <c r="R124" s="41" t="s">
        <v>82</v>
      </c>
      <c r="S124" s="41" t="s">
        <v>82</v>
      </c>
      <c r="T124" s="41" t="s">
        <v>82</v>
      </c>
      <c r="U124" s="41" t="s">
        <v>82</v>
      </c>
      <c r="V124" s="41" t="s">
        <v>82</v>
      </c>
      <c r="W124" s="41" t="s">
        <v>82</v>
      </c>
      <c r="X124" s="41" t="s">
        <v>82</v>
      </c>
      <c r="Y124" s="41" t="s">
        <v>82</v>
      </c>
      <c r="Z124" s="41" t="s">
        <v>82</v>
      </c>
      <c r="AA124" s="41" t="s">
        <v>82</v>
      </c>
      <c r="AB124" s="41" t="s">
        <v>82</v>
      </c>
      <c r="AC124" s="41" t="s">
        <v>82</v>
      </c>
      <c r="AD124" s="41" t="s">
        <v>82</v>
      </c>
      <c r="AE124" s="41" t="s">
        <v>82</v>
      </c>
      <c r="AF124" s="41" t="s">
        <v>82</v>
      </c>
      <c r="AG124" s="41" t="s">
        <v>82</v>
      </c>
      <c r="AH124" s="41" t="s">
        <v>82</v>
      </c>
      <c r="AI124" s="41" t="s">
        <v>82</v>
      </c>
      <c r="AJ124" s="41" t="s">
        <v>82</v>
      </c>
      <c r="AK124" s="41" t="s">
        <v>82</v>
      </c>
      <c r="AL124" s="41" t="s">
        <v>82</v>
      </c>
      <c r="AM124" s="41" t="s">
        <v>82</v>
      </c>
      <c r="AN124" s="41" t="s">
        <v>82</v>
      </c>
      <c r="AO124" s="41" t="s">
        <v>82</v>
      </c>
      <c r="AP124" s="41" t="s">
        <v>82</v>
      </c>
      <c r="AQ124" s="41" t="s">
        <v>82</v>
      </c>
      <c r="AR124" s="41" t="s">
        <v>82</v>
      </c>
      <c r="AS124" s="41" t="s">
        <v>82</v>
      </c>
      <c r="AT124" s="41" t="s">
        <v>82</v>
      </c>
      <c r="AU124" s="42" t="str">
        <f>IF('GNI per capita'!AU124&lt;=Thresholds!$C$44,"L",IF('GNI per capita'!AU124&lt;=Thresholds!$D$44,"LM",IF('GNI per capita'!AU124&lt;=Thresholds!$E$44,"UM","H")))</f>
        <v>UM</v>
      </c>
      <c r="AV124" s="42" t="str">
        <f>IF('GNI per capita'!AV124&lt;=Thresholds!$C$45,"L",IF('GNI per capita'!AV124&lt;=Thresholds!$D$45,"LM",IF('GNI per capita'!AV124&lt;=Thresholds!$E$45,"UM","H")))</f>
        <v>UM</v>
      </c>
      <c r="AW124" s="42" t="str">
        <f>IF('GNI per capita'!AW124&lt;=Thresholds!$C$46,"L",IF('GNI per capita'!AW124&lt;=Thresholds!$D$46,"LM",IF('GNI per capita'!AW124&lt;=Thresholds!$E$46,"UM","H")))</f>
        <v>UM</v>
      </c>
      <c r="AX124" s="42" t="str">
        <f>IF('GNI per capita'!AX124&lt;=Thresholds!$C$47,"L",IF('GNI per capita'!AX124&lt;=Thresholds!$D$47,"LM",IF('GNI per capita'!AX124&lt;=Thresholds!$E$47,"UM","H")))</f>
        <v>UM</v>
      </c>
      <c r="AY124" s="42" t="str">
        <f>IF('GNI per capita'!AY124&lt;=Thresholds!$C$48,"L",IF('GNI per capita'!AY124&lt;=Thresholds!$D$48,"LM",IF('GNI per capita'!AY124&lt;=Thresholds!$E$48,"UM","H")))</f>
        <v>UM</v>
      </c>
      <c r="AZ124" s="42" t="str">
        <f>IF('GNI per capita'!AZ124&lt;=Thresholds!$C$49,"L",IF('GNI per capita'!AZ124&lt;=Thresholds!$D$49,"LM",IF('GNI per capita'!AZ124&lt;=Thresholds!$E$49,"UM","H")))</f>
        <v>UM</v>
      </c>
      <c r="BA124" s="42" t="str">
        <f>IF('GNI per capita'!BA124&lt;=Thresholds!$C$50,"L",IF('GNI per capita'!BA124&lt;=Thresholds!$D$50,"LM",IF('GNI per capita'!BA124&lt;=Thresholds!$E$50,"UM","H")))</f>
        <v>UM</v>
      </c>
      <c r="BB124" s="42" t="str">
        <f>IF('GNI per capita'!BB124&lt;=Thresholds!$C$51,"L",IF('GNI per capita'!BB124&lt;=Thresholds!$D$51,"LM",IF('GNI per capita'!BB124&lt;=Thresholds!$E$51,"UM","H")))</f>
        <v>UM</v>
      </c>
      <c r="BC124" s="42" t="str">
        <f>IF('GNI per capita'!BC124&lt;=Thresholds!$C$52,"L",IF('GNI per capita'!BC124&lt;=Thresholds!$D$52,"LM",IF('GNI per capita'!BC124&lt;=Thresholds!$E$52,"UM","H")))</f>
        <v>UM</v>
      </c>
      <c r="BD124" s="42" t="str">
        <f>IF('GNI per capita'!BD124&lt;=Thresholds!$C$53,"L",IF('GNI per capita'!BD124&lt;=Thresholds!$D$53,"LM",IF('GNI per capita'!BD124&lt;=Thresholds!$E$53,"UM","H")))</f>
        <v>UM</v>
      </c>
      <c r="BE124" s="42" t="str">
        <f>IF('GNI per capita'!BE124&lt;=Thresholds!$C$54,"L",IF('GNI per capita'!BE124&lt;=Thresholds!$D$54,"LM",IF('GNI per capita'!BE124&lt;=Thresholds!$E$54,"UM","H")))</f>
        <v>UM</v>
      </c>
      <c r="BF124" s="42" t="str">
        <f>IF('GNI per capita'!BF124&lt;=Thresholds!$C$55,"L",IF('GNI per capita'!BF124&lt;=Thresholds!$D$55,"LM",IF('GNI per capita'!BF124&lt;=Thresholds!$E$55,"UM","H")))</f>
        <v>UM</v>
      </c>
      <c r="BG124" s="42" t="str">
        <f>IF('GNI per capita'!BG124&lt;=Thresholds!$C$56,"L",IF('GNI per capita'!BG124&lt;=Thresholds!$D$56,"LM",IF('GNI per capita'!BG124&lt;=Thresholds!$E$56,"UM","H")))</f>
        <v>UM</v>
      </c>
      <c r="BH124" s="42" t="str">
        <f>IF('GNI per capita'!BH124&lt;=Thresholds!$C$57,"L",IF('GNI per capita'!BH124&lt;=Thresholds!$D$57,"LM",IF('GNI per capita'!BH124&lt;=Thresholds!$E$57,"UM","H")))</f>
        <v>H</v>
      </c>
      <c r="BI124" s="42" t="str">
        <f>IF('GNI per capita'!BI124&lt;=Thresholds!$C$58,"L",IF('GNI per capita'!BI124&lt;=Thresholds!$D$58,"LM",IF('GNI per capita'!BI124&lt;=Thresholds!$E$58,"UM","H")))</f>
        <v>H</v>
      </c>
      <c r="BJ124" s="42" t="str">
        <f>IF('GNI per capita'!BJ124&lt;=Thresholds!$C$59,"L",IF('GNI per capita'!BJ124&lt;=Thresholds!$D$59,"LM",IF('GNI per capita'!BJ124&lt;=Thresholds!$E$59,"UM","H")))</f>
        <v>H</v>
      </c>
      <c r="BK124" s="42" t="str">
        <f>IF('GNI per capita'!BK124&lt;=Thresholds!$C$60,"L",IF('GNI per capita'!BK124&lt;=Thresholds!$D$60,"LM",IF('GNI per capita'!BK124&lt;=Thresholds!$E$60,"UM","H")))</f>
        <v>H</v>
      </c>
      <c r="BL124" s="42" t="str">
        <f>IF('GNI per capita'!BL124&lt;=Thresholds!$C$61,"L",IF('GNI per capita'!BL124&lt;=Thresholds!$D$61,"LM",IF('GNI per capita'!BL124&lt;=Thresholds!$E$61,"UM","H")))</f>
        <v>H</v>
      </c>
      <c r="BM124" s="42" t="str">
        <f>IF('GNI per capita'!BM124&lt;=Thresholds!$C$62,"L",IF('GNI per capita'!BM124&lt;=Thresholds!$D$62,"LM",IF('GNI per capita'!BM124&lt;=Thresholds!$E$62,"UM","H")))</f>
        <v>H</v>
      </c>
      <c r="BN124" s="42" t="str">
        <f>IF('GNI per capita'!BN124&lt;=Thresholds!$C$63,"L",IF('GNI per capita'!BN124&lt;=Thresholds!$D$63,"LM",IF('GNI per capita'!BN124&lt;=Thresholds!$E$63,"UM","H")))</f>
        <v>H</v>
      </c>
      <c r="BO124" s="42" t="str">
        <f>IF('GNI per capita'!BO124&lt;=Thresholds!$C$64,"L",IF('GNI per capita'!BO124&lt;=Thresholds!$D$64,"LM",IF('GNI per capita'!BO124&lt;=Thresholds!$E$64,"UM","H")))</f>
        <v>H</v>
      </c>
      <c r="BP124" s="42" t="str">
        <f>IF('GNI per capita'!BP124&lt;=Thresholds!$C$65,"L",IF('GNI per capita'!BP124&lt;=Thresholds!$D$65,"LM",IF('GNI per capita'!BP124&lt;=Thresholds!$E$65,"UM","H")))</f>
        <v>H</v>
      </c>
      <c r="BQ124" s="42" t="str">
        <f>IF('GNI per capita'!BQ124&lt;=Thresholds!$C$66,"L",IF('GNI per capita'!BQ124&lt;=Thresholds!$D$66,"LM",IF('GNI per capita'!BQ124&lt;=Thresholds!$E$66,"UM","H")))</f>
        <v>H</v>
      </c>
      <c r="BR124" s="42" t="str">
        <f>IF('GNI per capita'!BR124&lt;=Thresholds!$C$67,"L",IF('GNI per capita'!BR124&lt;=Thresholds!$D$67,"LM",IF('GNI per capita'!BR124&lt;=Thresholds!$E$67,"UM","H")))</f>
        <v>H</v>
      </c>
      <c r="BS124" s="42" t="str">
        <f>IF('GNI per capita'!BS124&lt;=Thresholds!$C$68,"L",IF('GNI per capita'!BS124&lt;=Thresholds!$D$68,"LM",IF('GNI per capita'!BS124&lt;=Thresholds!$E$68,"UM","H")))</f>
        <v>H</v>
      </c>
    </row>
    <row r="125" spans="1:71" x14ac:dyDescent="0.2">
      <c r="A125" s="2" t="s">
        <v>465</v>
      </c>
      <c r="B125" s="2" t="s">
        <v>466</v>
      </c>
      <c r="C125" s="11" t="s">
        <v>82</v>
      </c>
      <c r="G125" s="2" t="s">
        <v>162</v>
      </c>
      <c r="H125" s="41" t="s">
        <v>75</v>
      </c>
      <c r="I125" s="41" t="s">
        <v>75</v>
      </c>
      <c r="J125" s="41" t="s">
        <v>75</v>
      </c>
      <c r="K125" s="41" t="s">
        <v>75</v>
      </c>
      <c r="L125" s="41" t="s">
        <v>75</v>
      </c>
      <c r="M125" s="41" t="s">
        <v>75</v>
      </c>
      <c r="N125" s="41" t="s">
        <v>210</v>
      </c>
      <c r="O125" s="41" t="s">
        <v>210</v>
      </c>
      <c r="P125" s="41" t="s">
        <v>210</v>
      </c>
      <c r="Q125" s="41" t="s">
        <v>210</v>
      </c>
      <c r="R125" s="41" t="s">
        <v>210</v>
      </c>
      <c r="S125" s="41" t="s">
        <v>210</v>
      </c>
      <c r="T125" s="41" t="s">
        <v>210</v>
      </c>
      <c r="U125" s="41" t="s">
        <v>210</v>
      </c>
      <c r="V125" s="41" t="s">
        <v>210</v>
      </c>
      <c r="W125" s="41" t="s">
        <v>210</v>
      </c>
      <c r="X125" s="41" t="s">
        <v>210</v>
      </c>
      <c r="Y125" s="41" t="s">
        <v>210</v>
      </c>
      <c r="Z125" s="41" t="s">
        <v>210</v>
      </c>
      <c r="AA125" s="41" t="s">
        <v>210</v>
      </c>
      <c r="AB125" s="41" t="s">
        <v>210</v>
      </c>
      <c r="AC125" s="41" t="s">
        <v>210</v>
      </c>
      <c r="AD125" s="41" t="s">
        <v>210</v>
      </c>
      <c r="AE125" s="41" t="s">
        <v>82</v>
      </c>
      <c r="AF125" s="41" t="s">
        <v>82</v>
      </c>
      <c r="AG125" s="41" t="s">
        <v>82</v>
      </c>
      <c r="AH125" s="41" t="s">
        <v>82</v>
      </c>
      <c r="AI125" s="41" t="s">
        <v>82</v>
      </c>
      <c r="AJ125" s="41" t="s">
        <v>82</v>
      </c>
      <c r="AK125" s="41" t="s">
        <v>82</v>
      </c>
      <c r="AL125" s="41" t="s">
        <v>82</v>
      </c>
      <c r="AM125" s="41" t="s">
        <v>82</v>
      </c>
      <c r="AN125" s="41" t="s">
        <v>82</v>
      </c>
      <c r="AO125" s="41" t="s">
        <v>82</v>
      </c>
      <c r="AP125" s="41" t="s">
        <v>82</v>
      </c>
      <c r="AQ125" s="41" t="s">
        <v>82</v>
      </c>
      <c r="AR125" s="41" t="s">
        <v>82</v>
      </c>
      <c r="AS125" s="41" t="s">
        <v>82</v>
      </c>
      <c r="AT125" s="41" t="s">
        <v>82</v>
      </c>
      <c r="AU125" s="42" t="str">
        <f>IF('GNI per capita'!AU125&lt;=Thresholds!$C$44,"L",IF('GNI per capita'!AU125&lt;=Thresholds!$D$44,"LM",IF('GNI per capita'!AU125&lt;=Thresholds!$E$44,"UM","H")))</f>
        <v>UM</v>
      </c>
      <c r="AV125" s="42" t="str">
        <f>IF('GNI per capita'!AV125&lt;=Thresholds!$C$45,"L",IF('GNI per capita'!AV125&lt;=Thresholds!$D$45,"LM",IF('GNI per capita'!AV125&lt;=Thresholds!$E$45,"UM","H")))</f>
        <v>H</v>
      </c>
      <c r="AW125" s="42" t="str">
        <f>IF('GNI per capita'!AW125&lt;=Thresholds!$C$46,"L",IF('GNI per capita'!AW125&lt;=Thresholds!$D$46,"LM",IF('GNI per capita'!AW125&lt;=Thresholds!$E$46,"UM","H")))</f>
        <v>H</v>
      </c>
      <c r="AX125" s="42" t="str">
        <f>IF('GNI per capita'!AX125&lt;=Thresholds!$C$47,"L",IF('GNI per capita'!AX125&lt;=Thresholds!$D$47,"LM",IF('GNI per capita'!AX125&lt;=Thresholds!$E$47,"UM","H")))</f>
        <v>H</v>
      </c>
      <c r="AY125" s="42" t="str">
        <f>IF('GNI per capita'!AY125&lt;=Thresholds!$C$48,"L",IF('GNI per capita'!AY125&lt;=Thresholds!$D$48,"LM",IF('GNI per capita'!AY125&lt;=Thresholds!$E$48,"UM","H")))</f>
        <v>H</v>
      </c>
      <c r="AZ125" s="42" t="str">
        <f>IF('GNI per capita'!AZ125&lt;=Thresholds!$C$49,"L",IF('GNI per capita'!AZ125&lt;=Thresholds!$D$49,"LM",IF('GNI per capita'!AZ125&lt;=Thresholds!$E$49,"UM","H")))</f>
        <v>H</v>
      </c>
      <c r="BA125" s="42" t="str">
        <f>IF('GNI per capita'!BA125&lt;=Thresholds!$C$50,"L",IF('GNI per capita'!BA125&lt;=Thresholds!$D$50,"LM",IF('GNI per capita'!BA125&lt;=Thresholds!$E$50,"UM","H")))</f>
        <v>H</v>
      </c>
      <c r="BB125" s="42" t="str">
        <f>IF('GNI per capita'!BB125&lt;=Thresholds!$C$51,"L",IF('GNI per capita'!BB125&lt;=Thresholds!$D$51,"LM",IF('GNI per capita'!BB125&lt;=Thresholds!$E$51,"UM","H")))</f>
        <v>H</v>
      </c>
      <c r="BC125" s="42" t="str">
        <f>IF('GNI per capita'!BC125&lt;=Thresholds!$C$52,"L",IF('GNI per capita'!BC125&lt;=Thresholds!$D$52,"LM",IF('GNI per capita'!BC125&lt;=Thresholds!$E$52,"UM","H")))</f>
        <v>H</v>
      </c>
      <c r="BD125" s="42" t="str">
        <f>IF('GNI per capita'!BD125&lt;=Thresholds!$C$53,"L",IF('GNI per capita'!BD125&lt;=Thresholds!$D$53,"LM",IF('GNI per capita'!BD125&lt;=Thresholds!$E$53,"UM","H")))</f>
        <v>H</v>
      </c>
      <c r="BE125" s="42" t="str">
        <f>IF('GNI per capita'!BE125&lt;=Thresholds!$C$54,"L",IF('GNI per capita'!BE125&lt;=Thresholds!$D$54,"LM",IF('GNI per capita'!BE125&lt;=Thresholds!$E$54,"UM","H")))</f>
        <v>H</v>
      </c>
      <c r="BF125" s="42" t="str">
        <f>IF('GNI per capita'!BF125&lt;=Thresholds!$C$55,"L",IF('GNI per capita'!BF125&lt;=Thresholds!$D$55,"LM",IF('GNI per capita'!BF125&lt;=Thresholds!$E$55,"UM","H")))</f>
        <v>H</v>
      </c>
      <c r="BG125" s="42" t="str">
        <f>IF('GNI per capita'!BG125&lt;=Thresholds!$C$56,"L",IF('GNI per capita'!BG125&lt;=Thresholds!$D$56,"LM",IF('GNI per capita'!BG125&lt;=Thresholds!$E$56,"UM","H")))</f>
        <v>H</v>
      </c>
      <c r="BH125" s="42" t="str">
        <f>IF('GNI per capita'!BH125&lt;=Thresholds!$C$57,"L",IF('GNI per capita'!BH125&lt;=Thresholds!$D$57,"LM",IF('GNI per capita'!BH125&lt;=Thresholds!$E$57,"UM","H")))</f>
        <v>H</v>
      </c>
      <c r="BI125" s="42" t="str">
        <f>IF('GNI per capita'!BI125&lt;=Thresholds!$C$58,"L",IF('GNI per capita'!BI125&lt;=Thresholds!$D$58,"LM",IF('GNI per capita'!BI125&lt;=Thresholds!$E$58,"UM","H")))</f>
        <v>H</v>
      </c>
      <c r="BJ125" s="42" t="str">
        <f>IF('GNI per capita'!BJ125&lt;=Thresholds!$C$59,"L",IF('GNI per capita'!BJ125&lt;=Thresholds!$D$59,"LM",IF('GNI per capita'!BJ125&lt;=Thresholds!$E$59,"UM","H")))</f>
        <v>H</v>
      </c>
      <c r="BK125" s="42" t="str">
        <f>IF('GNI per capita'!BK125&lt;=Thresholds!$C$60,"L",IF('GNI per capita'!BK125&lt;=Thresholds!$D$60,"LM",IF('GNI per capita'!BK125&lt;=Thresholds!$E$60,"UM","H")))</f>
        <v>H</v>
      </c>
      <c r="BL125" s="42" t="str">
        <f>IF('GNI per capita'!BL125&lt;=Thresholds!$C$61,"L",IF('GNI per capita'!BL125&lt;=Thresholds!$D$61,"LM",IF('GNI per capita'!BL125&lt;=Thresholds!$E$61,"UM","H")))</f>
        <v>H</v>
      </c>
      <c r="BM125" s="42" t="str">
        <f>IF('GNI per capita'!BM125&lt;=Thresholds!$C$62,"L",IF('GNI per capita'!BM125&lt;=Thresholds!$D$62,"LM",IF('GNI per capita'!BM125&lt;=Thresholds!$E$62,"UM","H")))</f>
        <v>H</v>
      </c>
      <c r="BN125" s="42" t="str">
        <f>IF('GNI per capita'!BN125&lt;=Thresholds!$C$63,"L",IF('GNI per capita'!BN125&lt;=Thresholds!$D$63,"LM",IF('GNI per capita'!BN125&lt;=Thresholds!$E$63,"UM","H")))</f>
        <v>H</v>
      </c>
      <c r="BO125" s="42" t="str">
        <f>IF('GNI per capita'!BO125&lt;=Thresholds!$C$64,"L",IF('GNI per capita'!BO125&lt;=Thresholds!$D$64,"LM",IF('GNI per capita'!BO125&lt;=Thresholds!$E$64,"UM","H")))</f>
        <v>H</v>
      </c>
      <c r="BP125" s="42" t="str">
        <f>IF('GNI per capita'!BP125&lt;=Thresholds!$C$65,"L",IF('GNI per capita'!BP125&lt;=Thresholds!$D$65,"LM",IF('GNI per capita'!BP125&lt;=Thresholds!$E$65,"UM","H")))</f>
        <v>H</v>
      </c>
      <c r="BQ125" s="42" t="str">
        <f>IF('GNI per capita'!BQ125&lt;=Thresholds!$C$66,"L",IF('GNI per capita'!BQ125&lt;=Thresholds!$D$66,"LM",IF('GNI per capita'!BQ125&lt;=Thresholds!$E$66,"UM","H")))</f>
        <v>H</v>
      </c>
      <c r="BR125" s="42" t="str">
        <f>IF('GNI per capita'!BR125&lt;=Thresholds!$C$67,"L",IF('GNI per capita'!BR125&lt;=Thresholds!$D$67,"LM",IF('GNI per capita'!BR125&lt;=Thresholds!$E$67,"UM","H")))</f>
        <v>H</v>
      </c>
      <c r="BS125" s="42" t="str">
        <f>IF('GNI per capita'!BS125&lt;=Thresholds!$C$68,"L",IF('GNI per capita'!BS125&lt;=Thresholds!$D$68,"LM",IF('GNI per capita'!BS125&lt;=Thresholds!$E$68,"UM","H")))</f>
        <v>H</v>
      </c>
    </row>
    <row r="126" spans="1:71" x14ac:dyDescent="0.2">
      <c r="A126" s="2" t="s">
        <v>467</v>
      </c>
      <c r="B126" s="2" t="s">
        <v>468</v>
      </c>
      <c r="C126" s="11" t="s">
        <v>75</v>
      </c>
      <c r="G126" s="2" t="s">
        <v>162</v>
      </c>
      <c r="H126" s="41" t="s">
        <v>75</v>
      </c>
      <c r="I126" s="41" t="s">
        <v>75</v>
      </c>
      <c r="J126" s="41" t="s">
        <v>75</v>
      </c>
      <c r="K126" s="41" t="s">
        <v>75</v>
      </c>
      <c r="L126" s="41" t="s">
        <v>75</v>
      </c>
      <c r="M126" s="41" t="s">
        <v>75</v>
      </c>
      <c r="N126" s="41" t="s">
        <v>75</v>
      </c>
      <c r="O126" s="41" t="s">
        <v>75</v>
      </c>
      <c r="P126" s="41" t="s">
        <v>75</v>
      </c>
      <c r="Q126" s="41" t="s">
        <v>75</v>
      </c>
      <c r="R126" s="41" t="s">
        <v>75</v>
      </c>
      <c r="S126" s="41" t="s">
        <v>75</v>
      </c>
      <c r="T126" s="41" t="s">
        <v>75</v>
      </c>
      <c r="U126" s="41" t="s">
        <v>75</v>
      </c>
      <c r="V126" s="41" t="s">
        <v>75</v>
      </c>
      <c r="W126" s="41" t="s">
        <v>75</v>
      </c>
      <c r="X126" s="41" t="s">
        <v>75</v>
      </c>
      <c r="Y126" s="41" t="s">
        <v>75</v>
      </c>
      <c r="Z126" s="41" t="s">
        <v>75</v>
      </c>
      <c r="AA126" s="41" t="s">
        <v>75</v>
      </c>
      <c r="AB126" s="41" t="s">
        <v>75</v>
      </c>
      <c r="AC126" s="41" t="s">
        <v>75</v>
      </c>
      <c r="AD126" s="41" t="s">
        <v>75</v>
      </c>
      <c r="AE126" s="41" t="s">
        <v>75</v>
      </c>
      <c r="AF126" s="41" t="s">
        <v>75</v>
      </c>
      <c r="AG126" s="41" t="s">
        <v>75</v>
      </c>
      <c r="AH126" s="41" t="s">
        <v>75</v>
      </c>
      <c r="AI126" s="41" t="s">
        <v>75</v>
      </c>
      <c r="AJ126" s="41" t="s">
        <v>75</v>
      </c>
      <c r="AK126" s="41" t="s">
        <v>75</v>
      </c>
      <c r="AL126" s="41" t="s">
        <v>75</v>
      </c>
      <c r="AM126" s="41" t="s">
        <v>75</v>
      </c>
      <c r="AN126" s="41" t="s">
        <v>75</v>
      </c>
      <c r="AO126" s="41" t="s">
        <v>75</v>
      </c>
      <c r="AP126" s="41" t="s">
        <v>75</v>
      </c>
      <c r="AQ126" s="41" t="s">
        <v>75</v>
      </c>
      <c r="AR126" s="41" t="s">
        <v>75</v>
      </c>
      <c r="AS126" s="41" t="s">
        <v>75</v>
      </c>
      <c r="AT126" s="41" t="s">
        <v>75</v>
      </c>
      <c r="AU126" s="42" t="str">
        <f>IF('GNI per capita'!AU126&lt;=Thresholds!$C$44,"L",IF('GNI per capita'!AU126&lt;=Thresholds!$D$44,"LM",IF('GNI per capita'!AU126&lt;=Thresholds!$E$44,"UM","H")))</f>
        <v>L</v>
      </c>
      <c r="AV126" s="42" t="str">
        <f>IF('GNI per capita'!AV126&lt;=Thresholds!$C$45,"L",IF('GNI per capita'!AV126&lt;=Thresholds!$D$45,"LM",IF('GNI per capita'!AV126&lt;=Thresholds!$E$45,"UM","H")))</f>
        <v>L</v>
      </c>
      <c r="AW126" s="42" t="str">
        <f>IF('GNI per capita'!AW126&lt;=Thresholds!$C$46,"L",IF('GNI per capita'!AW126&lt;=Thresholds!$D$46,"LM",IF('GNI per capita'!AW126&lt;=Thresholds!$E$46,"UM","H")))</f>
        <v>L</v>
      </c>
      <c r="AX126" s="42" t="str">
        <f>IF('GNI per capita'!AX126&lt;=Thresholds!$C$47,"L",IF('GNI per capita'!AX126&lt;=Thresholds!$D$47,"LM",IF('GNI per capita'!AX126&lt;=Thresholds!$E$47,"UM","H")))</f>
        <v>LM</v>
      </c>
      <c r="AY126" s="42" t="str">
        <f>IF('GNI per capita'!AY126&lt;=Thresholds!$C$48,"L",IF('GNI per capita'!AY126&lt;=Thresholds!$D$48,"LM",IF('GNI per capita'!AY126&lt;=Thresholds!$E$48,"UM","H")))</f>
        <v>LM</v>
      </c>
      <c r="AZ126" s="42" t="str">
        <f>IF('GNI per capita'!AZ126&lt;=Thresholds!$C$49,"L",IF('GNI per capita'!AZ126&lt;=Thresholds!$D$49,"LM",IF('GNI per capita'!AZ126&lt;=Thresholds!$E$49,"UM","H")))</f>
        <v>LM</v>
      </c>
      <c r="BA126" s="42" t="str">
        <f>IF('GNI per capita'!BA126&lt;=Thresholds!$C$50,"L",IF('GNI per capita'!BA126&lt;=Thresholds!$D$50,"LM",IF('GNI per capita'!BA126&lt;=Thresholds!$E$50,"UM","H")))</f>
        <v>LM</v>
      </c>
      <c r="BB126" s="42" t="str">
        <f>IF('GNI per capita'!BB126&lt;=Thresholds!$C$51,"L",IF('GNI per capita'!BB126&lt;=Thresholds!$D$51,"LM",IF('GNI per capita'!BB126&lt;=Thresholds!$E$51,"UM","H")))</f>
        <v>LM</v>
      </c>
      <c r="BC126" s="42" t="str">
        <f>IF('GNI per capita'!BC126&lt;=Thresholds!$C$52,"L",IF('GNI per capita'!BC126&lt;=Thresholds!$D$52,"LM",IF('GNI per capita'!BC126&lt;=Thresholds!$E$52,"UM","H")))</f>
        <v>LM</v>
      </c>
      <c r="BD126" s="42" t="str">
        <f>IF('GNI per capita'!BD126&lt;=Thresholds!$C$53,"L",IF('GNI per capita'!BD126&lt;=Thresholds!$D$53,"LM",IF('GNI per capita'!BD126&lt;=Thresholds!$E$53,"UM","H")))</f>
        <v>LM</v>
      </c>
      <c r="BE126" s="42" t="str">
        <f>IF('GNI per capita'!BE126&lt;=Thresholds!$C$54,"L",IF('GNI per capita'!BE126&lt;=Thresholds!$D$54,"LM",IF('GNI per capita'!BE126&lt;=Thresholds!$E$54,"UM","H")))</f>
        <v>LM</v>
      </c>
      <c r="BF126" s="42" t="str">
        <f>IF('GNI per capita'!BF126&lt;=Thresholds!$C$55,"L",IF('GNI per capita'!BF126&lt;=Thresholds!$D$55,"LM",IF('GNI per capita'!BF126&lt;=Thresholds!$E$55,"UM","H")))</f>
        <v>LM</v>
      </c>
      <c r="BG126" s="42" t="str">
        <f>IF('GNI per capita'!BG126&lt;=Thresholds!$C$56,"L",IF('GNI per capita'!BG126&lt;=Thresholds!$D$56,"LM",IF('GNI per capita'!BG126&lt;=Thresholds!$E$56,"UM","H")))</f>
        <v>LM</v>
      </c>
      <c r="BH126" s="42" t="str">
        <f>IF('GNI per capita'!BH126&lt;=Thresholds!$C$57,"L",IF('GNI per capita'!BH126&lt;=Thresholds!$D$57,"LM",IF('GNI per capita'!BH126&lt;=Thresholds!$E$57,"UM","H")))</f>
        <v>LM</v>
      </c>
      <c r="BI126" s="42" t="str">
        <f>IF('GNI per capita'!BI126&lt;=Thresholds!$C$58,"L",IF('GNI per capita'!BI126&lt;=Thresholds!$D$58,"LM",IF('GNI per capita'!BI126&lt;=Thresholds!$E$58,"UM","H")))</f>
        <v>LM</v>
      </c>
      <c r="BJ126" s="42" t="str">
        <f>IF('GNI per capita'!BJ126&lt;=Thresholds!$C$59,"L",IF('GNI per capita'!BJ126&lt;=Thresholds!$D$59,"LM",IF('GNI per capita'!BJ126&lt;=Thresholds!$E$59,"UM","H")))</f>
        <v>LM</v>
      </c>
      <c r="BK126" s="42" t="str">
        <f>IF('GNI per capita'!BK126&lt;=Thresholds!$C$60,"L",IF('GNI per capita'!BK126&lt;=Thresholds!$D$60,"LM",IF('GNI per capita'!BK126&lt;=Thresholds!$E$60,"UM","H")))</f>
        <v>LM</v>
      </c>
      <c r="BL126" s="42" t="str">
        <f>IF('GNI per capita'!BL126&lt;=Thresholds!$C$61,"L",IF('GNI per capita'!BL126&lt;=Thresholds!$D$61,"LM",IF('GNI per capita'!BL126&lt;=Thresholds!$E$61,"UM","H")))</f>
        <v>LM</v>
      </c>
      <c r="BM126" s="42" t="str">
        <f>IF('GNI per capita'!BM126&lt;=Thresholds!$C$62,"L",IF('GNI per capita'!BM126&lt;=Thresholds!$D$62,"LM",IF('GNI per capita'!BM126&lt;=Thresholds!$E$62,"UM","H")))</f>
        <v>LM</v>
      </c>
      <c r="BN126" s="42" t="str">
        <f>IF('GNI per capita'!BN126&lt;=Thresholds!$C$63,"L",IF('GNI per capita'!BN126&lt;=Thresholds!$D$63,"LM",IF('GNI per capita'!BN126&lt;=Thresholds!$E$63,"UM","H")))</f>
        <v>LM</v>
      </c>
      <c r="BO126" s="42" t="str">
        <f>IF('GNI per capita'!BO126&lt;=Thresholds!$C$64,"L",IF('GNI per capita'!BO126&lt;=Thresholds!$D$64,"LM",IF('GNI per capita'!BO126&lt;=Thresholds!$E$64,"UM","H")))</f>
        <v>LM</v>
      </c>
      <c r="BP126" s="42" t="str">
        <f>IF('GNI per capita'!BP126&lt;=Thresholds!$C$65,"L",IF('GNI per capita'!BP126&lt;=Thresholds!$D$65,"LM",IF('GNI per capita'!BP126&lt;=Thresholds!$E$65,"UM","H")))</f>
        <v>LM</v>
      </c>
      <c r="BQ126" s="42" t="str">
        <f>IF('GNI per capita'!BQ126&lt;=Thresholds!$C$66,"L",IF('GNI per capita'!BQ126&lt;=Thresholds!$D$66,"LM",IF('GNI per capita'!BQ126&lt;=Thresholds!$E$66,"UM","H")))</f>
        <v>LM</v>
      </c>
      <c r="BR126" s="42" t="str">
        <f>IF('GNI per capita'!BR126&lt;=Thresholds!$C$67,"L",IF('GNI per capita'!BR126&lt;=Thresholds!$D$67,"LM",IF('GNI per capita'!BR126&lt;=Thresholds!$E$67,"UM","H")))</f>
        <v>LM</v>
      </c>
      <c r="BS126" s="42" t="str">
        <f>IF('GNI per capita'!BS126&lt;=Thresholds!$C$68,"L",IF('GNI per capita'!BS126&lt;=Thresholds!$D$68,"LM",IF('GNI per capita'!BS126&lt;=Thresholds!$E$68,"UM","H")))</f>
        <v>LM</v>
      </c>
    </row>
    <row r="127" spans="1:71" x14ac:dyDescent="0.2">
      <c r="A127" s="2" t="s">
        <v>469</v>
      </c>
      <c r="B127" s="2" t="s">
        <v>470</v>
      </c>
      <c r="C127" s="11" t="s">
        <v>79</v>
      </c>
      <c r="G127" s="2" t="s">
        <v>162</v>
      </c>
      <c r="H127" s="41" t="s">
        <v>82</v>
      </c>
      <c r="I127" s="41" t="s">
        <v>82</v>
      </c>
      <c r="J127" s="41" t="s">
        <v>79</v>
      </c>
      <c r="K127" s="41" t="s">
        <v>82</v>
      </c>
      <c r="L127" s="41" t="s">
        <v>82</v>
      </c>
      <c r="M127" s="41" t="s">
        <v>82</v>
      </c>
      <c r="N127" s="41" t="s">
        <v>82</v>
      </c>
      <c r="O127" s="41" t="s">
        <v>82</v>
      </c>
      <c r="P127" s="41" t="s">
        <v>82</v>
      </c>
      <c r="Q127" s="41" t="s">
        <v>82</v>
      </c>
      <c r="R127" s="41" t="s">
        <v>82</v>
      </c>
      <c r="S127" s="41" t="s">
        <v>79</v>
      </c>
      <c r="T127" s="41" t="s">
        <v>82</v>
      </c>
      <c r="U127" s="41" t="s">
        <v>79</v>
      </c>
      <c r="V127" s="41" t="s">
        <v>82</v>
      </c>
      <c r="W127" s="41" t="s">
        <v>79</v>
      </c>
      <c r="X127" s="41" t="s">
        <v>79</v>
      </c>
      <c r="Y127" s="41" t="s">
        <v>79</v>
      </c>
      <c r="Z127" s="41" t="s">
        <v>79</v>
      </c>
      <c r="AA127" s="41" t="s">
        <v>79</v>
      </c>
      <c r="AB127" s="41" t="s">
        <v>79</v>
      </c>
      <c r="AC127" s="41" t="s">
        <v>79</v>
      </c>
      <c r="AD127" s="41" t="s">
        <v>79</v>
      </c>
      <c r="AE127" s="41" t="s">
        <v>79</v>
      </c>
      <c r="AF127" s="41" t="s">
        <v>79</v>
      </c>
      <c r="AG127" s="41" t="s">
        <v>79</v>
      </c>
      <c r="AH127" s="41" t="s">
        <v>79</v>
      </c>
      <c r="AI127" s="41" t="s">
        <v>79</v>
      </c>
      <c r="AJ127" s="41" t="s">
        <v>79</v>
      </c>
      <c r="AK127" s="41" t="s">
        <v>79</v>
      </c>
      <c r="AL127" s="41" t="s">
        <v>79</v>
      </c>
      <c r="AM127" s="41" t="s">
        <v>79</v>
      </c>
      <c r="AN127" s="41" t="s">
        <v>79</v>
      </c>
      <c r="AO127" s="41" t="s">
        <v>79</v>
      </c>
      <c r="AP127" s="41" t="s">
        <v>79</v>
      </c>
      <c r="AQ127" s="41" t="s">
        <v>79</v>
      </c>
      <c r="AR127" s="41" t="s">
        <v>79</v>
      </c>
      <c r="AS127" s="41" t="s">
        <v>79</v>
      </c>
      <c r="AT127" s="41" t="s">
        <v>79</v>
      </c>
      <c r="AU127" s="42" t="str">
        <f>IF('GNI per capita'!AU127&lt;=Thresholds!$C$44,"L",IF('GNI per capita'!AU127&lt;=Thresholds!$D$44,"LM",IF('GNI per capita'!AU127&lt;=Thresholds!$E$44,"UM","H")))</f>
        <v>H</v>
      </c>
      <c r="AV127" s="42" t="str">
        <f>IF('GNI per capita'!AV127&lt;=Thresholds!$C$45,"L",IF('GNI per capita'!AV127&lt;=Thresholds!$D$45,"LM",IF('GNI per capita'!AV127&lt;=Thresholds!$E$45,"UM","H")))</f>
        <v>H</v>
      </c>
      <c r="AW127" s="42" t="str">
        <f>IF('GNI per capita'!AW127&lt;=Thresholds!$C$46,"L",IF('GNI per capita'!AW127&lt;=Thresholds!$D$46,"LM",IF('GNI per capita'!AW127&lt;=Thresholds!$E$46,"UM","H")))</f>
        <v>H</v>
      </c>
      <c r="AX127" s="42" t="str">
        <f>IF('GNI per capita'!AX127&lt;=Thresholds!$C$47,"L",IF('GNI per capita'!AX127&lt;=Thresholds!$D$47,"LM",IF('GNI per capita'!AX127&lt;=Thresholds!$E$47,"UM","H")))</f>
        <v>H</v>
      </c>
      <c r="AY127" s="42" t="str">
        <f>IF('GNI per capita'!AY127&lt;=Thresholds!$C$48,"L",IF('GNI per capita'!AY127&lt;=Thresholds!$D$48,"LM",IF('GNI per capita'!AY127&lt;=Thresholds!$E$48,"UM","H")))</f>
        <v>H</v>
      </c>
      <c r="AZ127" s="42" t="str">
        <f>IF('GNI per capita'!AZ127&lt;=Thresholds!$C$49,"L",IF('GNI per capita'!AZ127&lt;=Thresholds!$D$49,"LM",IF('GNI per capita'!AZ127&lt;=Thresholds!$E$49,"UM","H")))</f>
        <v>H</v>
      </c>
      <c r="BA127" s="42" t="str">
        <f>IF('GNI per capita'!BA127&lt;=Thresholds!$C$50,"L",IF('GNI per capita'!BA127&lt;=Thresholds!$D$50,"LM",IF('GNI per capita'!BA127&lt;=Thresholds!$E$50,"UM","H")))</f>
        <v>H</v>
      </c>
      <c r="BB127" s="42" t="str">
        <f>IF('GNI per capita'!BB127&lt;=Thresholds!$C$51,"L",IF('GNI per capita'!BB127&lt;=Thresholds!$D$51,"LM",IF('GNI per capita'!BB127&lt;=Thresholds!$E$51,"UM","H")))</f>
        <v>H</v>
      </c>
      <c r="BC127" s="42" t="str">
        <f>IF('GNI per capita'!BC127&lt;=Thresholds!$C$52,"L",IF('GNI per capita'!BC127&lt;=Thresholds!$D$52,"LM",IF('GNI per capita'!BC127&lt;=Thresholds!$E$52,"UM","H")))</f>
        <v>H</v>
      </c>
      <c r="BD127" s="42" t="str">
        <f>IF('GNI per capita'!BD127&lt;=Thresholds!$C$53,"L",IF('GNI per capita'!BD127&lt;=Thresholds!$D$53,"LM",IF('GNI per capita'!BD127&lt;=Thresholds!$E$53,"UM","H")))</f>
        <v>H</v>
      </c>
      <c r="BE127" s="42" t="str">
        <f>IF('GNI per capita'!BE127&lt;=Thresholds!$C$54,"L",IF('GNI per capita'!BE127&lt;=Thresholds!$D$54,"LM",IF('GNI per capita'!BE127&lt;=Thresholds!$E$54,"UM","H")))</f>
        <v>H</v>
      </c>
      <c r="BF127" s="42" t="str">
        <f>IF('GNI per capita'!BF127&lt;=Thresholds!$C$55,"L",IF('GNI per capita'!BF127&lt;=Thresholds!$D$55,"LM",IF('GNI per capita'!BF127&lt;=Thresholds!$E$55,"UM","H")))</f>
        <v>H</v>
      </c>
      <c r="BG127" s="42" t="str">
        <f>IF('GNI per capita'!BG127&lt;=Thresholds!$C$56,"L",IF('GNI per capita'!BG127&lt;=Thresholds!$D$56,"LM",IF('GNI per capita'!BG127&lt;=Thresholds!$E$56,"UM","H")))</f>
        <v>H</v>
      </c>
      <c r="BH127" s="42" t="str">
        <f>IF('GNI per capita'!BH127&lt;=Thresholds!$C$57,"L",IF('GNI per capita'!BH127&lt;=Thresholds!$D$57,"LM",IF('GNI per capita'!BH127&lt;=Thresholds!$E$57,"UM","H")))</f>
        <v>H</v>
      </c>
      <c r="BI127" s="42" t="str">
        <f>IF('GNI per capita'!BI127&lt;=Thresholds!$C$58,"L",IF('GNI per capita'!BI127&lt;=Thresholds!$D$58,"LM",IF('GNI per capita'!BI127&lt;=Thresholds!$E$58,"UM","H")))</f>
        <v>H</v>
      </c>
      <c r="BJ127" s="42" t="str">
        <f>IF('GNI per capita'!BJ127&lt;=Thresholds!$C$59,"L",IF('GNI per capita'!BJ127&lt;=Thresholds!$D$59,"LM",IF('GNI per capita'!BJ127&lt;=Thresholds!$E$59,"UM","H")))</f>
        <v>H</v>
      </c>
      <c r="BK127" s="42" t="str">
        <f>IF('GNI per capita'!BK127&lt;=Thresholds!$C$60,"L",IF('GNI per capita'!BK127&lt;=Thresholds!$D$60,"LM",IF('GNI per capita'!BK127&lt;=Thresholds!$E$60,"UM","H")))</f>
        <v>H</v>
      </c>
      <c r="BL127" s="42" t="str">
        <f>IF('GNI per capita'!BL127&lt;=Thresholds!$C$61,"L",IF('GNI per capita'!BL127&lt;=Thresholds!$D$61,"LM",IF('GNI per capita'!BL127&lt;=Thresholds!$E$61,"UM","H")))</f>
        <v>H</v>
      </c>
      <c r="BM127" s="42" t="str">
        <f>IF('GNI per capita'!BM127&lt;=Thresholds!$C$62,"L",IF('GNI per capita'!BM127&lt;=Thresholds!$D$62,"LM",IF('GNI per capita'!BM127&lt;=Thresholds!$E$62,"UM","H")))</f>
        <v>H</v>
      </c>
      <c r="BN127" s="42" t="str">
        <f>IF('GNI per capita'!BN127&lt;=Thresholds!$C$63,"L",IF('GNI per capita'!BN127&lt;=Thresholds!$D$63,"LM",IF('GNI per capita'!BN127&lt;=Thresholds!$E$63,"UM","H")))</f>
        <v>H</v>
      </c>
      <c r="BO127" s="42" t="str">
        <f>IF('GNI per capita'!BO127&lt;=Thresholds!$C$64,"L",IF('GNI per capita'!BO127&lt;=Thresholds!$D$64,"LM",IF('GNI per capita'!BO127&lt;=Thresholds!$E$64,"UM","H")))</f>
        <v>H</v>
      </c>
      <c r="BP127" s="42" t="str">
        <f>IF('GNI per capita'!BP127&lt;=Thresholds!$C$65,"L",IF('GNI per capita'!BP127&lt;=Thresholds!$D$65,"LM",IF('GNI per capita'!BP127&lt;=Thresholds!$E$65,"UM","H")))</f>
        <v>H</v>
      </c>
      <c r="BQ127" s="42" t="str">
        <f>IF('GNI per capita'!BQ127&lt;=Thresholds!$C$66,"L",IF('GNI per capita'!BQ127&lt;=Thresholds!$D$66,"LM",IF('GNI per capita'!BQ127&lt;=Thresholds!$E$66,"UM","H")))</f>
        <v>H</v>
      </c>
      <c r="BR127" s="42" t="str">
        <f>IF('GNI per capita'!BR127&lt;=Thresholds!$C$67,"L",IF('GNI per capita'!BR127&lt;=Thresholds!$D$67,"LM",IF('GNI per capita'!BR127&lt;=Thresholds!$E$67,"UM","H")))</f>
        <v>H</v>
      </c>
      <c r="BS127" s="42" t="str">
        <f>IF('GNI per capita'!BS127&lt;=Thresholds!$C$68,"L",IF('GNI per capita'!BS127&lt;=Thresholds!$D$68,"LM",IF('GNI per capita'!BS127&lt;=Thresholds!$E$68,"UM","H")))</f>
        <v>H</v>
      </c>
    </row>
    <row r="128" spans="1:71" x14ac:dyDescent="0.2">
      <c r="A128" s="2" t="s">
        <v>471</v>
      </c>
      <c r="B128" s="2" t="s">
        <v>472</v>
      </c>
      <c r="C128" s="11" t="s">
        <v>82</v>
      </c>
      <c r="G128" s="2" t="s">
        <v>162</v>
      </c>
      <c r="H128" s="41"/>
      <c r="I128" s="41"/>
      <c r="J128" s="41"/>
      <c r="K128" s="41"/>
      <c r="L128" s="41" t="s">
        <v>210</v>
      </c>
      <c r="M128" s="41" t="s">
        <v>210</v>
      </c>
      <c r="N128" s="41" t="s">
        <v>210</v>
      </c>
      <c r="O128" s="41" t="s">
        <v>210</v>
      </c>
      <c r="P128" s="41" t="s">
        <v>210</v>
      </c>
      <c r="Q128" s="41" t="s">
        <v>210</v>
      </c>
      <c r="R128" s="41" t="s">
        <v>210</v>
      </c>
      <c r="S128" s="41" t="s">
        <v>210</v>
      </c>
      <c r="T128" s="41" t="s">
        <v>210</v>
      </c>
      <c r="U128" s="41" t="s">
        <v>210</v>
      </c>
      <c r="V128" s="41" t="s">
        <v>210</v>
      </c>
      <c r="W128" s="41" t="s">
        <v>210</v>
      </c>
      <c r="X128" s="41" t="s">
        <v>210</v>
      </c>
      <c r="Y128" s="41" t="s">
        <v>210</v>
      </c>
      <c r="Z128" s="41" t="s">
        <v>210</v>
      </c>
      <c r="AA128" s="41" t="s">
        <v>210</v>
      </c>
      <c r="AB128" s="41" t="s">
        <v>210</v>
      </c>
      <c r="AC128" s="41" t="s">
        <v>210</v>
      </c>
      <c r="AD128" s="41" t="s">
        <v>210</v>
      </c>
      <c r="AE128" s="41" t="s">
        <v>210</v>
      </c>
      <c r="AF128" s="41" t="s">
        <v>210</v>
      </c>
      <c r="AG128" s="41" t="s">
        <v>82</v>
      </c>
      <c r="AH128" s="41" t="s">
        <v>82</v>
      </c>
      <c r="AI128" s="41" t="s">
        <v>82</v>
      </c>
      <c r="AJ128" s="41" t="s">
        <v>82</v>
      </c>
      <c r="AK128" s="41" t="s">
        <v>82</v>
      </c>
      <c r="AL128" s="41" t="s">
        <v>82</v>
      </c>
      <c r="AM128" s="41" t="s">
        <v>82</v>
      </c>
      <c r="AN128" s="41" t="s">
        <v>82</v>
      </c>
      <c r="AO128" s="41" t="s">
        <v>82</v>
      </c>
      <c r="AP128" s="41" t="s">
        <v>82</v>
      </c>
      <c r="AQ128" s="41" t="s">
        <v>82</v>
      </c>
      <c r="AR128" s="41" t="s">
        <v>82</v>
      </c>
      <c r="AS128" s="41" t="s">
        <v>82</v>
      </c>
      <c r="AT128" s="41" t="s">
        <v>82</v>
      </c>
      <c r="AU128" s="42" t="str">
        <f>IF('GNI per capita'!AU128&lt;=Thresholds!$C$44,"L",IF('GNI per capita'!AU128&lt;=Thresholds!$D$44,"LM",IF('GNI per capita'!AU128&lt;=Thresholds!$E$44,"UM","H")))</f>
        <v>UM</v>
      </c>
      <c r="AV128" s="42" t="str">
        <f>IF('GNI per capita'!AV128&lt;=Thresholds!$C$45,"L",IF('GNI per capita'!AV128&lt;=Thresholds!$D$45,"LM",IF('GNI per capita'!AV128&lt;=Thresholds!$E$45,"UM","H")))</f>
        <v>UM</v>
      </c>
      <c r="AW128" s="42" t="str">
        <f>IF('GNI per capita'!AW128&lt;=Thresholds!$C$46,"L",IF('GNI per capita'!AW128&lt;=Thresholds!$D$46,"LM",IF('GNI per capita'!AW128&lt;=Thresholds!$E$46,"UM","H")))</f>
        <v>UM</v>
      </c>
      <c r="AX128" s="42" t="str">
        <f>IF('GNI per capita'!AX128&lt;=Thresholds!$C$47,"L",IF('GNI per capita'!AX128&lt;=Thresholds!$D$47,"LM",IF('GNI per capita'!AX128&lt;=Thresholds!$E$47,"UM","H")))</f>
        <v>UM</v>
      </c>
      <c r="AY128" s="42" t="str">
        <f>IF('GNI per capita'!AY128&lt;=Thresholds!$C$48,"L",IF('GNI per capita'!AY128&lt;=Thresholds!$D$48,"LM",IF('GNI per capita'!AY128&lt;=Thresholds!$E$48,"UM","H")))</f>
        <v>UM</v>
      </c>
      <c r="AZ128" s="42" t="str">
        <f>IF('GNI per capita'!AZ128&lt;=Thresholds!$C$49,"L",IF('GNI per capita'!AZ128&lt;=Thresholds!$D$49,"LM",IF('GNI per capita'!AZ128&lt;=Thresholds!$E$49,"UM","H")))</f>
        <v>UM</v>
      </c>
      <c r="BA128" s="42" t="str">
        <f>IF('GNI per capita'!BA128&lt;=Thresholds!$C$50,"L",IF('GNI per capita'!BA128&lt;=Thresholds!$D$50,"LM",IF('GNI per capita'!BA128&lt;=Thresholds!$E$50,"UM","H")))</f>
        <v>UM</v>
      </c>
      <c r="BB128" s="42" t="str">
        <f>IF('GNI per capita'!BB128&lt;=Thresholds!$C$51,"L",IF('GNI per capita'!BB128&lt;=Thresholds!$D$51,"LM",IF('GNI per capita'!BB128&lt;=Thresholds!$E$51,"UM","H")))</f>
        <v>UM</v>
      </c>
      <c r="BC128" s="42" t="str">
        <f>IF('GNI per capita'!BC128&lt;=Thresholds!$C$52,"L",IF('GNI per capita'!BC128&lt;=Thresholds!$D$52,"LM",IF('GNI per capita'!BC128&lt;=Thresholds!$E$52,"UM","H")))</f>
        <v>H</v>
      </c>
      <c r="BD128" s="42" t="str">
        <f>IF('GNI per capita'!BD128&lt;=Thresholds!$C$53,"L",IF('GNI per capita'!BD128&lt;=Thresholds!$D$53,"LM",IF('GNI per capita'!BD128&lt;=Thresholds!$E$53,"UM","H")))</f>
        <v>H</v>
      </c>
      <c r="BE128" s="42" t="str">
        <f>IF('GNI per capita'!BE128&lt;=Thresholds!$C$54,"L",IF('GNI per capita'!BE128&lt;=Thresholds!$D$54,"LM",IF('GNI per capita'!BE128&lt;=Thresholds!$E$54,"UM","H")))</f>
        <v>H</v>
      </c>
      <c r="BF128" s="42" t="str">
        <f>IF('GNI per capita'!BF128&lt;=Thresholds!$C$55,"L",IF('GNI per capita'!BF128&lt;=Thresholds!$D$55,"LM",IF('GNI per capita'!BF128&lt;=Thresholds!$E$55,"UM","H")))</f>
        <v>H</v>
      </c>
      <c r="BG128" s="42" t="str">
        <f>IF('GNI per capita'!BG128&lt;=Thresholds!$C$56,"L",IF('GNI per capita'!BG128&lt;=Thresholds!$D$56,"LM",IF('GNI per capita'!BG128&lt;=Thresholds!$E$56,"UM","H")))</f>
        <v>H</v>
      </c>
      <c r="BH128" s="42" t="str">
        <f>IF('GNI per capita'!BH128&lt;=Thresholds!$C$57,"L",IF('GNI per capita'!BH128&lt;=Thresholds!$D$57,"LM",IF('GNI per capita'!BH128&lt;=Thresholds!$E$57,"UM","H")))</f>
        <v>H</v>
      </c>
      <c r="BI128" s="42" t="str">
        <f>IF('GNI per capita'!BI128&lt;=Thresholds!$C$58,"L",IF('GNI per capita'!BI128&lt;=Thresholds!$D$58,"LM",IF('GNI per capita'!BI128&lt;=Thresholds!$E$58,"UM","H")))</f>
        <v>H</v>
      </c>
      <c r="BJ128" s="42" t="str">
        <f>IF('GNI per capita'!BJ128&lt;=Thresholds!$C$59,"L",IF('GNI per capita'!BJ128&lt;=Thresholds!$D$59,"LM",IF('GNI per capita'!BJ128&lt;=Thresholds!$E$59,"UM","H")))</f>
        <v>H</v>
      </c>
      <c r="BK128" s="42" t="str">
        <f>IF('GNI per capita'!BK128&lt;=Thresholds!$C$60,"L",IF('GNI per capita'!BK128&lt;=Thresholds!$D$60,"LM",IF('GNI per capita'!BK128&lt;=Thresholds!$E$60,"UM","H")))</f>
        <v>H</v>
      </c>
      <c r="BL128" s="42" t="str">
        <f>IF('GNI per capita'!BL128&lt;=Thresholds!$C$61,"L",IF('GNI per capita'!BL128&lt;=Thresholds!$D$61,"LM",IF('GNI per capita'!BL128&lt;=Thresholds!$E$61,"UM","H")))</f>
        <v>H</v>
      </c>
      <c r="BM128" s="42" t="str">
        <f>IF('GNI per capita'!BM128&lt;=Thresholds!$C$62,"L",IF('GNI per capita'!BM128&lt;=Thresholds!$D$62,"LM",IF('GNI per capita'!BM128&lt;=Thresholds!$E$62,"UM","H")))</f>
        <v>H</v>
      </c>
      <c r="BN128" s="42" t="str">
        <f>IF('GNI per capita'!BN128&lt;=Thresholds!$C$63,"L",IF('GNI per capita'!BN128&lt;=Thresholds!$D$63,"LM",IF('GNI per capita'!BN128&lt;=Thresholds!$E$63,"UM","H")))</f>
        <v>H</v>
      </c>
      <c r="BO128" s="42" t="str">
        <f>IF('GNI per capita'!BO128&lt;=Thresholds!$C$64,"L",IF('GNI per capita'!BO128&lt;=Thresholds!$D$64,"LM",IF('GNI per capita'!BO128&lt;=Thresholds!$E$64,"UM","H")))</f>
        <v>H</v>
      </c>
      <c r="BP128" s="42" t="str">
        <f>IF('GNI per capita'!BP128&lt;=Thresholds!$C$65,"L",IF('GNI per capita'!BP128&lt;=Thresholds!$D$65,"LM",IF('GNI per capita'!BP128&lt;=Thresholds!$E$65,"UM","H")))</f>
        <v>H</v>
      </c>
      <c r="BQ128" s="42" t="str">
        <f>IF('GNI per capita'!BQ128&lt;=Thresholds!$C$66,"L",IF('GNI per capita'!BQ128&lt;=Thresholds!$D$66,"LM",IF('GNI per capita'!BQ128&lt;=Thresholds!$E$66,"UM","H")))</f>
        <v>H</v>
      </c>
      <c r="BR128" s="42" t="str">
        <f>IF('GNI per capita'!BR128&lt;=Thresholds!$C$67,"L",IF('GNI per capita'!BR128&lt;=Thresholds!$D$67,"LM",IF('GNI per capita'!BR128&lt;=Thresholds!$E$67,"UM","H")))</f>
        <v>H</v>
      </c>
      <c r="BS128" s="42" t="str">
        <f>IF('GNI per capita'!BS128&lt;=Thresholds!$C$68,"L",IF('GNI per capita'!BS128&lt;=Thresholds!$D$68,"LM",IF('GNI per capita'!BS128&lt;=Thresholds!$E$68,"UM","H")))</f>
        <v>H</v>
      </c>
    </row>
    <row r="129" spans="1:71" x14ac:dyDescent="0.2">
      <c r="A129" s="2" t="s">
        <v>473</v>
      </c>
      <c r="B129" s="2" t="s">
        <v>474</v>
      </c>
      <c r="C129" s="11" t="s">
        <v>210</v>
      </c>
      <c r="G129" s="2" t="s">
        <v>162</v>
      </c>
      <c r="H129" s="41" t="s">
        <v>75</v>
      </c>
      <c r="I129" s="41" t="s">
        <v>75</v>
      </c>
      <c r="J129" s="41" t="s">
        <v>75</v>
      </c>
      <c r="K129" s="41" t="s">
        <v>75</v>
      </c>
      <c r="L129" s="41" t="s">
        <v>75</v>
      </c>
      <c r="M129" s="41" t="s">
        <v>75</v>
      </c>
      <c r="N129" s="41" t="s">
        <v>75</v>
      </c>
      <c r="O129" s="41" t="s">
        <v>75</v>
      </c>
      <c r="P129" s="41" t="s">
        <v>75</v>
      </c>
      <c r="Q129" s="41" t="s">
        <v>75</v>
      </c>
      <c r="R129" s="41" t="s">
        <v>75</v>
      </c>
      <c r="S129" s="41" t="s">
        <v>75</v>
      </c>
      <c r="T129" s="41" t="s">
        <v>75</v>
      </c>
      <c r="U129" s="41" t="s">
        <v>75</v>
      </c>
      <c r="V129" s="41" t="s">
        <v>75</v>
      </c>
      <c r="W129" s="41" t="s">
        <v>75</v>
      </c>
      <c r="X129" s="41" t="s">
        <v>75</v>
      </c>
      <c r="Y129" s="41" t="s">
        <v>75</v>
      </c>
      <c r="Z129" s="41" t="s">
        <v>75</v>
      </c>
      <c r="AA129" s="41" t="s">
        <v>75</v>
      </c>
      <c r="AB129" s="41" t="s">
        <v>75</v>
      </c>
      <c r="AC129" s="41" t="s">
        <v>75</v>
      </c>
      <c r="AD129" s="41" t="s">
        <v>75</v>
      </c>
      <c r="AE129" s="41" t="s">
        <v>210</v>
      </c>
      <c r="AF129" s="41" t="s">
        <v>75</v>
      </c>
      <c r="AG129" s="41" t="s">
        <v>210</v>
      </c>
      <c r="AH129" s="41" t="s">
        <v>210</v>
      </c>
      <c r="AI129" s="41" t="s">
        <v>210</v>
      </c>
      <c r="AJ129" s="41" t="s">
        <v>210</v>
      </c>
      <c r="AK129" s="41" t="s">
        <v>210</v>
      </c>
      <c r="AL129" s="41" t="s">
        <v>210</v>
      </c>
      <c r="AM129" s="41" t="s">
        <v>210</v>
      </c>
      <c r="AN129" s="41" t="s">
        <v>210</v>
      </c>
      <c r="AO129" s="41" t="s">
        <v>210</v>
      </c>
      <c r="AP129" s="41" t="s">
        <v>210</v>
      </c>
      <c r="AQ129" s="41" t="s">
        <v>210</v>
      </c>
      <c r="AR129" s="41" t="s">
        <v>210</v>
      </c>
      <c r="AS129" s="41" t="s">
        <v>210</v>
      </c>
      <c r="AT129" s="41" t="s">
        <v>210</v>
      </c>
      <c r="AU129" s="42" t="str">
        <f>IF('GNI per capita'!AU129&lt;=Thresholds!$C$44,"L",IF('GNI per capita'!AU129&lt;=Thresholds!$D$44,"LM",IF('GNI per capita'!AU129&lt;=Thresholds!$E$44,"UM","H")))</f>
        <v>LM</v>
      </c>
      <c r="AV129" s="42" t="str">
        <f>IF('GNI per capita'!AV129&lt;=Thresholds!$C$45,"L",IF('GNI per capita'!AV129&lt;=Thresholds!$D$45,"LM",IF('GNI per capita'!AV129&lt;=Thresholds!$E$45,"UM","H")))</f>
        <v>LM</v>
      </c>
      <c r="AW129" s="42" t="str">
        <f>IF('GNI per capita'!AW129&lt;=Thresholds!$C$46,"L",IF('GNI per capita'!AW129&lt;=Thresholds!$D$46,"LM",IF('GNI per capita'!AW129&lt;=Thresholds!$E$46,"UM","H")))</f>
        <v>LM</v>
      </c>
      <c r="AX129" s="42" t="str">
        <f>IF('GNI per capita'!AX129&lt;=Thresholds!$C$47,"L",IF('GNI per capita'!AX129&lt;=Thresholds!$D$47,"LM",IF('GNI per capita'!AX129&lt;=Thresholds!$E$47,"UM","H")))</f>
        <v>LM</v>
      </c>
      <c r="AY129" s="42" t="str">
        <f>IF('GNI per capita'!AY129&lt;=Thresholds!$C$48,"L",IF('GNI per capita'!AY129&lt;=Thresholds!$D$48,"LM",IF('GNI per capita'!AY129&lt;=Thresholds!$E$48,"UM","H")))</f>
        <v>LM</v>
      </c>
      <c r="AZ129" s="42" t="str">
        <f>IF('GNI per capita'!AZ129&lt;=Thresholds!$C$49,"L",IF('GNI per capita'!AZ129&lt;=Thresholds!$D$49,"LM",IF('GNI per capita'!AZ129&lt;=Thresholds!$E$49,"UM","H")))</f>
        <v>LM</v>
      </c>
      <c r="BA129" s="42" t="str">
        <f>IF('GNI per capita'!BA129&lt;=Thresholds!$C$50,"L",IF('GNI per capita'!BA129&lt;=Thresholds!$D$50,"LM",IF('GNI per capita'!BA129&lt;=Thresholds!$E$50,"UM","H")))</f>
        <v>LM</v>
      </c>
      <c r="BB129" s="42" t="str">
        <f>IF('GNI per capita'!BB129&lt;=Thresholds!$C$51,"L",IF('GNI per capita'!BB129&lt;=Thresholds!$D$51,"LM",IF('GNI per capita'!BB129&lt;=Thresholds!$E$51,"UM","H")))</f>
        <v>LM</v>
      </c>
      <c r="BC129" s="42" t="str">
        <f>IF('GNI per capita'!BC129&lt;=Thresholds!$C$52,"L",IF('GNI per capita'!BC129&lt;=Thresholds!$D$52,"LM",IF('GNI per capita'!BC129&lt;=Thresholds!$E$52,"UM","H")))</f>
        <v>LM</v>
      </c>
      <c r="BD129" s="42" t="str">
        <f>IF('GNI per capita'!BD129&lt;=Thresholds!$C$53,"L",IF('GNI per capita'!BD129&lt;=Thresholds!$D$53,"LM",IF('GNI per capita'!BD129&lt;=Thresholds!$E$53,"UM","H")))</f>
        <v>LM</v>
      </c>
      <c r="BE129" s="42" t="str">
        <f>IF('GNI per capita'!BE129&lt;=Thresholds!$C$54,"L",IF('GNI per capita'!BE129&lt;=Thresholds!$D$54,"LM",IF('GNI per capita'!BE129&lt;=Thresholds!$E$54,"UM","H")))</f>
        <v>LM</v>
      </c>
      <c r="BF129" s="42" t="str">
        <f>IF('GNI per capita'!BF129&lt;=Thresholds!$C$55,"L",IF('GNI per capita'!BF129&lt;=Thresholds!$D$55,"LM",IF('GNI per capita'!BF129&lt;=Thresholds!$E$55,"UM","H")))</f>
        <v>LM</v>
      </c>
      <c r="BG129" s="42" t="str">
        <f>IF('GNI per capita'!BG129&lt;=Thresholds!$C$56,"L",IF('GNI per capita'!BG129&lt;=Thresholds!$D$56,"LM",IF('GNI per capita'!BG129&lt;=Thresholds!$E$56,"UM","H")))</f>
        <v>LM</v>
      </c>
      <c r="BH129" s="42" t="str">
        <f>IF('GNI per capita'!BH129&lt;=Thresholds!$C$57,"L",IF('GNI per capita'!BH129&lt;=Thresholds!$D$57,"LM",IF('GNI per capita'!BH129&lt;=Thresholds!$E$57,"UM","H")))</f>
        <v>LM</v>
      </c>
      <c r="BI129" s="42" t="str">
        <f>IF('GNI per capita'!BI129&lt;=Thresholds!$C$58,"L",IF('GNI per capita'!BI129&lt;=Thresholds!$D$58,"LM",IF('GNI per capita'!BI129&lt;=Thresholds!$E$58,"UM","H")))</f>
        <v>LM</v>
      </c>
      <c r="BJ129" s="42" t="str">
        <f>IF('GNI per capita'!BJ129&lt;=Thresholds!$C$59,"L",IF('GNI per capita'!BJ129&lt;=Thresholds!$D$59,"LM",IF('GNI per capita'!BJ129&lt;=Thresholds!$E$59,"UM","H")))</f>
        <v>LM</v>
      </c>
      <c r="BK129" s="42" t="str">
        <f>IF('GNI per capita'!BK129&lt;=Thresholds!$C$60,"L",IF('GNI per capita'!BK129&lt;=Thresholds!$D$60,"LM",IF('GNI per capita'!BK129&lt;=Thresholds!$E$60,"UM","H")))</f>
        <v>LM</v>
      </c>
      <c r="BL129" s="42" t="str">
        <f>IF('GNI per capita'!BL129&lt;=Thresholds!$C$61,"L",IF('GNI per capita'!BL129&lt;=Thresholds!$D$61,"LM",IF('GNI per capita'!BL129&lt;=Thresholds!$E$61,"UM","H")))</f>
        <v>LM</v>
      </c>
      <c r="BM129" s="42" t="str">
        <f>IF('GNI per capita'!BM129&lt;=Thresholds!$C$62,"L",IF('GNI per capita'!BM129&lt;=Thresholds!$D$62,"LM",IF('GNI per capita'!BM129&lt;=Thresholds!$E$62,"UM","H")))</f>
        <v>LM</v>
      </c>
      <c r="BN129" s="42" t="str">
        <f>IF('GNI per capita'!BN129&lt;=Thresholds!$C$63,"L",IF('GNI per capita'!BN129&lt;=Thresholds!$D$63,"LM",IF('GNI per capita'!BN129&lt;=Thresholds!$E$63,"UM","H")))</f>
        <v>LM</v>
      </c>
      <c r="BO129" s="42" t="str">
        <f>IF('GNI per capita'!BO129&lt;=Thresholds!$C$64,"L",IF('GNI per capita'!BO129&lt;=Thresholds!$D$64,"LM",IF('GNI per capita'!BO129&lt;=Thresholds!$E$64,"UM","H")))</f>
        <v>LM</v>
      </c>
      <c r="BP129" s="42" t="str">
        <f>IF('GNI per capita'!BP129&lt;=Thresholds!$C$65,"L",IF('GNI per capita'!BP129&lt;=Thresholds!$D$65,"LM",IF('GNI per capita'!BP129&lt;=Thresholds!$E$65,"UM","H")))</f>
        <v>LM</v>
      </c>
      <c r="BQ129" s="42" t="str">
        <f>IF('GNI per capita'!BQ129&lt;=Thresholds!$C$66,"L",IF('GNI per capita'!BQ129&lt;=Thresholds!$D$66,"LM",IF('GNI per capita'!BQ129&lt;=Thresholds!$E$66,"UM","H")))</f>
        <v>LM</v>
      </c>
      <c r="BR129" s="42" t="str">
        <f>IF('GNI per capita'!BR129&lt;=Thresholds!$C$67,"L",IF('GNI per capita'!BR129&lt;=Thresholds!$D$67,"LM",IF('GNI per capita'!BR129&lt;=Thresholds!$E$67,"UM","H")))</f>
        <v>LM</v>
      </c>
      <c r="BS129" s="42" t="str">
        <f>IF('GNI per capita'!BS129&lt;=Thresholds!$C$68,"L",IF('GNI per capita'!BS129&lt;=Thresholds!$D$68,"LM",IF('GNI per capita'!BS129&lt;=Thresholds!$E$68,"UM","H")))</f>
        <v>LM</v>
      </c>
    </row>
    <row r="130" spans="1:71" x14ac:dyDescent="0.2">
      <c r="A130" s="2" t="s">
        <v>475</v>
      </c>
      <c r="B130" s="2" t="s">
        <v>476</v>
      </c>
      <c r="C130" s="11" t="s">
        <v>82</v>
      </c>
      <c r="G130" s="2" t="s">
        <v>162</v>
      </c>
      <c r="H130" s="41" t="s">
        <v>210</v>
      </c>
      <c r="I130" s="41" t="s">
        <v>210</v>
      </c>
      <c r="J130" s="41" t="s">
        <v>210</v>
      </c>
      <c r="K130" s="41" t="s">
        <v>210</v>
      </c>
      <c r="L130" s="41" t="s">
        <v>210</v>
      </c>
      <c r="M130" s="41" t="s">
        <v>82</v>
      </c>
      <c r="N130" s="41" t="s">
        <v>82</v>
      </c>
      <c r="O130" s="41" t="s">
        <v>82</v>
      </c>
      <c r="P130" s="41" t="s">
        <v>82</v>
      </c>
      <c r="Q130" s="41" t="s">
        <v>82</v>
      </c>
      <c r="R130" s="41" t="s">
        <v>82</v>
      </c>
      <c r="S130" s="41" t="s">
        <v>82</v>
      </c>
      <c r="T130" s="41" t="s">
        <v>82</v>
      </c>
      <c r="U130" s="41" t="s">
        <v>82</v>
      </c>
      <c r="V130" s="41" t="s">
        <v>82</v>
      </c>
      <c r="W130" s="41" t="s">
        <v>82</v>
      </c>
      <c r="X130" s="41" t="s">
        <v>82</v>
      </c>
      <c r="Y130" s="41" t="s">
        <v>82</v>
      </c>
      <c r="Z130" s="41" t="s">
        <v>82</v>
      </c>
      <c r="AA130" s="41" t="s">
        <v>82</v>
      </c>
      <c r="AB130" s="41" t="s">
        <v>82</v>
      </c>
      <c r="AC130" s="41" t="s">
        <v>82</v>
      </c>
      <c r="AD130" s="41" t="s">
        <v>82</v>
      </c>
      <c r="AE130" s="41" t="s">
        <v>82</v>
      </c>
      <c r="AF130" s="41" t="s">
        <v>82</v>
      </c>
      <c r="AG130" s="41" t="s">
        <v>82</v>
      </c>
      <c r="AH130" s="41" t="s">
        <v>82</v>
      </c>
      <c r="AI130" s="41" t="s">
        <v>82</v>
      </c>
      <c r="AJ130" s="41" t="s">
        <v>82</v>
      </c>
      <c r="AK130" s="41" t="s">
        <v>82</v>
      </c>
      <c r="AL130" s="41" t="s">
        <v>82</v>
      </c>
      <c r="AM130" s="41" t="s">
        <v>82</v>
      </c>
      <c r="AN130" s="41" t="s">
        <v>79</v>
      </c>
      <c r="AO130" s="41" t="s">
        <v>82</v>
      </c>
      <c r="AP130" s="41" t="s">
        <v>82</v>
      </c>
      <c r="AQ130" s="41" t="s">
        <v>82</v>
      </c>
      <c r="AR130" s="41" t="s">
        <v>82</v>
      </c>
      <c r="AS130" s="41" t="s">
        <v>82</v>
      </c>
      <c r="AT130" s="41" t="s">
        <v>82</v>
      </c>
      <c r="AU130" s="42" t="str">
        <f>IF('GNI per capita'!AU130&lt;=Thresholds!$C$44,"L",IF('GNI per capita'!AU130&lt;=Thresholds!$D$44,"LM",IF('GNI per capita'!AU130&lt;=Thresholds!$E$44,"UM","H")))</f>
        <v>H</v>
      </c>
      <c r="AV130" s="42" t="str">
        <f>IF('GNI per capita'!AV130&lt;=Thresholds!$C$45,"L",IF('GNI per capita'!AV130&lt;=Thresholds!$D$45,"LM",IF('GNI per capita'!AV130&lt;=Thresholds!$E$45,"UM","H")))</f>
        <v>H</v>
      </c>
      <c r="AW130" s="42" t="str">
        <f>IF('GNI per capita'!AW130&lt;=Thresholds!$C$46,"L",IF('GNI per capita'!AW130&lt;=Thresholds!$D$46,"LM",IF('GNI per capita'!AW130&lt;=Thresholds!$E$46,"UM","H")))</f>
        <v>H</v>
      </c>
      <c r="AX130" s="42" t="str">
        <f>IF('GNI per capita'!AX130&lt;=Thresholds!$C$47,"L",IF('GNI per capita'!AX130&lt;=Thresholds!$D$47,"LM",IF('GNI per capita'!AX130&lt;=Thresholds!$E$47,"UM","H")))</f>
        <v>H</v>
      </c>
      <c r="AY130" s="42" t="str">
        <f>IF('GNI per capita'!AY130&lt;=Thresholds!$C$48,"L",IF('GNI per capita'!AY130&lt;=Thresholds!$D$48,"LM",IF('GNI per capita'!AY130&lt;=Thresholds!$E$48,"UM","H")))</f>
        <v>H</v>
      </c>
      <c r="AZ130" s="42" t="str">
        <f>IF('GNI per capita'!AZ130&lt;=Thresholds!$C$49,"L",IF('GNI per capita'!AZ130&lt;=Thresholds!$D$49,"LM",IF('GNI per capita'!AZ130&lt;=Thresholds!$E$49,"UM","H")))</f>
        <v>H</v>
      </c>
      <c r="BA130" s="42" t="str">
        <f>IF('GNI per capita'!BA130&lt;=Thresholds!$C$50,"L",IF('GNI per capita'!BA130&lt;=Thresholds!$D$50,"LM",IF('GNI per capita'!BA130&lt;=Thresholds!$E$50,"UM","H")))</f>
        <v>H</v>
      </c>
      <c r="BB130" s="42" t="str">
        <f>IF('GNI per capita'!BB130&lt;=Thresholds!$C$51,"L",IF('GNI per capita'!BB130&lt;=Thresholds!$D$51,"LM",IF('GNI per capita'!BB130&lt;=Thresholds!$E$51,"UM","H")))</f>
        <v>H</v>
      </c>
      <c r="BC130" s="42" t="str">
        <f>IF('GNI per capita'!BC130&lt;=Thresholds!$C$52,"L",IF('GNI per capita'!BC130&lt;=Thresholds!$D$52,"LM",IF('GNI per capita'!BC130&lt;=Thresholds!$E$52,"UM","H")))</f>
        <v>H</v>
      </c>
      <c r="BD130" s="42" t="str">
        <f>IF('GNI per capita'!BD130&lt;=Thresholds!$C$53,"L",IF('GNI per capita'!BD130&lt;=Thresholds!$D$53,"LM",IF('GNI per capita'!BD130&lt;=Thresholds!$E$53,"UM","H")))</f>
        <v>H</v>
      </c>
      <c r="BE130" s="42" t="str">
        <f>IF('GNI per capita'!BE130&lt;=Thresholds!$C$54,"L",IF('GNI per capita'!BE130&lt;=Thresholds!$D$54,"LM",IF('GNI per capita'!BE130&lt;=Thresholds!$E$54,"UM","H")))</f>
        <v>H</v>
      </c>
      <c r="BF130" s="42" t="str">
        <f>IF('GNI per capita'!BF130&lt;=Thresholds!$C$55,"L",IF('GNI per capita'!BF130&lt;=Thresholds!$D$55,"LM",IF('GNI per capita'!BF130&lt;=Thresholds!$E$55,"UM","H")))</f>
        <v>H</v>
      </c>
      <c r="BG130" s="42" t="str">
        <f>IF('GNI per capita'!BG130&lt;=Thresholds!$C$56,"L",IF('GNI per capita'!BG130&lt;=Thresholds!$D$56,"LM",IF('GNI per capita'!BG130&lt;=Thresholds!$E$56,"UM","H")))</f>
        <v>H</v>
      </c>
      <c r="BH130" s="42" t="str">
        <f>IF('GNI per capita'!BH130&lt;=Thresholds!$C$57,"L",IF('GNI per capita'!BH130&lt;=Thresholds!$D$57,"LM",IF('GNI per capita'!BH130&lt;=Thresholds!$E$57,"UM","H")))</f>
        <v>H</v>
      </c>
      <c r="BI130" s="42" t="str">
        <f>IF('GNI per capita'!BI130&lt;=Thresholds!$C$58,"L",IF('GNI per capita'!BI130&lt;=Thresholds!$D$58,"LM",IF('GNI per capita'!BI130&lt;=Thresholds!$E$58,"UM","H")))</f>
        <v>H</v>
      </c>
      <c r="BJ130" s="42" t="str">
        <f>IF('GNI per capita'!BJ130&lt;=Thresholds!$C$59,"L",IF('GNI per capita'!BJ130&lt;=Thresholds!$D$59,"LM",IF('GNI per capita'!BJ130&lt;=Thresholds!$E$59,"UM","H")))</f>
        <v>H</v>
      </c>
      <c r="BK130" s="42" t="str">
        <f>IF('GNI per capita'!BK130&lt;=Thresholds!$C$60,"L",IF('GNI per capita'!BK130&lt;=Thresholds!$D$60,"LM",IF('GNI per capita'!BK130&lt;=Thresholds!$E$60,"UM","H")))</f>
        <v>H</v>
      </c>
      <c r="BL130" s="42" t="str">
        <f>IF('GNI per capita'!BL130&lt;=Thresholds!$C$61,"L",IF('GNI per capita'!BL130&lt;=Thresholds!$D$61,"LM",IF('GNI per capita'!BL130&lt;=Thresholds!$E$61,"UM","H")))</f>
        <v>H</v>
      </c>
      <c r="BM130" s="42" t="str">
        <f>IF('GNI per capita'!BM130&lt;=Thresholds!$C$62,"L",IF('GNI per capita'!BM130&lt;=Thresholds!$D$62,"LM",IF('GNI per capita'!BM130&lt;=Thresholds!$E$62,"UM","H")))</f>
        <v>H</v>
      </c>
      <c r="BN130" s="42" t="str">
        <f>IF('GNI per capita'!BN130&lt;=Thresholds!$C$63,"L",IF('GNI per capita'!BN130&lt;=Thresholds!$D$63,"LM",IF('GNI per capita'!BN130&lt;=Thresholds!$E$63,"UM","H")))</f>
        <v>H</v>
      </c>
      <c r="BO130" s="42" t="str">
        <f>IF('GNI per capita'!BO130&lt;=Thresholds!$C$64,"L",IF('GNI per capita'!BO130&lt;=Thresholds!$D$64,"LM",IF('GNI per capita'!BO130&lt;=Thresholds!$E$64,"UM","H")))</f>
        <v>H</v>
      </c>
      <c r="BP130" s="42" t="str">
        <f>IF('GNI per capita'!BP130&lt;=Thresholds!$C$65,"L",IF('GNI per capita'!BP130&lt;=Thresholds!$D$65,"LM",IF('GNI per capita'!BP130&lt;=Thresholds!$E$65,"UM","H")))</f>
        <v>H</v>
      </c>
      <c r="BQ130" s="42" t="str">
        <f>IF('GNI per capita'!BQ130&lt;=Thresholds!$C$66,"L",IF('GNI per capita'!BQ130&lt;=Thresholds!$D$66,"LM",IF('GNI per capita'!BQ130&lt;=Thresholds!$E$66,"UM","H")))</f>
        <v>H</v>
      </c>
      <c r="BR130" s="42" t="str">
        <f>IF('GNI per capita'!BR130&lt;=Thresholds!$C$67,"L",IF('GNI per capita'!BR130&lt;=Thresholds!$D$67,"LM",IF('GNI per capita'!BR130&lt;=Thresholds!$E$67,"UM","H")))</f>
        <v>H</v>
      </c>
      <c r="BS130" s="42" t="str">
        <f>IF('GNI per capita'!BS130&lt;=Thresholds!$C$68,"L",IF('GNI per capita'!BS130&lt;=Thresholds!$D$68,"LM",IF('GNI per capita'!BS130&lt;=Thresholds!$E$68,"UM","H")))</f>
        <v>H</v>
      </c>
    </row>
    <row r="131" spans="1:71" x14ac:dyDescent="0.2">
      <c r="A131" s="2" t="s">
        <v>477</v>
      </c>
      <c r="B131" s="2" t="s">
        <v>478</v>
      </c>
      <c r="C131" s="11" t="s">
        <v>82</v>
      </c>
      <c r="G131" s="2" t="s">
        <v>162</v>
      </c>
      <c r="H131" s="41" t="s">
        <v>210</v>
      </c>
      <c r="I131" s="41" t="s">
        <v>210</v>
      </c>
      <c r="J131" s="41" t="s">
        <v>210</v>
      </c>
      <c r="K131" s="41" t="s">
        <v>82</v>
      </c>
      <c r="L131" s="41" t="s">
        <v>82</v>
      </c>
      <c r="M131" s="41" t="s">
        <v>82</v>
      </c>
      <c r="N131" s="41" t="s">
        <v>82</v>
      </c>
      <c r="O131" s="41" t="s">
        <v>82</v>
      </c>
      <c r="P131" s="41" t="s">
        <v>82</v>
      </c>
      <c r="Q131" s="41" t="s">
        <v>82</v>
      </c>
      <c r="R131" s="41" t="s">
        <v>82</v>
      </c>
      <c r="S131" s="41" t="s">
        <v>82</v>
      </c>
      <c r="T131" s="41" t="s">
        <v>82</v>
      </c>
      <c r="U131" s="41" t="s">
        <v>82</v>
      </c>
      <c r="V131" s="41" t="s">
        <v>82</v>
      </c>
      <c r="W131" s="41" t="s">
        <v>82</v>
      </c>
      <c r="X131" s="41" t="s">
        <v>82</v>
      </c>
      <c r="Y131" s="41" t="s">
        <v>82</v>
      </c>
      <c r="Z131" s="41" t="s">
        <v>82</v>
      </c>
      <c r="AA131" s="41" t="s">
        <v>82</v>
      </c>
      <c r="AB131" s="41" t="s">
        <v>82</v>
      </c>
      <c r="AC131" s="41" t="s">
        <v>82</v>
      </c>
      <c r="AD131" s="41" t="s">
        <v>82</v>
      </c>
      <c r="AE131" s="41" t="s">
        <v>82</v>
      </c>
      <c r="AF131" s="41" t="s">
        <v>82</v>
      </c>
      <c r="AG131" s="41" t="s">
        <v>82</v>
      </c>
      <c r="AH131" s="41" t="s">
        <v>82</v>
      </c>
      <c r="AI131" s="41" t="s">
        <v>82</v>
      </c>
      <c r="AJ131" s="41" t="s">
        <v>82</v>
      </c>
      <c r="AK131" s="41" t="s">
        <v>82</v>
      </c>
      <c r="AL131" s="41" t="s">
        <v>82</v>
      </c>
      <c r="AM131" s="41" t="s">
        <v>82</v>
      </c>
      <c r="AN131" s="41" t="s">
        <v>82</v>
      </c>
      <c r="AO131" s="41" t="s">
        <v>82</v>
      </c>
      <c r="AP131" s="41" t="s">
        <v>82</v>
      </c>
      <c r="AQ131" s="41" t="s">
        <v>82</v>
      </c>
      <c r="AR131" s="41" t="s">
        <v>82</v>
      </c>
      <c r="AS131" s="41" t="s">
        <v>82</v>
      </c>
      <c r="AT131" s="41" t="s">
        <v>82</v>
      </c>
      <c r="AU131" s="42" t="str">
        <f>IF('GNI per capita'!AU131&lt;=Thresholds!$C$44,"L",IF('GNI per capita'!AU131&lt;=Thresholds!$D$44,"LM",IF('GNI per capita'!AU131&lt;=Thresholds!$E$44,"UM","H")))</f>
        <v>UM</v>
      </c>
      <c r="AV131" s="42" t="str">
        <f>IF('GNI per capita'!AV131&lt;=Thresholds!$C$45,"L",IF('GNI per capita'!AV131&lt;=Thresholds!$D$45,"LM",IF('GNI per capita'!AV131&lt;=Thresholds!$E$45,"UM","H")))</f>
        <v>H</v>
      </c>
      <c r="AW131" s="42" t="str">
        <f>IF('GNI per capita'!AW131&lt;=Thresholds!$C$46,"L",IF('GNI per capita'!AW131&lt;=Thresholds!$D$46,"LM",IF('GNI per capita'!AW131&lt;=Thresholds!$E$46,"UM","H")))</f>
        <v>H</v>
      </c>
      <c r="AX131" s="42" t="str">
        <f>IF('GNI per capita'!AX131&lt;=Thresholds!$C$47,"L",IF('GNI per capita'!AX131&lt;=Thresholds!$D$47,"LM",IF('GNI per capita'!AX131&lt;=Thresholds!$E$47,"UM","H")))</f>
        <v>H</v>
      </c>
      <c r="AY131" s="42" t="str">
        <f>IF('GNI per capita'!AY131&lt;=Thresholds!$C$48,"L",IF('GNI per capita'!AY131&lt;=Thresholds!$D$48,"LM",IF('GNI per capita'!AY131&lt;=Thresholds!$E$48,"UM","H")))</f>
        <v>H</v>
      </c>
      <c r="AZ131" s="42" t="str">
        <f>IF('GNI per capita'!AZ131&lt;=Thresholds!$C$49,"L",IF('GNI per capita'!AZ131&lt;=Thresholds!$D$49,"LM",IF('GNI per capita'!AZ131&lt;=Thresholds!$E$49,"UM","H")))</f>
        <v>H</v>
      </c>
      <c r="BA131" s="42" t="str">
        <f>IF('GNI per capita'!BA131&lt;=Thresholds!$C$50,"L",IF('GNI per capita'!BA131&lt;=Thresholds!$D$50,"LM",IF('GNI per capita'!BA131&lt;=Thresholds!$E$50,"UM","H")))</f>
        <v>H</v>
      </c>
      <c r="BB131" s="42" t="str">
        <f>IF('GNI per capita'!BB131&lt;=Thresholds!$C$51,"L",IF('GNI per capita'!BB131&lt;=Thresholds!$D$51,"LM",IF('GNI per capita'!BB131&lt;=Thresholds!$E$51,"UM","H")))</f>
        <v>H</v>
      </c>
      <c r="BC131" s="42" t="str">
        <f>IF('GNI per capita'!BC131&lt;=Thresholds!$C$52,"L",IF('GNI per capita'!BC131&lt;=Thresholds!$D$52,"LM",IF('GNI per capita'!BC131&lt;=Thresholds!$E$52,"UM","H")))</f>
        <v>H</v>
      </c>
      <c r="BD131" s="42" t="str">
        <f>IF('GNI per capita'!BD131&lt;=Thresholds!$C$53,"L",IF('GNI per capita'!BD131&lt;=Thresholds!$D$53,"LM",IF('GNI per capita'!BD131&lt;=Thresholds!$E$53,"UM","H")))</f>
        <v>H</v>
      </c>
      <c r="BE131" s="42" t="str">
        <f>IF('GNI per capita'!BE131&lt;=Thresholds!$C$54,"L",IF('GNI per capita'!BE131&lt;=Thresholds!$D$54,"LM",IF('GNI per capita'!BE131&lt;=Thresholds!$E$54,"UM","H")))</f>
        <v>H</v>
      </c>
      <c r="BF131" s="42" t="str">
        <f>IF('GNI per capita'!BF131&lt;=Thresholds!$C$55,"L",IF('GNI per capita'!BF131&lt;=Thresholds!$D$55,"LM",IF('GNI per capita'!BF131&lt;=Thresholds!$E$55,"UM","H")))</f>
        <v>H</v>
      </c>
      <c r="BG131" s="42" t="str">
        <f>IF('GNI per capita'!BG131&lt;=Thresholds!$C$56,"L",IF('GNI per capita'!BG131&lt;=Thresholds!$D$56,"LM",IF('GNI per capita'!BG131&lt;=Thresholds!$E$56,"UM","H")))</f>
        <v>H</v>
      </c>
      <c r="BH131" s="42" t="str">
        <f>IF('GNI per capita'!BH131&lt;=Thresholds!$C$57,"L",IF('GNI per capita'!BH131&lt;=Thresholds!$D$57,"LM",IF('GNI per capita'!BH131&lt;=Thresholds!$E$57,"UM","H")))</f>
        <v>H</v>
      </c>
      <c r="BI131" s="42" t="str">
        <f>IF('GNI per capita'!BI131&lt;=Thresholds!$C$58,"L",IF('GNI per capita'!BI131&lt;=Thresholds!$D$58,"LM",IF('GNI per capita'!BI131&lt;=Thresholds!$E$58,"UM","H")))</f>
        <v>H</v>
      </c>
      <c r="BJ131" s="42" t="str">
        <f>IF('GNI per capita'!BJ131&lt;=Thresholds!$C$59,"L",IF('GNI per capita'!BJ131&lt;=Thresholds!$D$59,"LM",IF('GNI per capita'!BJ131&lt;=Thresholds!$E$59,"UM","H")))</f>
        <v>H</v>
      </c>
      <c r="BK131" s="42" t="str">
        <f>IF('GNI per capita'!BK131&lt;=Thresholds!$C$60,"L",IF('GNI per capita'!BK131&lt;=Thresholds!$D$60,"LM",IF('GNI per capita'!BK131&lt;=Thresholds!$E$60,"UM","H")))</f>
        <v>H</v>
      </c>
      <c r="BL131" s="42" t="str">
        <f>IF('GNI per capita'!BL131&lt;=Thresholds!$C$61,"L",IF('GNI per capita'!BL131&lt;=Thresholds!$D$61,"LM",IF('GNI per capita'!BL131&lt;=Thresholds!$E$61,"UM","H")))</f>
        <v>H</v>
      </c>
      <c r="BM131" s="42" t="str">
        <f>IF('GNI per capita'!BM131&lt;=Thresholds!$C$62,"L",IF('GNI per capita'!BM131&lt;=Thresholds!$D$62,"LM",IF('GNI per capita'!BM131&lt;=Thresholds!$E$62,"UM","H")))</f>
        <v>H</v>
      </c>
      <c r="BN131" s="42" t="str">
        <f>IF('GNI per capita'!BN131&lt;=Thresholds!$C$63,"L",IF('GNI per capita'!BN131&lt;=Thresholds!$D$63,"LM",IF('GNI per capita'!BN131&lt;=Thresholds!$E$63,"UM","H")))</f>
        <v>H</v>
      </c>
      <c r="BO131" s="42" t="str">
        <f>IF('GNI per capita'!BO131&lt;=Thresholds!$C$64,"L",IF('GNI per capita'!BO131&lt;=Thresholds!$D$64,"LM",IF('GNI per capita'!BO131&lt;=Thresholds!$E$64,"UM","H")))</f>
        <v>H</v>
      </c>
      <c r="BP131" s="42" t="str">
        <f>IF('GNI per capita'!BP131&lt;=Thresholds!$C$65,"L",IF('GNI per capita'!BP131&lt;=Thresholds!$D$65,"LM",IF('GNI per capita'!BP131&lt;=Thresholds!$E$65,"UM","H")))</f>
        <v>H</v>
      </c>
      <c r="BQ131" s="42" t="str">
        <f>IF('GNI per capita'!BQ131&lt;=Thresholds!$C$66,"L",IF('GNI per capita'!BQ131&lt;=Thresholds!$D$66,"LM",IF('GNI per capita'!BQ131&lt;=Thresholds!$E$66,"UM","H")))</f>
        <v>H</v>
      </c>
      <c r="BR131" s="42" t="str">
        <f>IF('GNI per capita'!BR131&lt;=Thresholds!$C$67,"L",IF('GNI per capita'!BR131&lt;=Thresholds!$D$67,"LM",IF('GNI per capita'!BR131&lt;=Thresholds!$E$67,"UM","H")))</f>
        <v>H</v>
      </c>
      <c r="BS131" s="42" t="str">
        <f>IF('GNI per capita'!BS131&lt;=Thresholds!$C$68,"L",IF('GNI per capita'!BS131&lt;=Thresholds!$D$68,"LM",IF('GNI per capita'!BS131&lt;=Thresholds!$E$68,"UM","H")))</f>
        <v>H</v>
      </c>
    </row>
    <row r="132" spans="1:71" x14ac:dyDescent="0.2">
      <c r="A132" s="2" t="s">
        <v>479</v>
      </c>
      <c r="B132" s="2" t="s">
        <v>480</v>
      </c>
      <c r="C132" s="11" t="s">
        <v>82</v>
      </c>
      <c r="G132" s="2" t="s">
        <v>162</v>
      </c>
      <c r="H132" s="41"/>
      <c r="I132" s="41"/>
      <c r="J132" s="41"/>
      <c r="K132" s="41"/>
      <c r="L132" s="41" t="s">
        <v>210</v>
      </c>
      <c r="M132" s="41" t="s">
        <v>210</v>
      </c>
      <c r="N132" s="41" t="s">
        <v>210</v>
      </c>
      <c r="O132" s="41" t="s">
        <v>210</v>
      </c>
      <c r="P132" s="41" t="s">
        <v>210</v>
      </c>
      <c r="Q132" s="41" t="s">
        <v>210</v>
      </c>
      <c r="R132" s="41" t="s">
        <v>210</v>
      </c>
      <c r="S132" s="41" t="s">
        <v>210</v>
      </c>
      <c r="T132" s="41" t="s">
        <v>210</v>
      </c>
      <c r="U132" s="41" t="s">
        <v>210</v>
      </c>
      <c r="V132" s="41" t="s">
        <v>210</v>
      </c>
      <c r="W132" s="41" t="s">
        <v>210</v>
      </c>
      <c r="X132" s="41" t="s">
        <v>210</v>
      </c>
      <c r="Y132" s="41" t="s">
        <v>210</v>
      </c>
      <c r="Z132" s="41" t="s">
        <v>210</v>
      </c>
      <c r="AA132" s="41" t="s">
        <v>210</v>
      </c>
      <c r="AB132" s="41" t="s">
        <v>210</v>
      </c>
      <c r="AC132" s="41" t="s">
        <v>210</v>
      </c>
      <c r="AD132" s="41" t="s">
        <v>210</v>
      </c>
      <c r="AE132" s="41" t="s">
        <v>210</v>
      </c>
      <c r="AF132" s="41" t="s">
        <v>210</v>
      </c>
      <c r="AG132" s="41" t="s">
        <v>210</v>
      </c>
      <c r="AH132" s="41" t="s">
        <v>210</v>
      </c>
      <c r="AI132" s="41" t="s">
        <v>210</v>
      </c>
      <c r="AJ132" s="41" t="s">
        <v>210</v>
      </c>
      <c r="AK132" s="41" t="s">
        <v>210</v>
      </c>
      <c r="AL132" s="41" t="s">
        <v>210</v>
      </c>
      <c r="AM132" s="41" t="s">
        <v>210</v>
      </c>
      <c r="AN132" s="41" t="s">
        <v>210</v>
      </c>
      <c r="AO132" s="41" t="s">
        <v>210</v>
      </c>
      <c r="AP132" s="41" t="s">
        <v>210</v>
      </c>
      <c r="AQ132" s="41" t="s">
        <v>210</v>
      </c>
      <c r="AR132" s="41" t="s">
        <v>210</v>
      </c>
      <c r="AS132" s="41" t="s">
        <v>210</v>
      </c>
      <c r="AT132" s="41" t="s">
        <v>82</v>
      </c>
      <c r="AU132" s="42" t="str">
        <f>IF('GNI per capita'!AU132&lt;=Thresholds!$C$44,"L",IF('GNI per capita'!AU132&lt;=Thresholds!$D$44,"LM",IF('GNI per capita'!AU132&lt;=Thresholds!$E$44,"UM","H")))</f>
        <v>UM</v>
      </c>
      <c r="AV132" s="42" t="str">
        <f>IF('GNI per capita'!AV132&lt;=Thresholds!$C$45,"L",IF('GNI per capita'!AV132&lt;=Thresholds!$D$45,"LM",IF('GNI per capita'!AV132&lt;=Thresholds!$E$45,"UM","H")))</f>
        <v>UM</v>
      </c>
      <c r="AW132" s="42" t="str">
        <f>IF('GNI per capita'!AW132&lt;=Thresholds!$C$46,"L",IF('GNI per capita'!AW132&lt;=Thresholds!$D$46,"LM",IF('GNI per capita'!AW132&lt;=Thresholds!$E$46,"UM","H")))</f>
        <v>UM</v>
      </c>
      <c r="AX132" s="42" t="str">
        <f>IF('GNI per capita'!AX132&lt;=Thresholds!$C$47,"L",IF('GNI per capita'!AX132&lt;=Thresholds!$D$47,"LM",IF('GNI per capita'!AX132&lt;=Thresholds!$E$47,"UM","H")))</f>
        <v>UM</v>
      </c>
      <c r="AY132" s="42" t="str">
        <f>IF('GNI per capita'!AY132&lt;=Thresholds!$C$48,"L",IF('GNI per capita'!AY132&lt;=Thresholds!$D$48,"LM",IF('GNI per capita'!AY132&lt;=Thresholds!$E$48,"UM","H")))</f>
        <v>UM</v>
      </c>
      <c r="AZ132" s="42" t="str">
        <f>IF('GNI per capita'!AZ132&lt;=Thresholds!$C$49,"L",IF('GNI per capita'!AZ132&lt;=Thresholds!$D$49,"LM",IF('GNI per capita'!AZ132&lt;=Thresholds!$E$49,"UM","H")))</f>
        <v>UM</v>
      </c>
      <c r="BA132" s="42" t="str">
        <f>IF('GNI per capita'!BA132&lt;=Thresholds!$C$50,"L",IF('GNI per capita'!BA132&lt;=Thresholds!$D$50,"LM",IF('GNI per capita'!BA132&lt;=Thresholds!$E$50,"UM","H")))</f>
        <v>UM</v>
      </c>
      <c r="BB132" s="42" t="str">
        <f>IF('GNI per capita'!BB132&lt;=Thresholds!$C$51,"L",IF('GNI per capita'!BB132&lt;=Thresholds!$D$51,"LM",IF('GNI per capita'!BB132&lt;=Thresholds!$E$51,"UM","H")))</f>
        <v>UM</v>
      </c>
      <c r="BC132" s="42" t="str">
        <f>IF('GNI per capita'!BC132&lt;=Thresholds!$C$52,"L",IF('GNI per capita'!BC132&lt;=Thresholds!$D$52,"LM",IF('GNI per capita'!BC132&lt;=Thresholds!$E$52,"UM","H")))</f>
        <v>UM</v>
      </c>
      <c r="BD132" s="42" t="str">
        <f>IF('GNI per capita'!BD132&lt;=Thresholds!$C$53,"L",IF('GNI per capita'!BD132&lt;=Thresholds!$D$53,"LM",IF('GNI per capita'!BD132&lt;=Thresholds!$E$53,"UM","H")))</f>
        <v>UM</v>
      </c>
      <c r="BE132" s="42" t="str">
        <f>IF('GNI per capita'!BE132&lt;=Thresholds!$C$54,"L",IF('GNI per capita'!BE132&lt;=Thresholds!$D$54,"LM",IF('GNI per capita'!BE132&lt;=Thresholds!$E$54,"UM","H")))</f>
        <v>UM</v>
      </c>
      <c r="BF132" s="42" t="str">
        <f>IF('GNI per capita'!BF132&lt;=Thresholds!$C$55,"L",IF('GNI per capita'!BF132&lt;=Thresholds!$D$55,"LM",IF('GNI per capita'!BF132&lt;=Thresholds!$E$55,"UM","H")))</f>
        <v>UM</v>
      </c>
      <c r="BG132" s="42" t="str">
        <f>IF('GNI per capita'!BG132&lt;=Thresholds!$C$56,"L",IF('GNI per capita'!BG132&lt;=Thresholds!$D$56,"LM",IF('GNI per capita'!BG132&lt;=Thresholds!$E$56,"UM","H")))</f>
        <v>UM</v>
      </c>
      <c r="BH132" s="42" t="str">
        <f>IF('GNI per capita'!BH132&lt;=Thresholds!$C$57,"L",IF('GNI per capita'!BH132&lt;=Thresholds!$D$57,"LM",IF('GNI per capita'!BH132&lt;=Thresholds!$E$57,"UM","H")))</f>
        <v>UM</v>
      </c>
      <c r="BI132" s="42" t="str">
        <f>IF('GNI per capita'!BI132&lt;=Thresholds!$C$58,"L",IF('GNI per capita'!BI132&lt;=Thresholds!$D$58,"LM",IF('GNI per capita'!BI132&lt;=Thresholds!$E$58,"UM","H")))</f>
        <v>UM</v>
      </c>
      <c r="BJ132" s="42" t="str">
        <f>IF('GNI per capita'!BJ132&lt;=Thresholds!$C$59,"L",IF('GNI per capita'!BJ132&lt;=Thresholds!$D$59,"LM",IF('GNI per capita'!BJ132&lt;=Thresholds!$E$59,"UM","H")))</f>
        <v>UM</v>
      </c>
      <c r="BK132" s="42" t="str">
        <f>IF('GNI per capita'!BK132&lt;=Thresholds!$C$60,"L",IF('GNI per capita'!BK132&lt;=Thresholds!$D$60,"LM",IF('GNI per capita'!BK132&lt;=Thresholds!$E$60,"UM","H")))</f>
        <v>UM</v>
      </c>
      <c r="BL132" s="42" t="str">
        <f>IF('GNI per capita'!BL132&lt;=Thresholds!$C$61,"L",IF('GNI per capita'!BL132&lt;=Thresholds!$D$61,"LM",IF('GNI per capita'!BL132&lt;=Thresholds!$E$61,"UM","H")))</f>
        <v>UM</v>
      </c>
      <c r="BM132" s="42" t="str">
        <f>IF('GNI per capita'!BM132&lt;=Thresholds!$C$62,"L",IF('GNI per capita'!BM132&lt;=Thresholds!$D$62,"LM",IF('GNI per capita'!BM132&lt;=Thresholds!$E$62,"UM","H")))</f>
        <v>UM</v>
      </c>
      <c r="BN132" s="42" t="str">
        <f>IF('GNI per capita'!BN132&lt;=Thresholds!$C$63,"L",IF('GNI per capita'!BN132&lt;=Thresholds!$D$63,"LM",IF('GNI per capita'!BN132&lt;=Thresholds!$E$63,"UM","H")))</f>
        <v>UM</v>
      </c>
      <c r="BO132" s="42" t="str">
        <f>IF('GNI per capita'!BO132&lt;=Thresholds!$C$64,"L",IF('GNI per capita'!BO132&lt;=Thresholds!$D$64,"LM",IF('GNI per capita'!BO132&lt;=Thresholds!$E$64,"UM","H")))</f>
        <v>UM</v>
      </c>
      <c r="BP132" s="42" t="str">
        <f>IF('GNI per capita'!BP132&lt;=Thresholds!$C$65,"L",IF('GNI per capita'!BP132&lt;=Thresholds!$D$65,"LM",IF('GNI per capita'!BP132&lt;=Thresholds!$E$65,"UM","H")))</f>
        <v>UM</v>
      </c>
      <c r="BQ132" s="42" t="str">
        <f>IF('GNI per capita'!BQ132&lt;=Thresholds!$C$66,"L",IF('GNI per capita'!BQ132&lt;=Thresholds!$D$66,"LM",IF('GNI per capita'!BQ132&lt;=Thresholds!$E$66,"UM","H")))</f>
        <v>UM</v>
      </c>
      <c r="BR132" s="42" t="str">
        <f>IF('GNI per capita'!BR132&lt;=Thresholds!$C$67,"L",IF('GNI per capita'!BR132&lt;=Thresholds!$D$67,"LM",IF('GNI per capita'!BR132&lt;=Thresholds!$E$67,"UM","H")))</f>
        <v>UM</v>
      </c>
      <c r="BS132" s="42" t="str">
        <f>IF('GNI per capita'!BS132&lt;=Thresholds!$C$68,"L",IF('GNI per capita'!BS132&lt;=Thresholds!$D$68,"LM",IF('GNI per capita'!BS132&lt;=Thresholds!$E$68,"UM","H")))</f>
        <v>UM</v>
      </c>
    </row>
    <row r="133" spans="1:71" x14ac:dyDescent="0.2">
      <c r="A133" s="2" t="s">
        <v>481</v>
      </c>
      <c r="B133" s="2" t="s">
        <v>482</v>
      </c>
      <c r="C133" s="11" t="s">
        <v>82</v>
      </c>
      <c r="G133" s="2" t="s">
        <v>483</v>
      </c>
      <c r="H133" s="41"/>
      <c r="I133" s="41"/>
      <c r="J133" s="41"/>
      <c r="K133" s="41"/>
      <c r="L133" s="41" t="s">
        <v>210</v>
      </c>
      <c r="M133" s="41" t="s">
        <v>210</v>
      </c>
      <c r="N133" s="41" t="s">
        <v>210</v>
      </c>
      <c r="O133" s="41" t="s">
        <v>210</v>
      </c>
      <c r="P133" s="41" t="s">
        <v>210</v>
      </c>
      <c r="Q133" s="41" t="s">
        <v>75</v>
      </c>
      <c r="R133" s="41" t="s">
        <v>75</v>
      </c>
      <c r="S133" s="41" t="s">
        <v>75</v>
      </c>
      <c r="T133" s="41" t="s">
        <v>75</v>
      </c>
      <c r="U133" s="41" t="s">
        <v>75</v>
      </c>
      <c r="V133" s="41" t="s">
        <v>75</v>
      </c>
      <c r="W133" s="41" t="s">
        <v>75</v>
      </c>
      <c r="X133" s="41" t="s">
        <v>75</v>
      </c>
      <c r="Y133" s="41" t="s">
        <v>75</v>
      </c>
      <c r="Z133" s="41" t="s">
        <v>210</v>
      </c>
      <c r="AA133" s="41" t="s">
        <v>210</v>
      </c>
      <c r="AB133" s="41" t="s">
        <v>210</v>
      </c>
      <c r="AC133" s="41" t="s">
        <v>210</v>
      </c>
      <c r="AD133" s="41" t="s">
        <v>210</v>
      </c>
      <c r="AE133" s="41" t="s">
        <v>210</v>
      </c>
      <c r="AF133" s="41" t="s">
        <v>210</v>
      </c>
      <c r="AG133" s="41" t="s">
        <v>210</v>
      </c>
      <c r="AH133" s="41" t="s">
        <v>210</v>
      </c>
      <c r="AI133" s="41" t="s">
        <v>210</v>
      </c>
      <c r="AJ133" s="41" t="s">
        <v>210</v>
      </c>
      <c r="AK133" s="41" t="s">
        <v>210</v>
      </c>
      <c r="AL133" s="41" t="s">
        <v>210</v>
      </c>
      <c r="AM133" s="41" t="s">
        <v>210</v>
      </c>
      <c r="AN133" s="41" t="s">
        <v>210</v>
      </c>
      <c r="AO133" s="41" t="s">
        <v>82</v>
      </c>
      <c r="AP133" s="41" t="s">
        <v>82</v>
      </c>
      <c r="AQ133" s="41" t="s">
        <v>82</v>
      </c>
      <c r="AR133" s="41" t="s">
        <v>82</v>
      </c>
      <c r="AS133" s="41" t="s">
        <v>82</v>
      </c>
      <c r="AT133" s="41" t="s">
        <v>82</v>
      </c>
      <c r="AU133" s="42" t="str">
        <f>IF('GNI per capita'!AU133&lt;=Thresholds!$C$44,"L",IF('GNI per capita'!AU133&lt;=Thresholds!$D$44,"LM",IF('GNI per capita'!AU133&lt;=Thresholds!$E$44,"UM","H")))</f>
        <v>UM</v>
      </c>
      <c r="AV133" s="42" t="str">
        <f>IF('GNI per capita'!AV133&lt;=Thresholds!$C$45,"L",IF('GNI per capita'!AV133&lt;=Thresholds!$D$45,"LM",IF('GNI per capita'!AV133&lt;=Thresholds!$E$45,"UM","H")))</f>
        <v>UM</v>
      </c>
      <c r="AW133" s="42" t="str">
        <f>IF('GNI per capita'!AW133&lt;=Thresholds!$C$46,"L",IF('GNI per capita'!AW133&lt;=Thresholds!$D$46,"LM",IF('GNI per capita'!AW133&lt;=Thresholds!$E$46,"UM","H")))</f>
        <v>UM</v>
      </c>
      <c r="AX133" s="42" t="str">
        <f>IF('GNI per capita'!AX133&lt;=Thresholds!$C$47,"L",IF('GNI per capita'!AX133&lt;=Thresholds!$D$47,"LM",IF('GNI per capita'!AX133&lt;=Thresholds!$E$47,"UM","H")))</f>
        <v>UM</v>
      </c>
      <c r="AY133" s="42" t="str">
        <f>IF('GNI per capita'!AY133&lt;=Thresholds!$C$48,"L",IF('GNI per capita'!AY133&lt;=Thresholds!$D$48,"LM",IF('GNI per capita'!AY133&lt;=Thresholds!$E$48,"UM","H")))</f>
        <v>UM</v>
      </c>
      <c r="AZ133" s="42" t="str">
        <f>IF('GNI per capita'!AZ133&lt;=Thresholds!$C$49,"L",IF('GNI per capita'!AZ133&lt;=Thresholds!$D$49,"LM",IF('GNI per capita'!AZ133&lt;=Thresholds!$E$49,"UM","H")))</f>
        <v>UM</v>
      </c>
      <c r="BA133" s="42" t="str">
        <f>IF('GNI per capita'!BA133&lt;=Thresholds!$C$50,"L",IF('GNI per capita'!BA133&lt;=Thresholds!$D$50,"LM",IF('GNI per capita'!BA133&lt;=Thresholds!$E$50,"UM","H")))</f>
        <v>UM</v>
      </c>
      <c r="BB133" s="42" t="str">
        <f>IF('GNI per capita'!BB133&lt;=Thresholds!$C$51,"L",IF('GNI per capita'!BB133&lt;=Thresholds!$D$51,"LM",IF('GNI per capita'!BB133&lt;=Thresholds!$E$51,"UM","H")))</f>
        <v>H</v>
      </c>
      <c r="BC133" s="42" t="str">
        <f>IF('GNI per capita'!BC133&lt;=Thresholds!$C$52,"L",IF('GNI per capita'!BC133&lt;=Thresholds!$D$52,"LM",IF('GNI per capita'!BC133&lt;=Thresholds!$E$52,"UM","H")))</f>
        <v>H</v>
      </c>
      <c r="BD133" s="42" t="str">
        <f>IF('GNI per capita'!BD133&lt;=Thresholds!$C$53,"L",IF('GNI per capita'!BD133&lt;=Thresholds!$D$53,"LM",IF('GNI per capita'!BD133&lt;=Thresholds!$E$53,"UM","H")))</f>
        <v>H</v>
      </c>
      <c r="BE133" s="42" t="str">
        <f>IF('GNI per capita'!BE133&lt;=Thresholds!$C$54,"L",IF('GNI per capita'!BE133&lt;=Thresholds!$D$54,"LM",IF('GNI per capita'!BE133&lt;=Thresholds!$E$54,"UM","H")))</f>
        <v>H</v>
      </c>
      <c r="BF133" s="42" t="str">
        <f>IF('GNI per capita'!BF133&lt;=Thresholds!$C$55,"L",IF('GNI per capita'!BF133&lt;=Thresholds!$D$55,"LM",IF('GNI per capita'!BF133&lt;=Thresholds!$E$55,"UM","H")))</f>
        <v>H</v>
      </c>
      <c r="BG133" s="42" t="str">
        <f>IF('GNI per capita'!BG133&lt;=Thresholds!$C$56,"L",IF('GNI per capita'!BG133&lt;=Thresholds!$D$56,"LM",IF('GNI per capita'!BG133&lt;=Thresholds!$E$56,"UM","H")))</f>
        <v>H</v>
      </c>
      <c r="BH133" s="42" t="str">
        <f>IF('GNI per capita'!BH133&lt;=Thresholds!$C$57,"L",IF('GNI per capita'!BH133&lt;=Thresholds!$D$57,"LM",IF('GNI per capita'!BH133&lt;=Thresholds!$E$57,"UM","H")))</f>
        <v>H</v>
      </c>
      <c r="BI133" s="42" t="str">
        <f>IF('GNI per capita'!BI133&lt;=Thresholds!$C$58,"L",IF('GNI per capita'!BI133&lt;=Thresholds!$D$58,"LM",IF('GNI per capita'!BI133&lt;=Thresholds!$E$58,"UM","H")))</f>
        <v>H</v>
      </c>
      <c r="BJ133" s="42" t="str">
        <f>IF('GNI per capita'!BJ133&lt;=Thresholds!$C$59,"L",IF('GNI per capita'!BJ133&lt;=Thresholds!$D$59,"LM",IF('GNI per capita'!BJ133&lt;=Thresholds!$E$59,"UM","H")))</f>
        <v>H</v>
      </c>
      <c r="BK133" s="42" t="str">
        <f>IF('GNI per capita'!BK133&lt;=Thresholds!$C$60,"L",IF('GNI per capita'!BK133&lt;=Thresholds!$D$60,"LM",IF('GNI per capita'!BK133&lt;=Thresholds!$E$60,"UM","H")))</f>
        <v>H</v>
      </c>
      <c r="BL133" s="42" t="str">
        <f>IF('GNI per capita'!BL133&lt;=Thresholds!$C$61,"L",IF('GNI per capita'!BL133&lt;=Thresholds!$D$61,"LM",IF('GNI per capita'!BL133&lt;=Thresholds!$E$61,"UM","H")))</f>
        <v>H</v>
      </c>
      <c r="BM133" s="42" t="str">
        <f>IF('GNI per capita'!BM133&lt;=Thresholds!$C$62,"L",IF('GNI per capita'!BM133&lt;=Thresholds!$D$62,"LM",IF('GNI per capita'!BM133&lt;=Thresholds!$E$62,"UM","H")))</f>
        <v>H</v>
      </c>
      <c r="BN133" s="42" t="str">
        <f>IF('GNI per capita'!BN133&lt;=Thresholds!$C$63,"L",IF('GNI per capita'!BN133&lt;=Thresholds!$D$63,"LM",IF('GNI per capita'!BN133&lt;=Thresholds!$E$63,"UM","H")))</f>
        <v>H</v>
      </c>
      <c r="BO133" s="42" t="str">
        <f>IF('GNI per capita'!BO133&lt;=Thresholds!$C$64,"L",IF('GNI per capita'!BO133&lt;=Thresholds!$D$64,"LM",IF('GNI per capita'!BO133&lt;=Thresholds!$E$64,"UM","H")))</f>
        <v>H</v>
      </c>
      <c r="BP133" s="42" t="str">
        <f>IF('GNI per capita'!BP133&lt;=Thresholds!$C$65,"L",IF('GNI per capita'!BP133&lt;=Thresholds!$D$65,"LM",IF('GNI per capita'!BP133&lt;=Thresholds!$E$65,"UM","H")))</f>
        <v>H</v>
      </c>
      <c r="BQ133" s="42" t="str">
        <f>IF('GNI per capita'!BQ133&lt;=Thresholds!$C$66,"L",IF('GNI per capita'!BQ133&lt;=Thresholds!$D$66,"LM",IF('GNI per capita'!BQ133&lt;=Thresholds!$E$66,"UM","H")))</f>
        <v>H</v>
      </c>
      <c r="BR133" s="42" t="str">
        <f>IF('GNI per capita'!BR133&lt;=Thresholds!$C$67,"L",IF('GNI per capita'!BR133&lt;=Thresholds!$D$67,"LM",IF('GNI per capita'!BR133&lt;=Thresholds!$E$67,"UM","H")))</f>
        <v>H</v>
      </c>
      <c r="BS133" s="42" t="str">
        <f>IF('GNI per capita'!BS133&lt;=Thresholds!$C$68,"L",IF('GNI per capita'!BS133&lt;=Thresholds!$D$68,"LM",IF('GNI per capita'!BS133&lt;=Thresholds!$E$68,"UM","H")))</f>
        <v>H</v>
      </c>
    </row>
    <row r="134" spans="1:71" x14ac:dyDescent="0.2">
      <c r="A134" s="2" t="s">
        <v>484</v>
      </c>
      <c r="B134" s="2" t="s">
        <v>485</v>
      </c>
      <c r="C134" s="11" t="s">
        <v>79</v>
      </c>
      <c r="G134" s="28" t="s">
        <v>204</v>
      </c>
      <c r="H134" s="41"/>
      <c r="I134" s="41"/>
      <c r="J134" s="41"/>
      <c r="K134" s="41"/>
      <c r="L134" s="41"/>
      <c r="M134" s="41"/>
      <c r="N134" s="41"/>
      <c r="O134" s="41" t="s">
        <v>79</v>
      </c>
      <c r="P134" s="41" t="s">
        <v>79</v>
      </c>
      <c r="Q134" s="41" t="s">
        <v>79</v>
      </c>
      <c r="R134" s="41" t="s">
        <v>79</v>
      </c>
      <c r="S134" s="41" t="s">
        <v>79</v>
      </c>
      <c r="T134" s="41" t="s">
        <v>79</v>
      </c>
      <c r="U134" s="41" t="s">
        <v>79</v>
      </c>
      <c r="V134" s="41" t="s">
        <v>79</v>
      </c>
      <c r="W134" s="41" t="s">
        <v>79</v>
      </c>
      <c r="X134" s="41" t="s">
        <v>79</v>
      </c>
      <c r="Y134" s="41" t="s">
        <v>79</v>
      </c>
      <c r="Z134" s="41" t="s">
        <v>79</v>
      </c>
      <c r="AA134" s="41" t="s">
        <v>79</v>
      </c>
      <c r="AB134" s="41" t="s">
        <v>79</v>
      </c>
      <c r="AC134" s="41" t="s">
        <v>79</v>
      </c>
      <c r="AD134" s="41" t="s">
        <v>79</v>
      </c>
      <c r="AE134" s="41" t="s">
        <v>79</v>
      </c>
      <c r="AF134" s="41" t="s">
        <v>79</v>
      </c>
      <c r="AG134" s="41" t="s">
        <v>79</v>
      </c>
      <c r="AH134" s="41" t="s">
        <v>79</v>
      </c>
      <c r="AI134" s="41" t="s">
        <v>79</v>
      </c>
      <c r="AJ134" s="41" t="s">
        <v>79</v>
      </c>
      <c r="AK134" s="41" t="s">
        <v>79</v>
      </c>
      <c r="AL134" s="41" t="s">
        <v>79</v>
      </c>
      <c r="AM134" s="41" t="s">
        <v>79</v>
      </c>
      <c r="AN134" s="41" t="s">
        <v>79</v>
      </c>
      <c r="AO134" s="41" t="s">
        <v>79</v>
      </c>
      <c r="AP134" s="41" t="s">
        <v>79</v>
      </c>
      <c r="AQ134" s="41" t="s">
        <v>79</v>
      </c>
      <c r="AR134" s="41" t="s">
        <v>79</v>
      </c>
      <c r="AS134" s="41" t="s">
        <v>79</v>
      </c>
      <c r="AT134" s="41" t="s">
        <v>79</v>
      </c>
      <c r="AU134" s="42" t="str">
        <f t="shared" ref="AU134:BS134" si="11">$C134</f>
        <v>H</v>
      </c>
      <c r="AV134" s="42" t="str">
        <f t="shared" si="11"/>
        <v>H</v>
      </c>
      <c r="AW134" s="42" t="str">
        <f t="shared" si="11"/>
        <v>H</v>
      </c>
      <c r="AX134" s="42" t="str">
        <f t="shared" si="11"/>
        <v>H</v>
      </c>
      <c r="AY134" s="42" t="str">
        <f t="shared" si="11"/>
        <v>H</v>
      </c>
      <c r="AZ134" s="42" t="str">
        <f t="shared" si="11"/>
        <v>H</v>
      </c>
      <c r="BA134" s="42" t="str">
        <f t="shared" si="11"/>
        <v>H</v>
      </c>
      <c r="BB134" s="42" t="str">
        <f t="shared" si="11"/>
        <v>H</v>
      </c>
      <c r="BC134" s="42" t="str">
        <f t="shared" si="11"/>
        <v>H</v>
      </c>
      <c r="BD134" s="42" t="str">
        <f t="shared" si="11"/>
        <v>H</v>
      </c>
      <c r="BE134" s="42" t="str">
        <f t="shared" si="11"/>
        <v>H</v>
      </c>
      <c r="BF134" s="42" t="str">
        <f t="shared" si="11"/>
        <v>H</v>
      </c>
      <c r="BG134" s="42" t="str">
        <f t="shared" si="11"/>
        <v>H</v>
      </c>
      <c r="BH134" s="42" t="str">
        <f t="shared" si="11"/>
        <v>H</v>
      </c>
      <c r="BI134" s="42" t="str">
        <f t="shared" si="11"/>
        <v>H</v>
      </c>
      <c r="BJ134" s="42" t="str">
        <f t="shared" si="11"/>
        <v>H</v>
      </c>
      <c r="BK134" s="42" t="str">
        <f t="shared" si="11"/>
        <v>H</v>
      </c>
      <c r="BL134" s="42" t="str">
        <f t="shared" si="11"/>
        <v>H</v>
      </c>
      <c r="BM134" s="42" t="str">
        <f t="shared" si="11"/>
        <v>H</v>
      </c>
      <c r="BN134" s="42" t="str">
        <f t="shared" si="11"/>
        <v>H</v>
      </c>
      <c r="BO134" s="42" t="str">
        <f t="shared" si="11"/>
        <v>H</v>
      </c>
      <c r="BP134" s="42" t="str">
        <f t="shared" si="11"/>
        <v>H</v>
      </c>
      <c r="BQ134" s="42" t="str">
        <f t="shared" si="11"/>
        <v>H</v>
      </c>
      <c r="BR134" s="42" t="str">
        <f t="shared" si="11"/>
        <v>H</v>
      </c>
      <c r="BS134" s="42" t="str">
        <f t="shared" si="11"/>
        <v>H</v>
      </c>
    </row>
    <row r="135" spans="1:71" x14ac:dyDescent="0.2">
      <c r="A135" s="2" t="s">
        <v>486</v>
      </c>
      <c r="B135" s="2" t="s">
        <v>487</v>
      </c>
      <c r="C135" s="11" t="s">
        <v>82</v>
      </c>
      <c r="G135" s="2" t="s">
        <v>162</v>
      </c>
      <c r="H135" s="41"/>
      <c r="I135" s="41"/>
      <c r="J135" s="41" t="s">
        <v>210</v>
      </c>
      <c r="K135" s="41" t="s">
        <v>210</v>
      </c>
      <c r="L135" s="41" t="s">
        <v>210</v>
      </c>
      <c r="M135" s="41" t="s">
        <v>210</v>
      </c>
      <c r="N135" s="41" t="s">
        <v>75</v>
      </c>
      <c r="O135" s="41" t="s">
        <v>75</v>
      </c>
      <c r="P135" s="41" t="s">
        <v>75</v>
      </c>
      <c r="Q135" s="41" t="s">
        <v>75</v>
      </c>
      <c r="R135" s="41" t="s">
        <v>75</v>
      </c>
      <c r="S135" s="41" t="s">
        <v>75</v>
      </c>
      <c r="T135" s="41" t="s">
        <v>75</v>
      </c>
      <c r="U135" s="41" t="s">
        <v>75</v>
      </c>
      <c r="V135" s="41" t="s">
        <v>75</v>
      </c>
      <c r="W135" s="41" t="s">
        <v>75</v>
      </c>
      <c r="X135" s="41" t="s">
        <v>75</v>
      </c>
      <c r="Y135" s="41" t="s">
        <v>75</v>
      </c>
      <c r="Z135" s="41" t="s">
        <v>75</v>
      </c>
      <c r="AA135" s="41" t="s">
        <v>75</v>
      </c>
      <c r="AB135" s="41" t="s">
        <v>210</v>
      </c>
      <c r="AC135" s="41" t="s">
        <v>210</v>
      </c>
      <c r="AD135" s="41" t="s">
        <v>210</v>
      </c>
      <c r="AE135" s="41" t="s">
        <v>210</v>
      </c>
      <c r="AF135" s="41" t="s">
        <v>210</v>
      </c>
      <c r="AG135" s="41" t="s">
        <v>210</v>
      </c>
      <c r="AH135" s="41" t="s">
        <v>210</v>
      </c>
      <c r="AI135" s="41" t="s">
        <v>82</v>
      </c>
      <c r="AJ135" s="41" t="s">
        <v>210</v>
      </c>
      <c r="AK135" s="41" t="s">
        <v>210</v>
      </c>
      <c r="AL135" s="41" t="s">
        <v>210</v>
      </c>
      <c r="AM135" s="41" t="s">
        <v>210</v>
      </c>
      <c r="AN135" s="41" t="s">
        <v>210</v>
      </c>
      <c r="AO135" s="41" t="s">
        <v>210</v>
      </c>
      <c r="AP135" s="41" t="s">
        <v>210</v>
      </c>
      <c r="AQ135" s="41" t="s">
        <v>210</v>
      </c>
      <c r="AR135" s="41" t="s">
        <v>82</v>
      </c>
      <c r="AS135" s="41" t="s">
        <v>82</v>
      </c>
      <c r="AT135" s="41" t="s">
        <v>82</v>
      </c>
      <c r="AU135" s="42" t="str">
        <f>IF('GNI per capita'!AU135&lt;=Thresholds!$C$44,"L",IF('GNI per capita'!AU135&lt;=Thresholds!$D$44,"LM",IF('GNI per capita'!AU135&lt;=Thresholds!$E$44,"UM","H")))</f>
        <v>UM</v>
      </c>
      <c r="AV135" s="42" t="str">
        <f>IF('GNI per capita'!AV135&lt;=Thresholds!$C$45,"L",IF('GNI per capita'!AV135&lt;=Thresholds!$D$45,"LM",IF('GNI per capita'!AV135&lt;=Thresholds!$E$45,"UM","H")))</f>
        <v>UM</v>
      </c>
      <c r="AW135" s="42" t="str">
        <f>IF('GNI per capita'!AW135&lt;=Thresholds!$C$46,"L",IF('GNI per capita'!AW135&lt;=Thresholds!$D$46,"LM",IF('GNI per capita'!AW135&lt;=Thresholds!$E$46,"UM","H")))</f>
        <v>UM</v>
      </c>
      <c r="AX135" s="42" t="str">
        <f>IF('GNI per capita'!AX135&lt;=Thresholds!$C$47,"L",IF('GNI per capita'!AX135&lt;=Thresholds!$D$47,"LM",IF('GNI per capita'!AX135&lt;=Thresholds!$E$47,"UM","H")))</f>
        <v>UM</v>
      </c>
      <c r="AY135" s="42" t="str">
        <f>IF('GNI per capita'!AY135&lt;=Thresholds!$C$48,"L",IF('GNI per capita'!AY135&lt;=Thresholds!$D$48,"LM",IF('GNI per capita'!AY135&lt;=Thresholds!$E$48,"UM","H")))</f>
        <v>UM</v>
      </c>
      <c r="AZ135" s="42" t="str">
        <f>IF('GNI per capita'!AZ135&lt;=Thresholds!$C$49,"L",IF('GNI per capita'!AZ135&lt;=Thresholds!$D$49,"LM",IF('GNI per capita'!AZ135&lt;=Thresholds!$E$49,"UM","H")))</f>
        <v>UM</v>
      </c>
      <c r="BA135" s="42" t="str">
        <f>IF('GNI per capita'!BA135&lt;=Thresholds!$C$50,"L",IF('GNI per capita'!BA135&lt;=Thresholds!$D$50,"LM",IF('GNI per capita'!BA135&lt;=Thresholds!$E$50,"UM","H")))</f>
        <v>UM</v>
      </c>
      <c r="BB135" s="42" t="str">
        <f>IF('GNI per capita'!BB135&lt;=Thresholds!$C$51,"L",IF('GNI per capita'!BB135&lt;=Thresholds!$D$51,"LM",IF('GNI per capita'!BB135&lt;=Thresholds!$E$51,"UM","H")))</f>
        <v>UM</v>
      </c>
      <c r="BC135" s="42" t="str">
        <f>IF('GNI per capita'!BC135&lt;=Thresholds!$C$52,"L",IF('GNI per capita'!BC135&lt;=Thresholds!$D$52,"LM",IF('GNI per capita'!BC135&lt;=Thresholds!$E$52,"UM","H")))</f>
        <v>UM</v>
      </c>
      <c r="BD135" s="42" t="str">
        <f>IF('GNI per capita'!BD135&lt;=Thresholds!$C$53,"L",IF('GNI per capita'!BD135&lt;=Thresholds!$D$53,"LM",IF('GNI per capita'!BD135&lt;=Thresholds!$E$53,"UM","H")))</f>
        <v>UM</v>
      </c>
      <c r="BE135" s="42" t="str">
        <f>IF('GNI per capita'!BE135&lt;=Thresholds!$C$54,"L",IF('GNI per capita'!BE135&lt;=Thresholds!$D$54,"LM",IF('GNI per capita'!BE135&lt;=Thresholds!$E$54,"UM","H")))</f>
        <v>UM</v>
      </c>
      <c r="BF135" s="42" t="str">
        <f>IF('GNI per capita'!BF135&lt;=Thresholds!$C$55,"L",IF('GNI per capita'!BF135&lt;=Thresholds!$D$55,"LM",IF('GNI per capita'!BF135&lt;=Thresholds!$E$55,"UM","H")))</f>
        <v>UM</v>
      </c>
      <c r="BG135" s="42" t="str">
        <f>IF('GNI per capita'!BG135&lt;=Thresholds!$C$56,"L",IF('GNI per capita'!BG135&lt;=Thresholds!$D$56,"LM",IF('GNI per capita'!BG135&lt;=Thresholds!$E$56,"UM","H")))</f>
        <v>UM</v>
      </c>
      <c r="BH135" s="42" t="str">
        <f>IF('GNI per capita'!BH135&lt;=Thresholds!$C$57,"L",IF('GNI per capita'!BH135&lt;=Thresholds!$D$57,"LM",IF('GNI per capita'!BH135&lt;=Thresholds!$E$57,"UM","H")))</f>
        <v>UM</v>
      </c>
      <c r="BI135" s="42" t="str">
        <f>IF('GNI per capita'!BI135&lt;=Thresholds!$C$58,"L",IF('GNI per capita'!BI135&lt;=Thresholds!$D$58,"LM",IF('GNI per capita'!BI135&lt;=Thresholds!$E$58,"UM","H")))</f>
        <v>H</v>
      </c>
      <c r="BJ135" s="42" t="str">
        <f>IF('GNI per capita'!BJ135&lt;=Thresholds!$C$59,"L",IF('GNI per capita'!BJ135&lt;=Thresholds!$D$59,"LM",IF('GNI per capita'!BJ135&lt;=Thresholds!$E$59,"UM","H")))</f>
        <v>H</v>
      </c>
      <c r="BK135" s="42" t="str">
        <f>IF('GNI per capita'!BK135&lt;=Thresholds!$C$60,"L",IF('GNI per capita'!BK135&lt;=Thresholds!$D$60,"LM",IF('GNI per capita'!BK135&lt;=Thresholds!$E$60,"UM","H")))</f>
        <v>H</v>
      </c>
      <c r="BL135" s="42" t="str">
        <f>IF('GNI per capita'!BL135&lt;=Thresholds!$C$61,"L",IF('GNI per capita'!BL135&lt;=Thresholds!$D$61,"LM",IF('GNI per capita'!BL135&lt;=Thresholds!$E$61,"UM","H")))</f>
        <v>H</v>
      </c>
      <c r="BM135" s="42" t="str">
        <f>IF('GNI per capita'!BM135&lt;=Thresholds!$C$62,"L",IF('GNI per capita'!BM135&lt;=Thresholds!$D$62,"LM",IF('GNI per capita'!BM135&lt;=Thresholds!$E$62,"UM","H")))</f>
        <v>H</v>
      </c>
      <c r="BN135" s="42" t="str">
        <f>IF('GNI per capita'!BN135&lt;=Thresholds!$C$63,"L",IF('GNI per capita'!BN135&lt;=Thresholds!$D$63,"LM",IF('GNI per capita'!BN135&lt;=Thresholds!$E$63,"UM","H")))</f>
        <v>H</v>
      </c>
      <c r="BO135" s="42" t="str">
        <f>IF('GNI per capita'!BO135&lt;=Thresholds!$C$64,"L",IF('GNI per capita'!BO135&lt;=Thresholds!$D$64,"LM",IF('GNI per capita'!BO135&lt;=Thresholds!$E$64,"UM","H")))</f>
        <v>H</v>
      </c>
      <c r="BP135" s="42" t="str">
        <f>IF('GNI per capita'!BP135&lt;=Thresholds!$C$65,"L",IF('GNI per capita'!BP135&lt;=Thresholds!$D$65,"LM",IF('GNI per capita'!BP135&lt;=Thresholds!$E$65,"UM","H")))</f>
        <v>H</v>
      </c>
      <c r="BQ135" s="42" t="str">
        <f>IF('GNI per capita'!BQ135&lt;=Thresholds!$C$66,"L",IF('GNI per capita'!BQ135&lt;=Thresholds!$D$66,"LM",IF('GNI per capita'!BQ135&lt;=Thresholds!$E$66,"UM","H")))</f>
        <v>H</v>
      </c>
      <c r="BR135" s="42" t="str">
        <f>IF('GNI per capita'!BR135&lt;=Thresholds!$C$67,"L",IF('GNI per capita'!BR135&lt;=Thresholds!$D$67,"LM",IF('GNI per capita'!BR135&lt;=Thresholds!$E$67,"UM","H")))</f>
        <v>H</v>
      </c>
      <c r="BS135" s="42" t="str">
        <f>IF('GNI per capita'!BS135&lt;=Thresholds!$C$68,"L",IF('GNI per capita'!BS135&lt;=Thresholds!$D$68,"LM",IF('GNI per capita'!BS135&lt;=Thresholds!$E$68,"UM","H")))</f>
        <v>H</v>
      </c>
    </row>
    <row r="136" spans="1:71" x14ac:dyDescent="0.2">
      <c r="A136" s="2" t="s">
        <v>488</v>
      </c>
      <c r="B136" s="2" t="s">
        <v>489</v>
      </c>
      <c r="C136" s="11" t="s">
        <v>82</v>
      </c>
      <c r="G136" s="2" t="s">
        <v>490</v>
      </c>
      <c r="H136" s="41"/>
      <c r="I136" s="41"/>
      <c r="J136" s="41"/>
      <c r="K136" s="41"/>
      <c r="L136" s="41"/>
      <c r="M136" s="41"/>
      <c r="N136" s="41"/>
      <c r="O136" s="41"/>
      <c r="P136" s="41"/>
      <c r="Q136" s="41"/>
      <c r="R136" s="41"/>
      <c r="S136" s="41"/>
      <c r="T136" s="41"/>
      <c r="U136" s="41"/>
      <c r="V136" s="41"/>
      <c r="W136" s="41"/>
      <c r="X136" s="41"/>
      <c r="Y136" s="41"/>
      <c r="Z136" s="41"/>
      <c r="AA136" s="41" t="s">
        <v>82</v>
      </c>
      <c r="AB136" s="41" t="s">
        <v>82</v>
      </c>
      <c r="AC136" s="41" t="s">
        <v>82</v>
      </c>
      <c r="AD136" s="41" t="s">
        <v>82</v>
      </c>
      <c r="AE136" s="41" t="s">
        <v>82</v>
      </c>
      <c r="AF136" s="41" t="s">
        <v>82</v>
      </c>
      <c r="AG136" s="41" t="s">
        <v>82</v>
      </c>
      <c r="AH136" s="41" t="s">
        <v>82</v>
      </c>
      <c r="AI136" s="41" t="s">
        <v>82</v>
      </c>
      <c r="AJ136" s="41" t="s">
        <v>82</v>
      </c>
      <c r="AK136" s="41" t="s">
        <v>82</v>
      </c>
      <c r="AL136" s="41" t="s">
        <v>82</v>
      </c>
      <c r="AM136" s="41" t="s">
        <v>82</v>
      </c>
      <c r="AN136" s="41" t="s">
        <v>82</v>
      </c>
      <c r="AO136" s="41" t="s">
        <v>82</v>
      </c>
      <c r="AP136" s="41" t="s">
        <v>82</v>
      </c>
      <c r="AQ136" s="41" t="s">
        <v>82</v>
      </c>
      <c r="AR136" s="41" t="s">
        <v>82</v>
      </c>
      <c r="AS136" s="41" t="s">
        <v>82</v>
      </c>
      <c r="AT136" s="41" t="s">
        <v>82</v>
      </c>
      <c r="AU136" s="42" t="str">
        <f>IF('GNI per capita'!AU136&lt;=Thresholds!$C$44,"L",IF('GNI per capita'!AU136&lt;=Thresholds!$D$44,"LM",IF('GNI per capita'!AU136&lt;=Thresholds!$E$44,"UM","H")))</f>
        <v>H</v>
      </c>
      <c r="AV136" s="42" t="str">
        <f>IF('GNI per capita'!AV136&lt;=Thresholds!$C$45,"L",IF('GNI per capita'!AV136&lt;=Thresholds!$D$45,"LM",IF('GNI per capita'!AV136&lt;=Thresholds!$E$45,"UM","H")))</f>
        <v>H</v>
      </c>
      <c r="AW136" s="42" t="str">
        <f>IF('GNI per capita'!AW136&lt;=Thresholds!$C$46,"L",IF('GNI per capita'!AW136&lt;=Thresholds!$D$46,"LM",IF('GNI per capita'!AW136&lt;=Thresholds!$E$46,"UM","H")))</f>
        <v>H</v>
      </c>
      <c r="AX136" s="42" t="str">
        <f>IF('GNI per capita'!AX136&lt;=Thresholds!$C$47,"L",IF('GNI per capita'!AX136&lt;=Thresholds!$D$47,"LM",IF('GNI per capita'!AX136&lt;=Thresholds!$E$47,"UM","H")))</f>
        <v>H</v>
      </c>
      <c r="AY136" s="42" t="str">
        <f>IF('GNI per capita'!AY136&lt;=Thresholds!$C$48,"L",IF('GNI per capita'!AY136&lt;=Thresholds!$D$48,"LM",IF('GNI per capita'!AY136&lt;=Thresholds!$E$48,"UM","H")))</f>
        <v>H</v>
      </c>
      <c r="AZ136" s="42" t="str">
        <f>IF('GNI per capita'!AZ136&lt;=Thresholds!$C$49,"L",IF('GNI per capita'!AZ136&lt;=Thresholds!$D$49,"LM",IF('GNI per capita'!AZ136&lt;=Thresholds!$E$49,"UM","H")))</f>
        <v>H</v>
      </c>
      <c r="BA136" s="42" t="str">
        <f>IF('GNI per capita'!BA136&lt;=Thresholds!$C$50,"L",IF('GNI per capita'!BA136&lt;=Thresholds!$D$50,"LM",IF('GNI per capita'!BA136&lt;=Thresholds!$E$50,"UM","H")))</f>
        <v>H</v>
      </c>
      <c r="BB136" s="42" t="str">
        <f>IF('GNI per capita'!BB136&lt;=Thresholds!$C$51,"L",IF('GNI per capita'!BB136&lt;=Thresholds!$D$51,"LM",IF('GNI per capita'!BB136&lt;=Thresholds!$E$51,"UM","H")))</f>
        <v>H</v>
      </c>
      <c r="BC136" s="42" t="str">
        <f>IF('GNI per capita'!BC136&lt;=Thresholds!$C$52,"L",IF('GNI per capita'!BC136&lt;=Thresholds!$D$52,"LM",IF('GNI per capita'!BC136&lt;=Thresholds!$E$52,"UM","H")))</f>
        <v>H</v>
      </c>
      <c r="BD136" s="42" t="str">
        <f>IF('GNI per capita'!BD136&lt;=Thresholds!$C$53,"L",IF('GNI per capita'!BD136&lt;=Thresholds!$D$53,"LM",IF('GNI per capita'!BD136&lt;=Thresholds!$E$53,"UM","H")))</f>
        <v>H</v>
      </c>
      <c r="BE136" s="42" t="str">
        <f>IF('GNI per capita'!BE136&lt;=Thresholds!$C$54,"L",IF('GNI per capita'!BE136&lt;=Thresholds!$D$54,"LM",IF('GNI per capita'!BE136&lt;=Thresholds!$E$54,"UM","H")))</f>
        <v>H</v>
      </c>
      <c r="BF136" s="42" t="str">
        <f>IF('GNI per capita'!BF136&lt;=Thresholds!$C$55,"L",IF('GNI per capita'!BF136&lt;=Thresholds!$D$55,"LM",IF('GNI per capita'!BF136&lt;=Thresholds!$E$55,"UM","H")))</f>
        <v>H</v>
      </c>
      <c r="BG136" s="42" t="str">
        <f>IF('GNI per capita'!BG136&lt;=Thresholds!$C$56,"L",IF('GNI per capita'!BG136&lt;=Thresholds!$D$56,"LM",IF('GNI per capita'!BG136&lt;=Thresholds!$E$56,"UM","H")))</f>
        <v>H</v>
      </c>
      <c r="BH136" s="42" t="str">
        <f>IF('GNI per capita'!BH136&lt;=Thresholds!$C$57,"L",IF('GNI per capita'!BH136&lt;=Thresholds!$D$57,"LM",IF('GNI per capita'!BH136&lt;=Thresholds!$E$57,"UM","H")))</f>
        <v>H</v>
      </c>
      <c r="BI136" s="42" t="str">
        <f>IF('GNI per capita'!BI136&lt;=Thresholds!$C$58,"L",IF('GNI per capita'!BI136&lt;=Thresholds!$D$58,"LM",IF('GNI per capita'!BI136&lt;=Thresholds!$E$58,"UM","H")))</f>
        <v>H</v>
      </c>
      <c r="BJ136" s="42" t="str">
        <f>IF('GNI per capita'!BJ136&lt;=Thresholds!$C$59,"L",IF('GNI per capita'!BJ136&lt;=Thresholds!$D$59,"LM",IF('GNI per capita'!BJ136&lt;=Thresholds!$E$59,"UM","H")))</f>
        <v>H</v>
      </c>
      <c r="BK136" s="42" t="str">
        <f>IF('GNI per capita'!BK136&lt;=Thresholds!$C$60,"L",IF('GNI per capita'!BK136&lt;=Thresholds!$D$60,"LM",IF('GNI per capita'!BK136&lt;=Thresholds!$E$60,"UM","H")))</f>
        <v>H</v>
      </c>
      <c r="BL136" s="42" t="str">
        <f>IF('GNI per capita'!BL136&lt;=Thresholds!$C$61,"L",IF('GNI per capita'!BL136&lt;=Thresholds!$D$61,"LM",IF('GNI per capita'!BL136&lt;=Thresholds!$E$61,"UM","H")))</f>
        <v>H</v>
      </c>
      <c r="BM136" s="42" t="str">
        <f>IF('GNI per capita'!BM136&lt;=Thresholds!$C$62,"L",IF('GNI per capita'!BM136&lt;=Thresholds!$D$62,"LM",IF('GNI per capita'!BM136&lt;=Thresholds!$E$62,"UM","H")))</f>
        <v>H</v>
      </c>
      <c r="BN136" s="42" t="str">
        <f>IF('GNI per capita'!BN136&lt;=Thresholds!$C$63,"L",IF('GNI per capita'!BN136&lt;=Thresholds!$D$63,"LM",IF('GNI per capita'!BN136&lt;=Thresholds!$E$63,"UM","H")))</f>
        <v>H</v>
      </c>
      <c r="BO136" s="42" t="str">
        <f>IF('GNI per capita'!BO136&lt;=Thresholds!$C$64,"L",IF('GNI per capita'!BO136&lt;=Thresholds!$D$64,"LM",IF('GNI per capita'!BO136&lt;=Thresholds!$E$64,"UM","H")))</f>
        <v>H</v>
      </c>
      <c r="BP136" s="42" t="str">
        <f>IF('GNI per capita'!BP136&lt;=Thresholds!$C$65,"L",IF('GNI per capita'!BP136&lt;=Thresholds!$D$65,"LM",IF('GNI per capita'!BP136&lt;=Thresholds!$E$65,"UM","H")))</f>
        <v>H</v>
      </c>
      <c r="BQ136" s="42" t="str">
        <f>IF('GNI per capita'!BQ136&lt;=Thresholds!$C$66,"L",IF('GNI per capita'!BQ136&lt;=Thresholds!$D$66,"LM",IF('GNI per capita'!BQ136&lt;=Thresholds!$E$66,"UM","H")))</f>
        <v>H</v>
      </c>
      <c r="BR136" s="42" t="str">
        <f>IF('GNI per capita'!BR136&lt;=Thresholds!$C$67,"L",IF('GNI per capita'!BR136&lt;=Thresholds!$D$67,"LM",IF('GNI per capita'!BR136&lt;=Thresholds!$E$67,"UM","H")))</f>
        <v>H</v>
      </c>
      <c r="BS136" s="42" t="str">
        <f>IF('GNI per capita'!BS136&lt;=Thresholds!$C$68,"L",IF('GNI per capita'!BS136&lt;=Thresholds!$D$68,"LM",IF('GNI per capita'!BS136&lt;=Thresholds!$E$68,"UM","H")))</f>
        <v>H</v>
      </c>
    </row>
    <row r="137" spans="1:71" x14ac:dyDescent="0.2">
      <c r="A137" s="2" t="s">
        <v>491</v>
      </c>
      <c r="B137" s="2" t="s">
        <v>492</v>
      </c>
      <c r="C137" s="11" t="s">
        <v>210</v>
      </c>
      <c r="G137" s="2" t="s">
        <v>162</v>
      </c>
      <c r="H137" s="41" t="s">
        <v>210</v>
      </c>
      <c r="I137" s="41" t="s">
        <v>210</v>
      </c>
      <c r="J137" s="41" t="s">
        <v>210</v>
      </c>
      <c r="K137" s="41" t="s">
        <v>210</v>
      </c>
      <c r="L137" s="41" t="s">
        <v>210</v>
      </c>
      <c r="M137" s="41" t="s">
        <v>210</v>
      </c>
      <c r="N137" s="41" t="s">
        <v>210</v>
      </c>
      <c r="O137" s="41" t="s">
        <v>210</v>
      </c>
      <c r="P137" s="41" t="s">
        <v>210</v>
      </c>
      <c r="Q137" s="41" t="s">
        <v>210</v>
      </c>
      <c r="R137" s="41" t="s">
        <v>210</v>
      </c>
      <c r="S137" s="41" t="s">
        <v>210</v>
      </c>
      <c r="T137" s="41" t="s">
        <v>210</v>
      </c>
      <c r="U137" s="41" t="s">
        <v>210</v>
      </c>
      <c r="V137" s="41" t="s">
        <v>210</v>
      </c>
      <c r="W137" s="41" t="s">
        <v>210</v>
      </c>
      <c r="X137" s="41" t="s">
        <v>210</v>
      </c>
      <c r="Y137" s="41" t="s">
        <v>210</v>
      </c>
      <c r="Z137" s="41" t="s">
        <v>210</v>
      </c>
      <c r="AA137" s="41" t="s">
        <v>210</v>
      </c>
      <c r="AB137" s="41" t="s">
        <v>210</v>
      </c>
      <c r="AC137" s="41" t="s">
        <v>210</v>
      </c>
      <c r="AD137" s="41" t="s">
        <v>210</v>
      </c>
      <c r="AE137" s="41" t="s">
        <v>210</v>
      </c>
      <c r="AF137" s="41" t="s">
        <v>210</v>
      </c>
      <c r="AG137" s="41" t="s">
        <v>210</v>
      </c>
      <c r="AH137" s="41" t="s">
        <v>210</v>
      </c>
      <c r="AI137" s="41" t="s">
        <v>210</v>
      </c>
      <c r="AJ137" s="41" t="s">
        <v>210</v>
      </c>
      <c r="AK137" s="41" t="s">
        <v>210</v>
      </c>
      <c r="AL137" s="41" t="s">
        <v>210</v>
      </c>
      <c r="AM137" s="41" t="s">
        <v>210</v>
      </c>
      <c r="AN137" s="41" t="s">
        <v>210</v>
      </c>
      <c r="AO137" s="41" t="s">
        <v>210</v>
      </c>
      <c r="AP137" s="41" t="s">
        <v>210</v>
      </c>
      <c r="AQ137" s="41" t="s">
        <v>210</v>
      </c>
      <c r="AR137" s="41" t="s">
        <v>210</v>
      </c>
      <c r="AS137" s="41" t="s">
        <v>210</v>
      </c>
      <c r="AT137" s="41" t="s">
        <v>210</v>
      </c>
      <c r="AU137" s="42" t="str">
        <f>IF('GNI per capita'!AU137&lt;=Thresholds!$C$44,"L",IF('GNI per capita'!AU137&lt;=Thresholds!$D$44,"LM",IF('GNI per capita'!AU137&lt;=Thresholds!$E$44,"UM","H")))</f>
        <v>LM</v>
      </c>
      <c r="AV137" s="42" t="str">
        <f>IF('GNI per capita'!AV137&lt;=Thresholds!$C$45,"L",IF('GNI per capita'!AV137&lt;=Thresholds!$D$45,"LM",IF('GNI per capita'!AV137&lt;=Thresholds!$E$45,"UM","H")))</f>
        <v>LM</v>
      </c>
      <c r="AW137" s="42" t="str">
        <f>IF('GNI per capita'!AW137&lt;=Thresholds!$C$46,"L",IF('GNI per capita'!AW137&lt;=Thresholds!$D$46,"LM",IF('GNI per capita'!AW137&lt;=Thresholds!$E$46,"UM","H")))</f>
        <v>LM</v>
      </c>
      <c r="AX137" s="42" t="str">
        <f>IF('GNI per capita'!AX137&lt;=Thresholds!$C$47,"L",IF('GNI per capita'!AX137&lt;=Thresholds!$D$47,"LM",IF('GNI per capita'!AX137&lt;=Thresholds!$E$47,"UM","H")))</f>
        <v>LM</v>
      </c>
      <c r="AY137" s="42" t="str">
        <f>IF('GNI per capita'!AY137&lt;=Thresholds!$C$48,"L",IF('GNI per capita'!AY137&lt;=Thresholds!$D$48,"LM",IF('GNI per capita'!AY137&lt;=Thresholds!$E$48,"UM","H")))</f>
        <v>LM</v>
      </c>
      <c r="AZ137" s="42" t="str">
        <f>IF('GNI per capita'!AZ137&lt;=Thresholds!$C$49,"L",IF('GNI per capita'!AZ137&lt;=Thresholds!$D$49,"LM",IF('GNI per capita'!AZ137&lt;=Thresholds!$E$49,"UM","H")))</f>
        <v>LM</v>
      </c>
      <c r="BA137" s="42" t="str">
        <f>IF('GNI per capita'!BA137&lt;=Thresholds!$C$50,"L",IF('GNI per capita'!BA137&lt;=Thresholds!$D$50,"LM",IF('GNI per capita'!BA137&lt;=Thresholds!$E$50,"UM","H")))</f>
        <v>LM</v>
      </c>
      <c r="BB137" s="42" t="str">
        <f>IF('GNI per capita'!BB137&lt;=Thresholds!$C$51,"L",IF('GNI per capita'!BB137&lt;=Thresholds!$D$51,"LM",IF('GNI per capita'!BB137&lt;=Thresholds!$E$51,"UM","H")))</f>
        <v>UM</v>
      </c>
      <c r="BC137" s="42" t="str">
        <f>IF('GNI per capita'!BC137&lt;=Thresholds!$C$52,"L",IF('GNI per capita'!BC137&lt;=Thresholds!$D$52,"LM",IF('GNI per capita'!BC137&lt;=Thresholds!$E$52,"UM","H")))</f>
        <v>UM</v>
      </c>
      <c r="BD137" s="42" t="str">
        <f>IF('GNI per capita'!BD137&lt;=Thresholds!$C$53,"L",IF('GNI per capita'!BD137&lt;=Thresholds!$D$53,"LM",IF('GNI per capita'!BD137&lt;=Thresholds!$E$53,"UM","H")))</f>
        <v>UM</v>
      </c>
      <c r="BE137" s="42" t="str">
        <f>IF('GNI per capita'!BE137&lt;=Thresholds!$C$54,"L",IF('GNI per capita'!BE137&lt;=Thresholds!$D$54,"LM",IF('GNI per capita'!BE137&lt;=Thresholds!$E$54,"UM","H")))</f>
        <v>UM</v>
      </c>
      <c r="BF137" s="42" t="str">
        <f>IF('GNI per capita'!BF137&lt;=Thresholds!$C$55,"L",IF('GNI per capita'!BF137&lt;=Thresholds!$D$55,"LM",IF('GNI per capita'!BF137&lt;=Thresholds!$E$55,"UM","H")))</f>
        <v>UM</v>
      </c>
      <c r="BG137" s="42" t="str">
        <f>IF('GNI per capita'!BG137&lt;=Thresholds!$C$56,"L",IF('GNI per capita'!BG137&lt;=Thresholds!$D$56,"LM",IF('GNI per capita'!BG137&lt;=Thresholds!$E$56,"UM","H")))</f>
        <v>UM</v>
      </c>
      <c r="BH137" s="42" t="str">
        <f>IF('GNI per capita'!BH137&lt;=Thresholds!$C$57,"L",IF('GNI per capita'!BH137&lt;=Thresholds!$D$57,"LM",IF('GNI per capita'!BH137&lt;=Thresholds!$E$57,"UM","H")))</f>
        <v>UM</v>
      </c>
      <c r="BI137" s="42" t="str">
        <f>IF('GNI per capita'!BI137&lt;=Thresholds!$C$58,"L",IF('GNI per capita'!BI137&lt;=Thresholds!$D$58,"LM",IF('GNI per capita'!BI137&lt;=Thresholds!$E$58,"UM","H")))</f>
        <v>UM</v>
      </c>
      <c r="BJ137" s="42" t="str">
        <f>IF('GNI per capita'!BJ137&lt;=Thresholds!$C$59,"L",IF('GNI per capita'!BJ137&lt;=Thresholds!$D$59,"LM",IF('GNI per capita'!BJ137&lt;=Thresholds!$E$59,"UM","H")))</f>
        <v>UM</v>
      </c>
      <c r="BK137" s="42" t="str">
        <f>IF('GNI per capita'!BK137&lt;=Thresholds!$C$60,"L",IF('GNI per capita'!BK137&lt;=Thresholds!$D$60,"LM",IF('GNI per capita'!BK137&lt;=Thresholds!$E$60,"UM","H")))</f>
        <v>UM</v>
      </c>
      <c r="BL137" s="42" t="str">
        <f>IF('GNI per capita'!BL137&lt;=Thresholds!$C$61,"L",IF('GNI per capita'!BL137&lt;=Thresholds!$D$61,"LM",IF('GNI per capita'!BL137&lt;=Thresholds!$E$61,"UM","H")))</f>
        <v>UM</v>
      </c>
      <c r="BM137" s="42" t="str">
        <f>IF('GNI per capita'!BM137&lt;=Thresholds!$C$62,"L",IF('GNI per capita'!BM137&lt;=Thresholds!$D$62,"LM",IF('GNI per capita'!BM137&lt;=Thresholds!$E$62,"UM","H")))</f>
        <v>UM</v>
      </c>
      <c r="BN137" s="42" t="str">
        <f>IF('GNI per capita'!BN137&lt;=Thresholds!$C$63,"L",IF('GNI per capita'!BN137&lt;=Thresholds!$D$63,"LM",IF('GNI per capita'!BN137&lt;=Thresholds!$E$63,"UM","H")))</f>
        <v>UM</v>
      </c>
      <c r="BO137" s="42" t="str">
        <f>IF('GNI per capita'!BO137&lt;=Thresholds!$C$64,"L",IF('GNI per capita'!BO137&lt;=Thresholds!$D$64,"LM",IF('GNI per capita'!BO137&lt;=Thresholds!$E$64,"UM","H")))</f>
        <v>UM</v>
      </c>
      <c r="BP137" s="42" t="str">
        <f>IF('GNI per capita'!BP137&lt;=Thresholds!$C$65,"L",IF('GNI per capita'!BP137&lt;=Thresholds!$D$65,"LM",IF('GNI per capita'!BP137&lt;=Thresholds!$E$65,"UM","H")))</f>
        <v>UM</v>
      </c>
      <c r="BQ137" s="42" t="str">
        <f>IF('GNI per capita'!BQ137&lt;=Thresholds!$C$66,"L",IF('GNI per capita'!BQ137&lt;=Thresholds!$D$66,"LM",IF('GNI per capita'!BQ137&lt;=Thresholds!$E$66,"UM","H")))</f>
        <v>UM</v>
      </c>
      <c r="BR137" s="42" t="str">
        <f>IF('GNI per capita'!BR137&lt;=Thresholds!$C$67,"L",IF('GNI per capita'!BR137&lt;=Thresholds!$D$67,"LM",IF('GNI per capita'!BR137&lt;=Thresholds!$E$67,"UM","H")))</f>
        <v>UM</v>
      </c>
      <c r="BS137" s="42" t="str">
        <f>IF('GNI per capita'!BS137&lt;=Thresholds!$C$68,"L",IF('GNI per capita'!BS137&lt;=Thresholds!$D$68,"LM",IF('GNI per capita'!BS137&lt;=Thresholds!$E$68,"UM","H")))</f>
        <v>UM</v>
      </c>
    </row>
    <row r="138" spans="1:71" x14ac:dyDescent="0.2">
      <c r="A138" s="2" t="s">
        <v>493</v>
      </c>
      <c r="B138" s="2" t="s">
        <v>494</v>
      </c>
      <c r="C138" s="11" t="s">
        <v>75</v>
      </c>
      <c r="G138" s="2" t="s">
        <v>162</v>
      </c>
      <c r="H138" s="41" t="s">
        <v>75</v>
      </c>
      <c r="I138" s="41" t="s">
        <v>75</v>
      </c>
      <c r="J138" s="41" t="s">
        <v>75</v>
      </c>
      <c r="K138" s="41" t="s">
        <v>75</v>
      </c>
      <c r="L138" s="41" t="s">
        <v>75</v>
      </c>
      <c r="M138" s="41" t="s">
        <v>75</v>
      </c>
      <c r="N138" s="41" t="s">
        <v>75</v>
      </c>
      <c r="O138" s="41" t="s">
        <v>75</v>
      </c>
      <c r="P138" s="41" t="s">
        <v>75</v>
      </c>
      <c r="Q138" s="41" t="s">
        <v>75</v>
      </c>
      <c r="R138" s="41" t="s">
        <v>75</v>
      </c>
      <c r="S138" s="41" t="s">
        <v>75</v>
      </c>
      <c r="T138" s="41" t="s">
        <v>75</v>
      </c>
      <c r="U138" s="41" t="s">
        <v>75</v>
      </c>
      <c r="V138" s="41" t="s">
        <v>75</v>
      </c>
      <c r="W138" s="41" t="s">
        <v>75</v>
      </c>
      <c r="X138" s="41" t="s">
        <v>75</v>
      </c>
      <c r="Y138" s="41" t="s">
        <v>75</v>
      </c>
      <c r="Z138" s="41" t="s">
        <v>75</v>
      </c>
      <c r="AA138" s="41" t="s">
        <v>75</v>
      </c>
      <c r="AB138" s="41" t="s">
        <v>75</v>
      </c>
      <c r="AC138" s="41" t="s">
        <v>75</v>
      </c>
      <c r="AD138" s="41" t="s">
        <v>75</v>
      </c>
      <c r="AE138" s="41" t="s">
        <v>75</v>
      </c>
      <c r="AF138" s="41" t="s">
        <v>75</v>
      </c>
      <c r="AG138" s="41" t="s">
        <v>75</v>
      </c>
      <c r="AH138" s="41" t="s">
        <v>75</v>
      </c>
      <c r="AI138" s="41" t="s">
        <v>75</v>
      </c>
      <c r="AJ138" s="41" t="s">
        <v>75</v>
      </c>
      <c r="AK138" s="41" t="s">
        <v>75</v>
      </c>
      <c r="AL138" s="41" t="s">
        <v>75</v>
      </c>
      <c r="AM138" s="41" t="s">
        <v>75</v>
      </c>
      <c r="AN138" s="41" t="s">
        <v>75</v>
      </c>
      <c r="AO138" s="41" t="s">
        <v>75</v>
      </c>
      <c r="AP138" s="41" t="s">
        <v>75</v>
      </c>
      <c r="AQ138" s="41" t="s">
        <v>75</v>
      </c>
      <c r="AR138" s="41" t="s">
        <v>75</v>
      </c>
      <c r="AS138" s="41" t="s">
        <v>75</v>
      </c>
      <c r="AT138" s="41" t="s">
        <v>75</v>
      </c>
      <c r="AU138" s="42" t="str">
        <f>IF('GNI per capita'!AU138&lt;=Thresholds!$C$44,"L",IF('GNI per capita'!AU138&lt;=Thresholds!$D$44,"LM",IF('GNI per capita'!AU138&lt;=Thresholds!$E$44,"UM","H")))</f>
        <v>L</v>
      </c>
      <c r="AV138" s="42" t="str">
        <f>IF('GNI per capita'!AV138&lt;=Thresholds!$C$45,"L",IF('GNI per capita'!AV138&lt;=Thresholds!$D$45,"LM",IF('GNI per capita'!AV138&lt;=Thresholds!$E$45,"UM","H")))</f>
        <v>L</v>
      </c>
      <c r="AW138" s="42" t="str">
        <f>IF('GNI per capita'!AW138&lt;=Thresholds!$C$46,"L",IF('GNI per capita'!AW138&lt;=Thresholds!$D$46,"LM",IF('GNI per capita'!AW138&lt;=Thresholds!$E$46,"UM","H")))</f>
        <v>L</v>
      </c>
      <c r="AX138" s="42" t="str">
        <f>IF('GNI per capita'!AX138&lt;=Thresholds!$C$47,"L",IF('GNI per capita'!AX138&lt;=Thresholds!$D$47,"LM",IF('GNI per capita'!AX138&lt;=Thresholds!$E$47,"UM","H")))</f>
        <v>L</v>
      </c>
      <c r="AY138" s="42" t="str">
        <f>IF('GNI per capita'!AY138&lt;=Thresholds!$C$48,"L",IF('GNI per capita'!AY138&lt;=Thresholds!$D$48,"LM",IF('GNI per capita'!AY138&lt;=Thresholds!$E$48,"UM","H")))</f>
        <v>L</v>
      </c>
      <c r="AZ138" s="42" t="str">
        <f>IF('GNI per capita'!AZ138&lt;=Thresholds!$C$49,"L",IF('GNI per capita'!AZ138&lt;=Thresholds!$D$49,"LM",IF('GNI per capita'!AZ138&lt;=Thresholds!$E$49,"UM","H")))</f>
        <v>L</v>
      </c>
      <c r="BA138" s="42" t="str">
        <f>IF('GNI per capita'!BA138&lt;=Thresholds!$C$50,"L",IF('GNI per capita'!BA138&lt;=Thresholds!$D$50,"LM",IF('GNI per capita'!BA138&lt;=Thresholds!$E$50,"UM","H")))</f>
        <v>L</v>
      </c>
      <c r="BB138" s="42" t="str">
        <f>IF('GNI per capita'!BB138&lt;=Thresholds!$C$51,"L",IF('GNI per capita'!BB138&lt;=Thresholds!$D$51,"LM",IF('GNI per capita'!BB138&lt;=Thresholds!$E$51,"UM","H")))</f>
        <v>L</v>
      </c>
      <c r="BC138" s="42" t="str">
        <f>IF('GNI per capita'!BC138&lt;=Thresholds!$C$52,"L",IF('GNI per capita'!BC138&lt;=Thresholds!$D$52,"LM",IF('GNI per capita'!BC138&lt;=Thresholds!$E$52,"UM","H")))</f>
        <v>L</v>
      </c>
      <c r="BD138" s="42" t="str">
        <f>IF('GNI per capita'!BD138&lt;=Thresholds!$C$53,"L",IF('GNI per capita'!BD138&lt;=Thresholds!$D$53,"LM",IF('GNI per capita'!BD138&lt;=Thresholds!$E$53,"UM","H")))</f>
        <v>L</v>
      </c>
      <c r="BE138" s="42" t="str">
        <f>IF('GNI per capita'!BE138&lt;=Thresholds!$C$54,"L",IF('GNI per capita'!BE138&lt;=Thresholds!$D$54,"LM",IF('GNI per capita'!BE138&lt;=Thresholds!$E$54,"UM","H")))</f>
        <v>L</v>
      </c>
      <c r="BF138" s="42" t="str">
        <f>IF('GNI per capita'!BF138&lt;=Thresholds!$C$55,"L",IF('GNI per capita'!BF138&lt;=Thresholds!$D$55,"LM",IF('GNI per capita'!BF138&lt;=Thresholds!$E$55,"UM","H")))</f>
        <v>L</v>
      </c>
      <c r="BG138" s="42" t="str">
        <f>IF('GNI per capita'!BG138&lt;=Thresholds!$C$56,"L",IF('GNI per capita'!BG138&lt;=Thresholds!$D$56,"LM",IF('GNI per capita'!BG138&lt;=Thresholds!$E$56,"UM","H")))</f>
        <v>L</v>
      </c>
      <c r="BH138" s="42" t="str">
        <f>IF('GNI per capita'!BH138&lt;=Thresholds!$C$57,"L",IF('GNI per capita'!BH138&lt;=Thresholds!$D$57,"LM",IF('GNI per capita'!BH138&lt;=Thresholds!$E$57,"UM","H")))</f>
        <v>L</v>
      </c>
      <c r="BI138" s="42" t="str">
        <f>IF('GNI per capita'!BI138&lt;=Thresholds!$C$58,"L",IF('GNI per capita'!BI138&lt;=Thresholds!$D$58,"LM",IF('GNI per capita'!BI138&lt;=Thresholds!$E$58,"UM","H")))</f>
        <v>L</v>
      </c>
      <c r="BJ138" s="42" t="str">
        <f>IF('GNI per capita'!BJ138&lt;=Thresholds!$C$59,"L",IF('GNI per capita'!BJ138&lt;=Thresholds!$D$59,"LM",IF('GNI per capita'!BJ138&lt;=Thresholds!$E$59,"UM","H")))</f>
        <v>L</v>
      </c>
      <c r="BK138" s="42" t="str">
        <f>IF('GNI per capita'!BK138&lt;=Thresholds!$C$60,"L",IF('GNI per capita'!BK138&lt;=Thresholds!$D$60,"LM",IF('GNI per capita'!BK138&lt;=Thresholds!$E$60,"UM","H")))</f>
        <v>L</v>
      </c>
      <c r="BL138" s="42" t="str">
        <f>IF('GNI per capita'!BL138&lt;=Thresholds!$C$61,"L",IF('GNI per capita'!BL138&lt;=Thresholds!$D$61,"LM",IF('GNI per capita'!BL138&lt;=Thresholds!$E$61,"UM","H")))</f>
        <v>L</v>
      </c>
      <c r="BM138" s="42" t="str">
        <f>IF('GNI per capita'!BM138&lt;=Thresholds!$C$62,"L",IF('GNI per capita'!BM138&lt;=Thresholds!$D$62,"LM",IF('GNI per capita'!BM138&lt;=Thresholds!$E$62,"UM","H")))</f>
        <v>L</v>
      </c>
      <c r="BN138" s="42" t="str">
        <f>IF('GNI per capita'!BN138&lt;=Thresholds!$C$63,"L",IF('GNI per capita'!BN138&lt;=Thresholds!$D$63,"LM",IF('GNI per capita'!BN138&lt;=Thresholds!$E$63,"UM","H")))</f>
        <v>L</v>
      </c>
      <c r="BO138" s="42" t="str">
        <f>IF('GNI per capita'!BO138&lt;=Thresholds!$C$64,"L",IF('GNI per capita'!BO138&lt;=Thresholds!$D$64,"LM",IF('GNI per capita'!BO138&lt;=Thresholds!$E$64,"UM","H")))</f>
        <v>L</v>
      </c>
      <c r="BP138" s="42" t="str">
        <f>IF('GNI per capita'!BP138&lt;=Thresholds!$C$65,"L",IF('GNI per capita'!BP138&lt;=Thresholds!$D$65,"LM",IF('GNI per capita'!BP138&lt;=Thresholds!$E$65,"UM","H")))</f>
        <v>L</v>
      </c>
      <c r="BQ138" s="42" t="str">
        <f>IF('GNI per capita'!BQ138&lt;=Thresholds!$C$66,"L",IF('GNI per capita'!BQ138&lt;=Thresholds!$D$66,"LM",IF('GNI per capita'!BQ138&lt;=Thresholds!$E$66,"UM","H")))</f>
        <v>L</v>
      </c>
      <c r="BR138" s="42" t="str">
        <f>IF('GNI per capita'!BR138&lt;=Thresholds!$C$67,"L",IF('GNI per capita'!BR138&lt;=Thresholds!$D$67,"LM",IF('GNI per capita'!BR138&lt;=Thresholds!$E$67,"UM","H")))</f>
        <v>L</v>
      </c>
      <c r="BS138" s="42" t="str">
        <f>IF('GNI per capita'!BS138&lt;=Thresholds!$C$68,"L",IF('GNI per capita'!BS138&lt;=Thresholds!$D$68,"LM",IF('GNI per capita'!BS138&lt;=Thresholds!$E$68,"UM","H")))</f>
        <v>L</v>
      </c>
    </row>
    <row r="139" spans="1:71" x14ac:dyDescent="0.2">
      <c r="A139" s="2" t="s">
        <v>495</v>
      </c>
      <c r="B139" s="2" t="s">
        <v>496</v>
      </c>
      <c r="C139" s="11" t="s">
        <v>210</v>
      </c>
      <c r="G139" s="2" t="s">
        <v>268</v>
      </c>
      <c r="H139" s="41" t="s">
        <v>75</v>
      </c>
      <c r="I139" s="41" t="s">
        <v>75</v>
      </c>
      <c r="J139" s="41" t="s">
        <v>75</v>
      </c>
      <c r="K139" s="41" t="s">
        <v>75</v>
      </c>
      <c r="L139" s="41" t="s">
        <v>75</v>
      </c>
      <c r="M139" s="41" t="s">
        <v>75</v>
      </c>
      <c r="N139" s="41" t="s">
        <v>75</v>
      </c>
      <c r="O139" s="41" t="s">
        <v>75</v>
      </c>
      <c r="P139" s="41" t="s">
        <v>75</v>
      </c>
      <c r="Q139" s="41" t="s">
        <v>75</v>
      </c>
      <c r="R139" s="41" t="s">
        <v>75</v>
      </c>
      <c r="S139" s="41" t="s">
        <v>75</v>
      </c>
      <c r="T139" s="41" t="s">
        <v>75</v>
      </c>
      <c r="U139" s="41" t="s">
        <v>75</v>
      </c>
      <c r="V139" s="41" t="s">
        <v>75</v>
      </c>
      <c r="W139" s="41" t="s">
        <v>75</v>
      </c>
      <c r="X139" s="41" t="s">
        <v>75</v>
      </c>
      <c r="Y139" s="41" t="s">
        <v>75</v>
      </c>
      <c r="Z139" s="41" t="s">
        <v>75</v>
      </c>
      <c r="AA139" s="41" t="s">
        <v>75</v>
      </c>
      <c r="AB139" s="41" t="s">
        <v>75</v>
      </c>
      <c r="AC139" s="41" t="s">
        <v>75</v>
      </c>
      <c r="AD139" s="41" t="s">
        <v>75</v>
      </c>
      <c r="AE139" s="41" t="s">
        <v>75</v>
      </c>
      <c r="AF139" s="41" t="s">
        <v>75</v>
      </c>
      <c r="AG139" s="41" t="s">
        <v>75</v>
      </c>
      <c r="AH139" s="41" t="s">
        <v>75</v>
      </c>
      <c r="AI139" s="41" t="s">
        <v>210</v>
      </c>
      <c r="AJ139" s="41" t="s">
        <v>210</v>
      </c>
      <c r="AK139" s="41" t="s">
        <v>210</v>
      </c>
      <c r="AL139" s="41" t="s">
        <v>210</v>
      </c>
      <c r="AM139" s="41" t="s">
        <v>210</v>
      </c>
      <c r="AN139" s="41" t="s">
        <v>210</v>
      </c>
      <c r="AO139" s="41" t="s">
        <v>210</v>
      </c>
      <c r="AP139" s="41" t="s">
        <v>210</v>
      </c>
      <c r="AQ139" s="41" t="s">
        <v>210</v>
      </c>
      <c r="AR139" s="41" t="s">
        <v>210</v>
      </c>
      <c r="AS139" s="41" t="s">
        <v>210</v>
      </c>
      <c r="AT139" s="41" t="s">
        <v>210</v>
      </c>
      <c r="AU139" s="42" t="str">
        <f>IF('GNI per capita'!AU139&lt;=Thresholds!$C$44,"L",IF('GNI per capita'!AU139&lt;=Thresholds!$D$44,"LM",IF('GNI per capita'!AU139&lt;=Thresholds!$E$44,"UM","H")))</f>
        <v>LM</v>
      </c>
      <c r="AV139" s="42" t="str">
        <f>IF('GNI per capita'!AV139&lt;=Thresholds!$C$45,"L",IF('GNI per capita'!AV139&lt;=Thresholds!$D$45,"LM",IF('GNI per capita'!AV139&lt;=Thresholds!$E$45,"UM","H")))</f>
        <v>LM</v>
      </c>
      <c r="AW139" s="42" t="str">
        <f>IF('GNI per capita'!AW139&lt;=Thresholds!$C$46,"L",IF('GNI per capita'!AW139&lt;=Thresholds!$D$46,"LM",IF('GNI per capita'!AW139&lt;=Thresholds!$E$46,"UM","H")))</f>
        <v>LM</v>
      </c>
      <c r="AX139" s="42" t="str">
        <f>IF('GNI per capita'!AX139&lt;=Thresholds!$C$47,"L",IF('GNI per capita'!AX139&lt;=Thresholds!$D$47,"LM",IF('GNI per capita'!AX139&lt;=Thresholds!$E$47,"UM","H")))</f>
        <v>LM</v>
      </c>
      <c r="AY139" s="42" t="str">
        <f>IF('GNI per capita'!AY139&lt;=Thresholds!$C$48,"L",IF('GNI per capita'!AY139&lt;=Thresholds!$D$48,"LM",IF('GNI per capita'!AY139&lt;=Thresholds!$E$48,"UM","H")))</f>
        <v>LM</v>
      </c>
      <c r="AZ139" s="42" t="str">
        <f>IF('GNI per capita'!AZ139&lt;=Thresholds!$C$49,"L",IF('GNI per capita'!AZ139&lt;=Thresholds!$D$49,"LM",IF('GNI per capita'!AZ139&lt;=Thresholds!$E$49,"UM","H")))</f>
        <v>LM</v>
      </c>
      <c r="BA139" s="42" t="str">
        <f>IF('GNI per capita'!BA139&lt;=Thresholds!$C$50,"L",IF('GNI per capita'!BA139&lt;=Thresholds!$D$50,"LM",IF('GNI per capita'!BA139&lt;=Thresholds!$E$50,"UM","H")))</f>
        <v>LM</v>
      </c>
      <c r="BB139" s="42" t="str">
        <f>IF('GNI per capita'!BB139&lt;=Thresholds!$C$51,"L",IF('GNI per capita'!BB139&lt;=Thresholds!$D$51,"LM",IF('GNI per capita'!BB139&lt;=Thresholds!$E$51,"UM","H")))</f>
        <v>LM</v>
      </c>
      <c r="BC139" s="42" t="str">
        <f>IF('GNI per capita'!BC139&lt;=Thresholds!$C$52,"L",IF('GNI per capita'!BC139&lt;=Thresholds!$D$52,"LM",IF('GNI per capita'!BC139&lt;=Thresholds!$E$52,"UM","H")))</f>
        <v>LM</v>
      </c>
      <c r="BD139" s="42" t="str">
        <f>IF('GNI per capita'!BD139&lt;=Thresholds!$C$53,"L",IF('GNI per capita'!BD139&lt;=Thresholds!$D$53,"LM",IF('GNI per capita'!BD139&lt;=Thresholds!$E$53,"UM","H")))</f>
        <v>LM</v>
      </c>
      <c r="BE139" s="42" t="str">
        <f>IF('GNI per capita'!BE139&lt;=Thresholds!$C$54,"L",IF('GNI per capita'!BE139&lt;=Thresholds!$D$54,"LM",IF('GNI per capita'!BE139&lt;=Thresholds!$E$54,"UM","H")))</f>
        <v>LM</v>
      </c>
      <c r="BF139" s="42" t="str">
        <f>IF('GNI per capita'!BF139&lt;=Thresholds!$C$55,"L",IF('GNI per capita'!BF139&lt;=Thresholds!$D$55,"LM",IF('GNI per capita'!BF139&lt;=Thresholds!$E$55,"UM","H")))</f>
        <v>LM</v>
      </c>
      <c r="BG139" s="42" t="str">
        <f>IF('GNI per capita'!BG139&lt;=Thresholds!$C$56,"L",IF('GNI per capita'!BG139&lt;=Thresholds!$D$56,"LM",IF('GNI per capita'!BG139&lt;=Thresholds!$E$56,"UM","H")))</f>
        <v>LM</v>
      </c>
      <c r="BH139" s="42" t="str">
        <f>IF('GNI per capita'!BH139&lt;=Thresholds!$C$57,"L",IF('GNI per capita'!BH139&lt;=Thresholds!$D$57,"LM",IF('GNI per capita'!BH139&lt;=Thresholds!$E$57,"UM","H")))</f>
        <v>LM</v>
      </c>
      <c r="BI139" s="42" t="str">
        <f>IF('GNI per capita'!BI139&lt;=Thresholds!$C$58,"L",IF('GNI per capita'!BI139&lt;=Thresholds!$D$58,"LM",IF('GNI per capita'!BI139&lt;=Thresholds!$E$58,"UM","H")))</f>
        <v>LM</v>
      </c>
      <c r="BJ139" s="42" t="str">
        <f>IF('GNI per capita'!BJ139&lt;=Thresholds!$C$59,"L",IF('GNI per capita'!BJ139&lt;=Thresholds!$D$59,"LM",IF('GNI per capita'!BJ139&lt;=Thresholds!$E$59,"UM","H")))</f>
        <v>LM</v>
      </c>
      <c r="BK139" s="42" t="str">
        <f>IF('GNI per capita'!BK139&lt;=Thresholds!$C$60,"L",IF('GNI per capita'!BK139&lt;=Thresholds!$D$60,"LM",IF('GNI per capita'!BK139&lt;=Thresholds!$E$60,"UM","H")))</f>
        <v>LM</v>
      </c>
      <c r="BL139" s="42" t="str">
        <f>IF('GNI per capita'!BL139&lt;=Thresholds!$C$61,"L",IF('GNI per capita'!BL139&lt;=Thresholds!$D$61,"LM",IF('GNI per capita'!BL139&lt;=Thresholds!$E$61,"UM","H")))</f>
        <v>LM</v>
      </c>
      <c r="BM139" s="42" t="str">
        <f>IF('GNI per capita'!BM139&lt;=Thresholds!$C$62,"L",IF('GNI per capita'!BM139&lt;=Thresholds!$D$62,"LM",IF('GNI per capita'!BM139&lt;=Thresholds!$E$62,"UM","H")))</f>
        <v>LM</v>
      </c>
      <c r="BN139" s="42" t="str">
        <f>IF('GNI per capita'!BN139&lt;=Thresholds!$C$63,"L",IF('GNI per capita'!BN139&lt;=Thresholds!$D$63,"LM",IF('GNI per capita'!BN139&lt;=Thresholds!$E$63,"UM","H")))</f>
        <v>LM</v>
      </c>
      <c r="BO139" s="42" t="str">
        <f>IF('GNI per capita'!BO139&lt;=Thresholds!$C$64,"L",IF('GNI per capita'!BO139&lt;=Thresholds!$D$64,"LM",IF('GNI per capita'!BO139&lt;=Thresholds!$E$64,"UM","H")))</f>
        <v>LM</v>
      </c>
      <c r="BP139" s="42" t="str">
        <f>IF('GNI per capita'!BP139&lt;=Thresholds!$C$65,"L",IF('GNI per capita'!BP139&lt;=Thresholds!$D$65,"LM",IF('GNI per capita'!BP139&lt;=Thresholds!$E$65,"UM","H")))</f>
        <v>LM</v>
      </c>
      <c r="BQ139" s="42" t="str">
        <f>IF('GNI per capita'!BQ139&lt;=Thresholds!$C$66,"L",IF('GNI per capita'!BQ139&lt;=Thresholds!$D$66,"LM",IF('GNI per capita'!BQ139&lt;=Thresholds!$E$66,"UM","H")))</f>
        <v>LM</v>
      </c>
      <c r="BR139" s="42" t="str">
        <f>IF('GNI per capita'!BR139&lt;=Thresholds!$C$67,"L",IF('GNI per capita'!BR139&lt;=Thresholds!$D$67,"LM",IF('GNI per capita'!BR139&lt;=Thresholds!$E$67,"UM","H")))</f>
        <v>LM</v>
      </c>
      <c r="BS139" s="42" t="str">
        <f>IF('GNI per capita'!BS139&lt;=Thresholds!$C$68,"L",IF('GNI per capita'!BS139&lt;=Thresholds!$D$68,"LM",IF('GNI per capita'!BS139&lt;=Thresholds!$E$68,"UM","H")))</f>
        <v>LM</v>
      </c>
    </row>
    <row r="140" spans="1:71" x14ac:dyDescent="0.2">
      <c r="A140" s="2" t="s">
        <v>497</v>
      </c>
      <c r="B140" s="2" t="s">
        <v>498</v>
      </c>
      <c r="C140" s="11" t="s">
        <v>210</v>
      </c>
      <c r="G140" s="2" t="s">
        <v>407</v>
      </c>
      <c r="H140" s="41"/>
      <c r="I140" s="41"/>
      <c r="J140" s="41" t="s">
        <v>210</v>
      </c>
      <c r="K140" s="41" t="s">
        <v>210</v>
      </c>
      <c r="L140" s="41" t="s">
        <v>210</v>
      </c>
      <c r="M140" s="41" t="s">
        <v>210</v>
      </c>
      <c r="N140" s="41" t="s">
        <v>210</v>
      </c>
      <c r="O140" s="41" t="s">
        <v>210</v>
      </c>
      <c r="P140" s="41" t="s">
        <v>210</v>
      </c>
      <c r="Q140" s="41" t="s">
        <v>210</v>
      </c>
      <c r="R140" s="41" t="s">
        <v>210</v>
      </c>
      <c r="S140" s="41" t="s">
        <v>210</v>
      </c>
      <c r="T140" s="41" t="s">
        <v>210</v>
      </c>
      <c r="U140" s="41" t="s">
        <v>210</v>
      </c>
      <c r="V140" s="41" t="s">
        <v>210</v>
      </c>
      <c r="W140" s="41" t="s">
        <v>210</v>
      </c>
      <c r="X140" s="41" t="s">
        <v>210</v>
      </c>
      <c r="Y140" s="41" t="s">
        <v>210</v>
      </c>
      <c r="Z140" s="41" t="s">
        <v>210</v>
      </c>
      <c r="AA140" s="41" t="s">
        <v>210</v>
      </c>
      <c r="AB140" s="41" t="s">
        <v>210</v>
      </c>
      <c r="AC140" s="41" t="s">
        <v>82</v>
      </c>
      <c r="AD140" s="41" t="s">
        <v>82</v>
      </c>
      <c r="AE140" s="41" t="s">
        <v>82</v>
      </c>
      <c r="AF140" s="41" t="s">
        <v>82</v>
      </c>
      <c r="AG140" s="41" t="s">
        <v>82</v>
      </c>
      <c r="AH140" s="41" t="s">
        <v>82</v>
      </c>
      <c r="AI140" s="41" t="s">
        <v>82</v>
      </c>
      <c r="AJ140" s="41" t="s">
        <v>82</v>
      </c>
      <c r="AK140" s="41" t="s">
        <v>82</v>
      </c>
      <c r="AL140" s="41" t="s">
        <v>82</v>
      </c>
      <c r="AM140" s="41" t="s">
        <v>82</v>
      </c>
      <c r="AN140" s="41" t="s">
        <v>82</v>
      </c>
      <c r="AO140" s="41" t="s">
        <v>82</v>
      </c>
      <c r="AP140" s="41" t="s">
        <v>82</v>
      </c>
      <c r="AQ140" s="41" t="s">
        <v>82</v>
      </c>
      <c r="AR140" s="41" t="s">
        <v>82</v>
      </c>
      <c r="AS140" s="41" t="s">
        <v>210</v>
      </c>
      <c r="AT140" s="41" t="s">
        <v>210</v>
      </c>
      <c r="AU140" s="42" t="str">
        <f>IF('GNI per capita'!AU140&lt;=Thresholds!$C$44,"L",IF('GNI per capita'!AU140&lt;=Thresholds!$D$44,"LM",IF('GNI per capita'!AU140&lt;=Thresholds!$E$44,"UM","H")))</f>
        <v>LM</v>
      </c>
      <c r="AV140" s="42" t="str">
        <f>IF('GNI per capita'!AV140&lt;=Thresholds!$C$45,"L",IF('GNI per capita'!AV140&lt;=Thresholds!$D$45,"LM",IF('GNI per capita'!AV140&lt;=Thresholds!$E$45,"UM","H")))</f>
        <v>LM</v>
      </c>
      <c r="AW140" s="42" t="str">
        <f>IF('GNI per capita'!AW140&lt;=Thresholds!$C$46,"L",IF('GNI per capita'!AW140&lt;=Thresholds!$D$46,"LM",IF('GNI per capita'!AW140&lt;=Thresholds!$E$46,"UM","H")))</f>
        <v>LM</v>
      </c>
      <c r="AX140" s="42" t="str">
        <f>IF('GNI per capita'!AX140&lt;=Thresholds!$C$47,"L",IF('GNI per capita'!AX140&lt;=Thresholds!$D$47,"LM",IF('GNI per capita'!AX140&lt;=Thresholds!$E$47,"UM","H")))</f>
        <v>LM</v>
      </c>
      <c r="AY140" s="42" t="str">
        <f>IF('GNI per capita'!AY140&lt;=Thresholds!$C$48,"L",IF('GNI per capita'!AY140&lt;=Thresholds!$D$48,"LM",IF('GNI per capita'!AY140&lt;=Thresholds!$E$48,"UM","H")))</f>
        <v>LM</v>
      </c>
      <c r="AZ140" s="42" t="str">
        <f>IF('GNI per capita'!AZ140&lt;=Thresholds!$C$49,"L",IF('GNI per capita'!AZ140&lt;=Thresholds!$D$49,"LM",IF('GNI per capita'!AZ140&lt;=Thresholds!$E$49,"UM","H")))</f>
        <v>LM</v>
      </c>
      <c r="BA140" s="42" t="str">
        <f>IF('GNI per capita'!BA140&lt;=Thresholds!$C$50,"L",IF('GNI per capita'!BA140&lt;=Thresholds!$D$50,"LM",IF('GNI per capita'!BA140&lt;=Thresholds!$E$50,"UM","H")))</f>
        <v>LM</v>
      </c>
      <c r="BB140" s="42" t="str">
        <f>IF('GNI per capita'!BB140&lt;=Thresholds!$C$51,"L",IF('GNI per capita'!BB140&lt;=Thresholds!$D$51,"LM",IF('GNI per capita'!BB140&lt;=Thresholds!$E$51,"UM","H")))</f>
        <v>LM</v>
      </c>
      <c r="BC140" s="42" t="str">
        <f>IF('GNI per capita'!BC140&lt;=Thresholds!$C$52,"L",IF('GNI per capita'!BC140&lt;=Thresholds!$D$52,"LM",IF('GNI per capita'!BC140&lt;=Thresholds!$E$52,"UM","H")))</f>
        <v>LM</v>
      </c>
      <c r="BD140" s="42" t="str">
        <f>IF('GNI per capita'!BD140&lt;=Thresholds!$C$53,"L",IF('GNI per capita'!BD140&lt;=Thresholds!$D$53,"LM",IF('GNI per capita'!BD140&lt;=Thresholds!$E$53,"UM","H")))</f>
        <v>LM</v>
      </c>
      <c r="BE140" s="42" t="str">
        <f>IF('GNI per capita'!BE140&lt;=Thresholds!$C$54,"L",IF('GNI per capita'!BE140&lt;=Thresholds!$D$54,"LM",IF('GNI per capita'!BE140&lt;=Thresholds!$E$54,"UM","H")))</f>
        <v>LM</v>
      </c>
      <c r="BF140" s="42" t="str">
        <f>IF('GNI per capita'!BF140&lt;=Thresholds!$C$55,"L",IF('GNI per capita'!BF140&lt;=Thresholds!$D$55,"LM",IF('GNI per capita'!BF140&lt;=Thresholds!$E$55,"UM","H")))</f>
        <v>LM</v>
      </c>
      <c r="BG140" s="42" t="str">
        <f>IF('GNI per capita'!BG140&lt;=Thresholds!$C$56,"L",IF('GNI per capita'!BG140&lt;=Thresholds!$D$56,"LM",IF('GNI per capita'!BG140&lt;=Thresholds!$E$56,"UM","H")))</f>
        <v>LM</v>
      </c>
      <c r="BH140" s="42" t="str">
        <f>IF('GNI per capita'!BH140&lt;=Thresholds!$C$57,"L",IF('GNI per capita'!BH140&lt;=Thresholds!$D$57,"LM",IF('GNI per capita'!BH140&lt;=Thresholds!$E$57,"UM","H")))</f>
        <v>LM</v>
      </c>
      <c r="BI140" s="42" t="str">
        <f>IF('GNI per capita'!BI140&lt;=Thresholds!$C$58,"L",IF('GNI per capita'!BI140&lt;=Thresholds!$D$58,"LM",IF('GNI per capita'!BI140&lt;=Thresholds!$E$58,"UM","H")))</f>
        <v>LM</v>
      </c>
      <c r="BJ140" s="42" t="str">
        <f>IF('GNI per capita'!BJ140&lt;=Thresholds!$C$59,"L",IF('GNI per capita'!BJ140&lt;=Thresholds!$D$59,"LM",IF('GNI per capita'!BJ140&lt;=Thresholds!$E$59,"UM","H")))</f>
        <v>LM</v>
      </c>
      <c r="BK140" s="42" t="str">
        <f>IF('GNI per capita'!BK140&lt;=Thresholds!$C$60,"L",IF('GNI per capita'!BK140&lt;=Thresholds!$D$60,"LM",IF('GNI per capita'!BK140&lt;=Thresholds!$E$60,"UM","H")))</f>
        <v>LM</v>
      </c>
      <c r="BL140" s="42" t="str">
        <f>IF('GNI per capita'!BL140&lt;=Thresholds!$C$61,"L",IF('GNI per capita'!BL140&lt;=Thresholds!$D$61,"LM",IF('GNI per capita'!BL140&lt;=Thresholds!$E$61,"UM","H")))</f>
        <v>LM</v>
      </c>
      <c r="BM140" s="42" t="str">
        <f>IF('GNI per capita'!BM140&lt;=Thresholds!$C$62,"L",IF('GNI per capita'!BM140&lt;=Thresholds!$D$62,"LM",IF('GNI per capita'!BM140&lt;=Thresholds!$E$62,"UM","H")))</f>
        <v>LM</v>
      </c>
      <c r="BN140" s="42" t="str">
        <f>IF('GNI per capita'!BN140&lt;=Thresholds!$C$63,"L",IF('GNI per capita'!BN140&lt;=Thresholds!$D$63,"LM",IF('GNI per capita'!BN140&lt;=Thresholds!$E$63,"UM","H")))</f>
        <v>LM</v>
      </c>
      <c r="BO140" s="42" t="str">
        <f>IF('GNI per capita'!BO140&lt;=Thresholds!$C$64,"L",IF('GNI per capita'!BO140&lt;=Thresholds!$D$64,"LM",IF('GNI per capita'!BO140&lt;=Thresholds!$E$64,"UM","H")))</f>
        <v>LM</v>
      </c>
      <c r="BP140" s="42" t="str">
        <f>IF('GNI per capita'!BP140&lt;=Thresholds!$C$65,"L",IF('GNI per capita'!BP140&lt;=Thresholds!$D$65,"LM",IF('GNI per capita'!BP140&lt;=Thresholds!$E$65,"UM","H")))</f>
        <v>LM</v>
      </c>
      <c r="BQ140" s="42" t="str">
        <f>IF('GNI per capita'!BQ140&lt;=Thresholds!$C$66,"L",IF('GNI per capita'!BQ140&lt;=Thresholds!$D$66,"LM",IF('GNI per capita'!BQ140&lt;=Thresholds!$E$66,"UM","H")))</f>
        <v>LM</v>
      </c>
      <c r="BR140" s="42" t="str">
        <f>IF('GNI per capita'!BR140&lt;=Thresholds!$C$67,"L",IF('GNI per capita'!BR140&lt;=Thresholds!$D$67,"LM",IF('GNI per capita'!BR140&lt;=Thresholds!$E$67,"UM","H")))</f>
        <v>LM</v>
      </c>
      <c r="BS140" s="42" t="str">
        <f>IF('GNI per capita'!BS140&lt;=Thresholds!$C$68,"L",IF('GNI per capita'!BS140&lt;=Thresholds!$D$68,"LM",IF('GNI per capita'!BS140&lt;=Thresholds!$E$68,"UM","H")))</f>
        <v>LM</v>
      </c>
    </row>
    <row r="141" spans="1:71" x14ac:dyDescent="0.2">
      <c r="A141" s="2" t="s">
        <v>499</v>
      </c>
      <c r="B141" s="2" t="s">
        <v>500</v>
      </c>
      <c r="C141" s="11" t="s">
        <v>79</v>
      </c>
      <c r="G141" s="2" t="s">
        <v>162</v>
      </c>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t="s">
        <v>79</v>
      </c>
      <c r="AK141" s="41" t="s">
        <v>82</v>
      </c>
      <c r="AL141" s="41" t="s">
        <v>82</v>
      </c>
      <c r="AM141" s="41" t="s">
        <v>82</v>
      </c>
      <c r="AN141" s="41" t="s">
        <v>79</v>
      </c>
      <c r="AO141" s="41" t="s">
        <v>79</v>
      </c>
      <c r="AP141" s="41" t="s">
        <v>79</v>
      </c>
      <c r="AQ141" s="41" t="s">
        <v>79</v>
      </c>
      <c r="AR141" s="41" t="s">
        <v>79</v>
      </c>
      <c r="AS141" s="41" t="s">
        <v>79</v>
      </c>
      <c r="AT141" s="41" t="s">
        <v>79</v>
      </c>
      <c r="AU141" s="42" t="str">
        <f>IF('GNI per capita'!AU141&lt;=Thresholds!$C$44,"L",IF('GNI per capita'!AU141&lt;=Thresholds!$D$44,"LM",IF('GNI per capita'!AU141&lt;=Thresholds!$E$44,"UM","H")))</f>
        <v>H</v>
      </c>
      <c r="AV141" s="42" t="str">
        <f>IF('GNI per capita'!AV141&lt;=Thresholds!$C$45,"L",IF('GNI per capita'!AV141&lt;=Thresholds!$D$45,"LM",IF('GNI per capita'!AV141&lt;=Thresholds!$E$45,"UM","H")))</f>
        <v>H</v>
      </c>
      <c r="AW141" s="42" t="str">
        <f>IF('GNI per capita'!AW141&lt;=Thresholds!$C$46,"L",IF('GNI per capita'!AW141&lt;=Thresholds!$D$46,"LM",IF('GNI per capita'!AW141&lt;=Thresholds!$E$46,"UM","H")))</f>
        <v>H</v>
      </c>
      <c r="AX141" s="42" t="str">
        <f>IF('GNI per capita'!AX141&lt;=Thresholds!$C$47,"L",IF('GNI per capita'!AX141&lt;=Thresholds!$D$47,"LM",IF('GNI per capita'!AX141&lt;=Thresholds!$E$47,"UM","H")))</f>
        <v>H</v>
      </c>
      <c r="AY141" s="42" t="str">
        <f>IF('GNI per capita'!AY141&lt;=Thresholds!$C$48,"L",IF('GNI per capita'!AY141&lt;=Thresholds!$D$48,"LM",IF('GNI per capita'!AY141&lt;=Thresholds!$E$48,"UM","H")))</f>
        <v>H</v>
      </c>
      <c r="AZ141" s="42" t="str">
        <f>IF('GNI per capita'!AZ141&lt;=Thresholds!$C$49,"L",IF('GNI per capita'!AZ141&lt;=Thresholds!$D$49,"LM",IF('GNI per capita'!AZ141&lt;=Thresholds!$E$49,"UM","H")))</f>
        <v>H</v>
      </c>
      <c r="BA141" s="42" t="str">
        <f>IF('GNI per capita'!BA141&lt;=Thresholds!$C$50,"L",IF('GNI per capita'!BA141&lt;=Thresholds!$D$50,"LM",IF('GNI per capita'!BA141&lt;=Thresholds!$E$50,"UM","H")))</f>
        <v>H</v>
      </c>
      <c r="BB141" s="42" t="str">
        <f>IF('GNI per capita'!BB141&lt;=Thresholds!$C$51,"L",IF('GNI per capita'!BB141&lt;=Thresholds!$D$51,"LM",IF('GNI per capita'!BB141&lt;=Thresholds!$E$51,"UM","H")))</f>
        <v>H</v>
      </c>
      <c r="BC141" s="42" t="str">
        <f>IF('GNI per capita'!BC141&lt;=Thresholds!$C$52,"L",IF('GNI per capita'!BC141&lt;=Thresholds!$D$52,"LM",IF('GNI per capita'!BC141&lt;=Thresholds!$E$52,"UM","H")))</f>
        <v>H</v>
      </c>
      <c r="BD141" s="42" t="str">
        <f>IF('GNI per capita'!BD141&lt;=Thresholds!$C$53,"L",IF('GNI per capita'!BD141&lt;=Thresholds!$D$53,"LM",IF('GNI per capita'!BD141&lt;=Thresholds!$E$53,"UM","H")))</f>
        <v>H</v>
      </c>
      <c r="BE141" s="42" t="str">
        <f>IF('GNI per capita'!BE141&lt;=Thresholds!$C$54,"L",IF('GNI per capita'!BE141&lt;=Thresholds!$D$54,"LM",IF('GNI per capita'!BE141&lt;=Thresholds!$E$54,"UM","H")))</f>
        <v>H</v>
      </c>
      <c r="BF141" s="42" t="str">
        <f>IF('GNI per capita'!BF141&lt;=Thresholds!$C$55,"L",IF('GNI per capita'!BF141&lt;=Thresholds!$D$55,"LM",IF('GNI per capita'!BF141&lt;=Thresholds!$E$55,"UM","H")))</f>
        <v>H</v>
      </c>
      <c r="BG141" s="42" t="str">
        <f>IF('GNI per capita'!BG141&lt;=Thresholds!$C$56,"L",IF('GNI per capita'!BG141&lt;=Thresholds!$D$56,"LM",IF('GNI per capita'!BG141&lt;=Thresholds!$E$56,"UM","H")))</f>
        <v>H</v>
      </c>
      <c r="BH141" s="42" t="str">
        <f>IF('GNI per capita'!BH141&lt;=Thresholds!$C$57,"L",IF('GNI per capita'!BH141&lt;=Thresholds!$D$57,"LM",IF('GNI per capita'!BH141&lt;=Thresholds!$E$57,"UM","H")))</f>
        <v>H</v>
      </c>
      <c r="BI141" s="42" t="str">
        <f>IF('GNI per capita'!BI141&lt;=Thresholds!$C$58,"L",IF('GNI per capita'!BI141&lt;=Thresholds!$D$58,"LM",IF('GNI per capita'!BI141&lt;=Thresholds!$E$58,"UM","H")))</f>
        <v>H</v>
      </c>
      <c r="BJ141" s="42" t="str">
        <f>IF('GNI per capita'!BJ141&lt;=Thresholds!$C$59,"L",IF('GNI per capita'!BJ141&lt;=Thresholds!$D$59,"LM",IF('GNI per capita'!BJ141&lt;=Thresholds!$E$59,"UM","H")))</f>
        <v>H</v>
      </c>
      <c r="BK141" s="42" t="str">
        <f>IF('GNI per capita'!BK141&lt;=Thresholds!$C$60,"L",IF('GNI per capita'!BK141&lt;=Thresholds!$D$60,"LM",IF('GNI per capita'!BK141&lt;=Thresholds!$E$60,"UM","H")))</f>
        <v>H</v>
      </c>
      <c r="BL141" s="42" t="str">
        <f>IF('GNI per capita'!BL141&lt;=Thresholds!$C$61,"L",IF('GNI per capita'!BL141&lt;=Thresholds!$D$61,"LM",IF('GNI per capita'!BL141&lt;=Thresholds!$E$61,"UM","H")))</f>
        <v>H</v>
      </c>
      <c r="BM141" s="42" t="str">
        <f>IF('GNI per capita'!BM141&lt;=Thresholds!$C$62,"L",IF('GNI per capita'!BM141&lt;=Thresholds!$D$62,"LM",IF('GNI per capita'!BM141&lt;=Thresholds!$E$62,"UM","H")))</f>
        <v>H</v>
      </c>
      <c r="BN141" s="42" t="str">
        <f>IF('GNI per capita'!BN141&lt;=Thresholds!$C$63,"L",IF('GNI per capita'!BN141&lt;=Thresholds!$D$63,"LM",IF('GNI per capita'!BN141&lt;=Thresholds!$E$63,"UM","H")))</f>
        <v>H</v>
      </c>
      <c r="BO141" s="42" t="str">
        <f>IF('GNI per capita'!BO141&lt;=Thresholds!$C$64,"L",IF('GNI per capita'!BO141&lt;=Thresholds!$D$64,"LM",IF('GNI per capita'!BO141&lt;=Thresholds!$E$64,"UM","H")))</f>
        <v>H</v>
      </c>
      <c r="BP141" s="42" t="str">
        <f>IF('GNI per capita'!BP141&lt;=Thresholds!$C$65,"L",IF('GNI per capita'!BP141&lt;=Thresholds!$D$65,"LM",IF('GNI per capita'!BP141&lt;=Thresholds!$E$65,"UM","H")))</f>
        <v>H</v>
      </c>
      <c r="BQ141" s="42" t="str">
        <f>IF('GNI per capita'!BQ141&lt;=Thresholds!$C$66,"L",IF('GNI per capita'!BQ141&lt;=Thresholds!$D$66,"LM",IF('GNI per capita'!BQ141&lt;=Thresholds!$E$66,"UM","H")))</f>
        <v>H</v>
      </c>
      <c r="BR141" s="42" t="str">
        <f>IF('GNI per capita'!BR141&lt;=Thresholds!$C$67,"L",IF('GNI per capita'!BR141&lt;=Thresholds!$D$67,"LM",IF('GNI per capita'!BR141&lt;=Thresholds!$E$67,"UM","H")))</f>
        <v>H</v>
      </c>
      <c r="BS141" s="42" t="str">
        <f>IF('GNI per capita'!BS141&lt;=Thresholds!$C$68,"L",IF('GNI per capita'!BS141&lt;=Thresholds!$D$68,"LM",IF('GNI per capita'!BS141&lt;=Thresholds!$E$68,"UM","H")))</f>
        <v>H</v>
      </c>
    </row>
    <row r="142" spans="1:71" x14ac:dyDescent="0.2">
      <c r="A142" s="2" t="s">
        <v>501</v>
      </c>
      <c r="B142" s="2" t="s">
        <v>502</v>
      </c>
      <c r="C142" s="11" t="s">
        <v>210</v>
      </c>
      <c r="G142" s="2" t="s">
        <v>162</v>
      </c>
      <c r="H142" s="41" t="s">
        <v>75</v>
      </c>
      <c r="I142" s="41" t="s">
        <v>75</v>
      </c>
      <c r="J142" s="41" t="s">
        <v>75</v>
      </c>
      <c r="K142" s="41" t="s">
        <v>75</v>
      </c>
      <c r="L142" s="41" t="s">
        <v>75</v>
      </c>
      <c r="M142" s="41" t="s">
        <v>75</v>
      </c>
      <c r="N142" s="41" t="s">
        <v>75</v>
      </c>
      <c r="O142" s="41" t="s">
        <v>75</v>
      </c>
      <c r="P142" s="41" t="s">
        <v>75</v>
      </c>
      <c r="Q142" s="41" t="s">
        <v>75</v>
      </c>
      <c r="R142" s="41" t="s">
        <v>75</v>
      </c>
      <c r="S142" s="41" t="s">
        <v>75</v>
      </c>
      <c r="T142" s="41" t="s">
        <v>75</v>
      </c>
      <c r="U142" s="41" t="s">
        <v>75</v>
      </c>
      <c r="V142" s="41" t="s">
        <v>75</v>
      </c>
      <c r="W142" s="41" t="s">
        <v>75</v>
      </c>
      <c r="X142" s="41" t="s">
        <v>75</v>
      </c>
      <c r="Y142" s="41" t="s">
        <v>75</v>
      </c>
      <c r="Z142" s="41" t="s">
        <v>75</v>
      </c>
      <c r="AA142" s="41" t="s">
        <v>75</v>
      </c>
      <c r="AB142" s="41" t="s">
        <v>75</v>
      </c>
      <c r="AC142" s="41" t="s">
        <v>75</v>
      </c>
      <c r="AD142" s="41" t="s">
        <v>75</v>
      </c>
      <c r="AE142" s="41" t="s">
        <v>75</v>
      </c>
      <c r="AF142" s="41" t="s">
        <v>75</v>
      </c>
      <c r="AG142" s="41" t="s">
        <v>75</v>
      </c>
      <c r="AH142" s="41" t="s">
        <v>75</v>
      </c>
      <c r="AI142" s="41" t="s">
        <v>75</v>
      </c>
      <c r="AJ142" s="41" t="s">
        <v>75</v>
      </c>
      <c r="AK142" s="41" t="s">
        <v>75</v>
      </c>
      <c r="AL142" s="41" t="s">
        <v>75</v>
      </c>
      <c r="AM142" s="41" t="s">
        <v>75</v>
      </c>
      <c r="AN142" s="41" t="s">
        <v>210</v>
      </c>
      <c r="AO142" s="41" t="s">
        <v>210</v>
      </c>
      <c r="AP142" s="41" t="s">
        <v>210</v>
      </c>
      <c r="AQ142" s="41" t="s">
        <v>210</v>
      </c>
      <c r="AR142" s="41" t="s">
        <v>210</v>
      </c>
      <c r="AS142" s="41" t="s">
        <v>210</v>
      </c>
      <c r="AT142" s="41" t="s">
        <v>210</v>
      </c>
      <c r="AU142" s="42" t="str">
        <f>IF('GNI per capita'!AU142&lt;=Thresholds!$C$44,"L",IF('GNI per capita'!AU142&lt;=Thresholds!$D$44,"LM",IF('GNI per capita'!AU142&lt;=Thresholds!$E$44,"UM","H")))</f>
        <v>LM</v>
      </c>
      <c r="AV142" s="42" t="str">
        <f>IF('GNI per capita'!AV142&lt;=Thresholds!$C$45,"L",IF('GNI per capita'!AV142&lt;=Thresholds!$D$45,"LM",IF('GNI per capita'!AV142&lt;=Thresholds!$E$45,"UM","H")))</f>
        <v>LM</v>
      </c>
      <c r="AW142" s="42" t="str">
        <f>IF('GNI per capita'!AW142&lt;=Thresholds!$C$46,"L",IF('GNI per capita'!AW142&lt;=Thresholds!$D$46,"LM",IF('GNI per capita'!AW142&lt;=Thresholds!$E$46,"UM","H")))</f>
        <v>LM</v>
      </c>
      <c r="AX142" s="42" t="str">
        <f>IF('GNI per capita'!AX142&lt;=Thresholds!$C$47,"L",IF('GNI per capita'!AX142&lt;=Thresholds!$D$47,"LM",IF('GNI per capita'!AX142&lt;=Thresholds!$E$47,"UM","H")))</f>
        <v>LM</v>
      </c>
      <c r="AY142" s="42" t="str">
        <f>IF('GNI per capita'!AY142&lt;=Thresholds!$C$48,"L",IF('GNI per capita'!AY142&lt;=Thresholds!$D$48,"LM",IF('GNI per capita'!AY142&lt;=Thresholds!$E$48,"UM","H")))</f>
        <v>LM</v>
      </c>
      <c r="AZ142" s="42" t="str">
        <f>IF('GNI per capita'!AZ142&lt;=Thresholds!$C$49,"L",IF('GNI per capita'!AZ142&lt;=Thresholds!$D$49,"LM",IF('GNI per capita'!AZ142&lt;=Thresholds!$E$49,"UM","H")))</f>
        <v>LM</v>
      </c>
      <c r="BA142" s="42" t="str">
        <f>IF('GNI per capita'!BA142&lt;=Thresholds!$C$50,"L",IF('GNI per capita'!BA142&lt;=Thresholds!$D$50,"LM",IF('GNI per capita'!BA142&lt;=Thresholds!$E$50,"UM","H")))</f>
        <v>LM</v>
      </c>
      <c r="BB142" s="42" t="str">
        <f>IF('GNI per capita'!BB142&lt;=Thresholds!$C$51,"L",IF('GNI per capita'!BB142&lt;=Thresholds!$D$51,"LM",IF('GNI per capita'!BB142&lt;=Thresholds!$E$51,"UM","H")))</f>
        <v>LM</v>
      </c>
      <c r="BC142" s="42" t="str">
        <f>IF('GNI per capita'!BC142&lt;=Thresholds!$C$52,"L",IF('GNI per capita'!BC142&lt;=Thresholds!$D$52,"LM",IF('GNI per capita'!BC142&lt;=Thresholds!$E$52,"UM","H")))</f>
        <v>LM</v>
      </c>
      <c r="BD142" s="42" t="str">
        <f>IF('GNI per capita'!BD142&lt;=Thresholds!$C$53,"L",IF('GNI per capita'!BD142&lt;=Thresholds!$D$53,"LM",IF('GNI per capita'!BD142&lt;=Thresholds!$E$53,"UM","H")))</f>
        <v>LM</v>
      </c>
      <c r="BE142" s="42" t="str">
        <f>IF('GNI per capita'!BE142&lt;=Thresholds!$C$54,"L",IF('GNI per capita'!BE142&lt;=Thresholds!$D$54,"LM",IF('GNI per capita'!BE142&lt;=Thresholds!$E$54,"UM","H")))</f>
        <v>LM</v>
      </c>
      <c r="BF142" s="42" t="str">
        <f>IF('GNI per capita'!BF142&lt;=Thresholds!$C$55,"L",IF('GNI per capita'!BF142&lt;=Thresholds!$D$55,"LM",IF('GNI per capita'!BF142&lt;=Thresholds!$E$55,"UM","H")))</f>
        <v>LM</v>
      </c>
      <c r="BG142" s="42" t="str">
        <f>IF('GNI per capita'!BG142&lt;=Thresholds!$C$56,"L",IF('GNI per capita'!BG142&lt;=Thresholds!$D$56,"LM",IF('GNI per capita'!BG142&lt;=Thresholds!$E$56,"UM","H")))</f>
        <v>LM</v>
      </c>
      <c r="BH142" s="42" t="str">
        <f>IF('GNI per capita'!BH142&lt;=Thresholds!$C$57,"L",IF('GNI per capita'!BH142&lt;=Thresholds!$D$57,"LM",IF('GNI per capita'!BH142&lt;=Thresholds!$E$57,"UM","H")))</f>
        <v>LM</v>
      </c>
      <c r="BI142" s="42" t="str">
        <f>IF('GNI per capita'!BI142&lt;=Thresholds!$C$58,"L",IF('GNI per capita'!BI142&lt;=Thresholds!$D$58,"LM",IF('GNI per capita'!BI142&lt;=Thresholds!$E$58,"UM","H")))</f>
        <v>LM</v>
      </c>
      <c r="BJ142" s="42" t="str">
        <f>IF('GNI per capita'!BJ142&lt;=Thresholds!$C$59,"L",IF('GNI per capita'!BJ142&lt;=Thresholds!$D$59,"LM",IF('GNI per capita'!BJ142&lt;=Thresholds!$E$59,"UM","H")))</f>
        <v>LM</v>
      </c>
      <c r="BK142" s="42" t="str">
        <f>IF('GNI per capita'!BK142&lt;=Thresholds!$C$60,"L",IF('GNI per capita'!BK142&lt;=Thresholds!$D$60,"LM",IF('GNI per capita'!BK142&lt;=Thresholds!$E$60,"UM","H")))</f>
        <v>LM</v>
      </c>
      <c r="BL142" s="42" t="str">
        <f>IF('GNI per capita'!BL142&lt;=Thresholds!$C$61,"L",IF('GNI per capita'!BL142&lt;=Thresholds!$D$61,"LM",IF('GNI per capita'!BL142&lt;=Thresholds!$E$61,"UM","H")))</f>
        <v>LM</v>
      </c>
      <c r="BM142" s="42" t="str">
        <f>IF('GNI per capita'!BM142&lt;=Thresholds!$C$62,"L",IF('GNI per capita'!BM142&lt;=Thresholds!$D$62,"LM",IF('GNI per capita'!BM142&lt;=Thresholds!$E$62,"UM","H")))</f>
        <v>LM</v>
      </c>
      <c r="BN142" s="42" t="str">
        <f>IF('GNI per capita'!BN142&lt;=Thresholds!$C$63,"L",IF('GNI per capita'!BN142&lt;=Thresholds!$D$63,"LM",IF('GNI per capita'!BN142&lt;=Thresholds!$E$63,"UM","H")))</f>
        <v>LM</v>
      </c>
      <c r="BO142" s="42" t="str">
        <f>IF('GNI per capita'!BO142&lt;=Thresholds!$C$64,"L",IF('GNI per capita'!BO142&lt;=Thresholds!$D$64,"LM",IF('GNI per capita'!BO142&lt;=Thresholds!$E$64,"UM","H")))</f>
        <v>LM</v>
      </c>
      <c r="BP142" s="42" t="str">
        <f>IF('GNI per capita'!BP142&lt;=Thresholds!$C$65,"L",IF('GNI per capita'!BP142&lt;=Thresholds!$D$65,"LM",IF('GNI per capita'!BP142&lt;=Thresholds!$E$65,"UM","H")))</f>
        <v>LM</v>
      </c>
      <c r="BQ142" s="42" t="str">
        <f>IF('GNI per capita'!BQ142&lt;=Thresholds!$C$66,"L",IF('GNI per capita'!BQ142&lt;=Thresholds!$D$66,"LM",IF('GNI per capita'!BQ142&lt;=Thresholds!$E$66,"UM","H")))</f>
        <v>LM</v>
      </c>
      <c r="BR142" s="42" t="str">
        <f>IF('GNI per capita'!BR142&lt;=Thresholds!$C$67,"L",IF('GNI per capita'!BR142&lt;=Thresholds!$D$67,"LM",IF('GNI per capita'!BR142&lt;=Thresholds!$E$67,"UM","H")))</f>
        <v>LM</v>
      </c>
      <c r="BS142" s="42" t="str">
        <f>IF('GNI per capita'!BS142&lt;=Thresholds!$C$68,"L",IF('GNI per capita'!BS142&lt;=Thresholds!$D$68,"LM",IF('GNI per capita'!BS142&lt;=Thresholds!$E$68,"UM","H")))</f>
        <v>LM</v>
      </c>
    </row>
    <row r="143" spans="1:71" x14ac:dyDescent="0.2">
      <c r="A143" s="2" t="s">
        <v>503</v>
      </c>
      <c r="B143" s="2" t="s">
        <v>504</v>
      </c>
      <c r="C143" s="11" t="s">
        <v>79</v>
      </c>
      <c r="G143" s="2" t="s">
        <v>162</v>
      </c>
      <c r="H143" s="41" t="s">
        <v>79</v>
      </c>
      <c r="I143" s="41" t="s">
        <v>79</v>
      </c>
      <c r="J143" s="41" t="s">
        <v>79</v>
      </c>
      <c r="K143" s="41" t="s">
        <v>79</v>
      </c>
      <c r="L143" s="41" t="s">
        <v>79</v>
      </c>
      <c r="M143" s="41" t="s">
        <v>79</v>
      </c>
      <c r="N143" s="41" t="s">
        <v>79</v>
      </c>
      <c r="O143" s="41" t="s">
        <v>79</v>
      </c>
      <c r="P143" s="41" t="s">
        <v>79</v>
      </c>
      <c r="Q143" s="41" t="s">
        <v>79</v>
      </c>
      <c r="R143" s="41" t="s">
        <v>79</v>
      </c>
      <c r="S143" s="41" t="s">
        <v>79</v>
      </c>
      <c r="T143" s="41" t="s">
        <v>79</v>
      </c>
      <c r="U143" s="41" t="s">
        <v>79</v>
      </c>
      <c r="V143" s="41" t="s">
        <v>79</v>
      </c>
      <c r="W143" s="41" t="s">
        <v>79</v>
      </c>
      <c r="X143" s="41" t="s">
        <v>79</v>
      </c>
      <c r="Y143" s="41" t="s">
        <v>79</v>
      </c>
      <c r="Z143" s="41" t="s">
        <v>79</v>
      </c>
      <c r="AA143" s="41" t="s">
        <v>79</v>
      </c>
      <c r="AB143" s="41" t="s">
        <v>79</v>
      </c>
      <c r="AC143" s="41" t="s">
        <v>79</v>
      </c>
      <c r="AD143" s="41" t="s">
        <v>79</v>
      </c>
      <c r="AE143" s="41" t="s">
        <v>79</v>
      </c>
      <c r="AF143" s="41" t="s">
        <v>79</v>
      </c>
      <c r="AG143" s="41" t="s">
        <v>79</v>
      </c>
      <c r="AH143" s="41" t="s">
        <v>79</v>
      </c>
      <c r="AI143" s="41" t="s">
        <v>79</v>
      </c>
      <c r="AJ143" s="41" t="s">
        <v>79</v>
      </c>
      <c r="AK143" s="41" t="s">
        <v>79</v>
      </c>
      <c r="AL143" s="41" t="s">
        <v>79</v>
      </c>
      <c r="AM143" s="41" t="s">
        <v>79</v>
      </c>
      <c r="AN143" s="41" t="s">
        <v>79</v>
      </c>
      <c r="AO143" s="41" t="s">
        <v>79</v>
      </c>
      <c r="AP143" s="41" t="s">
        <v>79</v>
      </c>
      <c r="AQ143" s="41" t="s">
        <v>79</v>
      </c>
      <c r="AR143" s="41" t="s">
        <v>79</v>
      </c>
      <c r="AS143" s="41" t="s">
        <v>79</v>
      </c>
      <c r="AT143" s="41" t="s">
        <v>79</v>
      </c>
      <c r="AU143" s="42" t="str">
        <f>IF('GNI per capita'!AU143&lt;=Thresholds!$C$44,"L",IF('GNI per capita'!AU143&lt;=Thresholds!$D$44,"LM",IF('GNI per capita'!AU143&lt;=Thresholds!$E$44,"UM","H")))</f>
        <v>H</v>
      </c>
      <c r="AV143" s="42" t="str">
        <f>IF('GNI per capita'!AV143&lt;=Thresholds!$C$45,"L",IF('GNI per capita'!AV143&lt;=Thresholds!$D$45,"LM",IF('GNI per capita'!AV143&lt;=Thresholds!$E$45,"UM","H")))</f>
        <v>H</v>
      </c>
      <c r="AW143" s="42" t="str">
        <f>IF('GNI per capita'!AW143&lt;=Thresholds!$C$46,"L",IF('GNI per capita'!AW143&lt;=Thresholds!$D$46,"LM",IF('GNI per capita'!AW143&lt;=Thresholds!$E$46,"UM","H")))</f>
        <v>H</v>
      </c>
      <c r="AX143" s="42" t="str">
        <f>IF('GNI per capita'!AX143&lt;=Thresholds!$C$47,"L",IF('GNI per capita'!AX143&lt;=Thresholds!$D$47,"LM",IF('GNI per capita'!AX143&lt;=Thresholds!$E$47,"UM","H")))</f>
        <v>H</v>
      </c>
      <c r="AY143" s="42" t="str">
        <f>IF('GNI per capita'!AY143&lt;=Thresholds!$C$48,"L",IF('GNI per capita'!AY143&lt;=Thresholds!$D$48,"LM",IF('GNI per capita'!AY143&lt;=Thresholds!$E$48,"UM","H")))</f>
        <v>H</v>
      </c>
      <c r="AZ143" s="42" t="str">
        <f>IF('GNI per capita'!AZ143&lt;=Thresholds!$C$49,"L",IF('GNI per capita'!AZ143&lt;=Thresholds!$D$49,"LM",IF('GNI per capita'!AZ143&lt;=Thresholds!$E$49,"UM","H")))</f>
        <v>H</v>
      </c>
      <c r="BA143" s="42" t="str">
        <f>IF('GNI per capita'!BA143&lt;=Thresholds!$C$50,"L",IF('GNI per capita'!BA143&lt;=Thresholds!$D$50,"LM",IF('GNI per capita'!BA143&lt;=Thresholds!$E$50,"UM","H")))</f>
        <v>H</v>
      </c>
      <c r="BB143" s="42" t="str">
        <f>IF('GNI per capita'!BB143&lt;=Thresholds!$C$51,"L",IF('GNI per capita'!BB143&lt;=Thresholds!$D$51,"LM",IF('GNI per capita'!BB143&lt;=Thresholds!$E$51,"UM","H")))</f>
        <v>H</v>
      </c>
      <c r="BC143" s="42" t="str">
        <f>IF('GNI per capita'!BC143&lt;=Thresholds!$C$52,"L",IF('GNI per capita'!BC143&lt;=Thresholds!$D$52,"LM",IF('GNI per capita'!BC143&lt;=Thresholds!$E$52,"UM","H")))</f>
        <v>H</v>
      </c>
      <c r="BD143" s="42" t="str">
        <f>IF('GNI per capita'!BD143&lt;=Thresholds!$C$53,"L",IF('GNI per capita'!BD143&lt;=Thresholds!$D$53,"LM",IF('GNI per capita'!BD143&lt;=Thresholds!$E$53,"UM","H")))</f>
        <v>H</v>
      </c>
      <c r="BE143" s="42" t="str">
        <f>IF('GNI per capita'!BE143&lt;=Thresholds!$C$54,"L",IF('GNI per capita'!BE143&lt;=Thresholds!$D$54,"LM",IF('GNI per capita'!BE143&lt;=Thresholds!$E$54,"UM","H")))</f>
        <v>H</v>
      </c>
      <c r="BF143" s="42" t="str">
        <f>IF('GNI per capita'!BF143&lt;=Thresholds!$C$55,"L",IF('GNI per capita'!BF143&lt;=Thresholds!$D$55,"LM",IF('GNI per capita'!BF143&lt;=Thresholds!$E$55,"UM","H")))</f>
        <v>H</v>
      </c>
      <c r="BG143" s="42" t="str">
        <f>IF('GNI per capita'!BG143&lt;=Thresholds!$C$56,"L",IF('GNI per capita'!BG143&lt;=Thresholds!$D$56,"LM",IF('GNI per capita'!BG143&lt;=Thresholds!$E$56,"UM","H")))</f>
        <v>H</v>
      </c>
      <c r="BH143" s="42" t="str">
        <f>IF('GNI per capita'!BH143&lt;=Thresholds!$C$57,"L",IF('GNI per capita'!BH143&lt;=Thresholds!$D$57,"LM",IF('GNI per capita'!BH143&lt;=Thresholds!$E$57,"UM","H")))</f>
        <v>H</v>
      </c>
      <c r="BI143" s="42" t="str">
        <f>IF('GNI per capita'!BI143&lt;=Thresholds!$C$58,"L",IF('GNI per capita'!BI143&lt;=Thresholds!$D$58,"LM",IF('GNI per capita'!BI143&lt;=Thresholds!$E$58,"UM","H")))</f>
        <v>H</v>
      </c>
      <c r="BJ143" s="42" t="str">
        <f>IF('GNI per capita'!BJ143&lt;=Thresholds!$C$59,"L",IF('GNI per capita'!BJ143&lt;=Thresholds!$D$59,"LM",IF('GNI per capita'!BJ143&lt;=Thresholds!$E$59,"UM","H")))</f>
        <v>H</v>
      </c>
      <c r="BK143" s="42" t="str">
        <f>IF('GNI per capita'!BK143&lt;=Thresholds!$C$60,"L",IF('GNI per capita'!BK143&lt;=Thresholds!$D$60,"LM",IF('GNI per capita'!BK143&lt;=Thresholds!$E$60,"UM","H")))</f>
        <v>H</v>
      </c>
      <c r="BL143" s="42" t="str">
        <f>IF('GNI per capita'!BL143&lt;=Thresholds!$C$61,"L",IF('GNI per capita'!BL143&lt;=Thresholds!$D$61,"LM",IF('GNI per capita'!BL143&lt;=Thresholds!$E$61,"UM","H")))</f>
        <v>H</v>
      </c>
      <c r="BM143" s="42" t="str">
        <f>IF('GNI per capita'!BM143&lt;=Thresholds!$C$62,"L",IF('GNI per capita'!BM143&lt;=Thresholds!$D$62,"LM",IF('GNI per capita'!BM143&lt;=Thresholds!$E$62,"UM","H")))</f>
        <v>H</v>
      </c>
      <c r="BN143" s="42" t="str">
        <f>IF('GNI per capita'!BN143&lt;=Thresholds!$C$63,"L",IF('GNI per capita'!BN143&lt;=Thresholds!$D$63,"LM",IF('GNI per capita'!BN143&lt;=Thresholds!$E$63,"UM","H")))</f>
        <v>H</v>
      </c>
      <c r="BO143" s="42" t="str">
        <f>IF('GNI per capita'!BO143&lt;=Thresholds!$C$64,"L",IF('GNI per capita'!BO143&lt;=Thresholds!$D$64,"LM",IF('GNI per capita'!BO143&lt;=Thresholds!$E$64,"UM","H")))</f>
        <v>H</v>
      </c>
      <c r="BP143" s="42" t="str">
        <f>IF('GNI per capita'!BP143&lt;=Thresholds!$C$65,"L",IF('GNI per capita'!BP143&lt;=Thresholds!$D$65,"LM",IF('GNI per capita'!BP143&lt;=Thresholds!$E$65,"UM","H")))</f>
        <v>H</v>
      </c>
      <c r="BQ143" s="42" t="str">
        <f>IF('GNI per capita'!BQ143&lt;=Thresholds!$C$66,"L",IF('GNI per capita'!BQ143&lt;=Thresholds!$D$66,"LM",IF('GNI per capita'!BQ143&lt;=Thresholds!$E$66,"UM","H")))</f>
        <v>H</v>
      </c>
      <c r="BR143" s="42" t="str">
        <f>IF('GNI per capita'!BR143&lt;=Thresholds!$C$67,"L",IF('GNI per capita'!BR143&lt;=Thresholds!$D$67,"LM",IF('GNI per capita'!BR143&lt;=Thresholds!$E$67,"UM","H")))</f>
        <v>H</v>
      </c>
      <c r="BS143" s="42" t="str">
        <f>IF('GNI per capita'!BS143&lt;=Thresholds!$C$68,"L",IF('GNI per capita'!BS143&lt;=Thresholds!$D$68,"LM",IF('GNI per capita'!BS143&lt;=Thresholds!$E$68,"UM","H")))</f>
        <v>H</v>
      </c>
    </row>
    <row r="144" spans="1:71" x14ac:dyDescent="0.2">
      <c r="A144" s="2" t="s">
        <v>505</v>
      </c>
      <c r="B144" s="2" t="s">
        <v>506</v>
      </c>
      <c r="C144" s="11" t="s">
        <v>79</v>
      </c>
      <c r="G144" s="28" t="s">
        <v>507</v>
      </c>
      <c r="H144" s="41" t="s">
        <v>82</v>
      </c>
      <c r="I144" s="41" t="s">
        <v>82</v>
      </c>
      <c r="J144" s="41" t="s">
        <v>82</v>
      </c>
      <c r="K144" s="41" t="s">
        <v>82</v>
      </c>
      <c r="L144" s="41" t="s">
        <v>82</v>
      </c>
      <c r="M144" s="41" t="s">
        <v>82</v>
      </c>
      <c r="N144" s="41" t="s">
        <v>82</v>
      </c>
      <c r="O144" s="41" t="s">
        <v>82</v>
      </c>
      <c r="P144" s="41" t="s">
        <v>79</v>
      </c>
      <c r="Q144" s="41" t="s">
        <v>79</v>
      </c>
      <c r="R144" s="41" t="s">
        <v>79</v>
      </c>
      <c r="S144" s="41" t="s">
        <v>79</v>
      </c>
      <c r="T144" s="41" t="s">
        <v>79</v>
      </c>
      <c r="U144" s="41" t="s">
        <v>79</v>
      </c>
      <c r="V144" s="41" t="s">
        <v>79</v>
      </c>
      <c r="W144" s="41" t="s">
        <v>79</v>
      </c>
      <c r="X144" s="41" t="s">
        <v>79</v>
      </c>
      <c r="Y144" s="41" t="s">
        <v>79</v>
      </c>
      <c r="Z144" s="41" t="s">
        <v>79</v>
      </c>
      <c r="AA144" s="41" t="s">
        <v>79</v>
      </c>
      <c r="AB144" s="41" t="s">
        <v>79</v>
      </c>
      <c r="AC144" s="41" t="s">
        <v>79</v>
      </c>
      <c r="AD144" s="41" t="s">
        <v>79</v>
      </c>
      <c r="AE144" s="41" t="s">
        <v>79</v>
      </c>
      <c r="AF144" s="41" t="s">
        <v>79</v>
      </c>
      <c r="AG144" s="41" t="s">
        <v>79</v>
      </c>
      <c r="AH144" s="41" t="s">
        <v>79</v>
      </c>
      <c r="AI144" s="41" t="s">
        <v>79</v>
      </c>
      <c r="AJ144" s="41" t="s">
        <v>79</v>
      </c>
      <c r="AK144" s="41" t="s">
        <v>79</v>
      </c>
      <c r="AL144" s="41" t="s">
        <v>79</v>
      </c>
      <c r="AM144" s="41" t="s">
        <v>79</v>
      </c>
      <c r="AN144" s="41" t="s">
        <v>79</v>
      </c>
      <c r="AO144" s="41" t="s">
        <v>79</v>
      </c>
      <c r="AP144" s="41" t="s">
        <v>79</v>
      </c>
      <c r="AQ144" s="41" t="s">
        <v>79</v>
      </c>
      <c r="AR144" s="41" t="s">
        <v>79</v>
      </c>
      <c r="AS144" s="41" t="s">
        <v>79</v>
      </c>
      <c r="AT144" s="41" t="s">
        <v>79</v>
      </c>
      <c r="AU144" s="42" t="str">
        <f t="shared" ref="AU144:BS144" si="12">$C144</f>
        <v>H</v>
      </c>
      <c r="AV144" s="42" t="str">
        <f t="shared" si="12"/>
        <v>H</v>
      </c>
      <c r="AW144" s="42" t="str">
        <f t="shared" si="12"/>
        <v>H</v>
      </c>
      <c r="AX144" s="42" t="str">
        <f t="shared" si="12"/>
        <v>H</v>
      </c>
      <c r="AY144" s="42" t="str">
        <f t="shared" si="12"/>
        <v>H</v>
      </c>
      <c r="AZ144" s="42" t="str">
        <f t="shared" si="12"/>
        <v>H</v>
      </c>
      <c r="BA144" s="42" t="str">
        <f t="shared" si="12"/>
        <v>H</v>
      </c>
      <c r="BB144" s="42" t="str">
        <f t="shared" si="12"/>
        <v>H</v>
      </c>
      <c r="BC144" s="42" t="str">
        <f t="shared" si="12"/>
        <v>H</v>
      </c>
      <c r="BD144" s="42" t="str">
        <f t="shared" si="12"/>
        <v>H</v>
      </c>
      <c r="BE144" s="42" t="str">
        <f t="shared" si="12"/>
        <v>H</v>
      </c>
      <c r="BF144" s="42" t="str">
        <f t="shared" si="12"/>
        <v>H</v>
      </c>
      <c r="BG144" s="42" t="str">
        <f t="shared" si="12"/>
        <v>H</v>
      </c>
      <c r="BH144" s="42" t="str">
        <f t="shared" si="12"/>
        <v>H</v>
      </c>
      <c r="BI144" s="42" t="str">
        <f t="shared" si="12"/>
        <v>H</v>
      </c>
      <c r="BJ144" s="42" t="str">
        <f t="shared" si="12"/>
        <v>H</v>
      </c>
      <c r="BK144" s="42" t="str">
        <f t="shared" si="12"/>
        <v>H</v>
      </c>
      <c r="BL144" s="42" t="str">
        <f t="shared" si="12"/>
        <v>H</v>
      </c>
      <c r="BM144" s="42" t="str">
        <f t="shared" si="12"/>
        <v>H</v>
      </c>
      <c r="BN144" s="42" t="str">
        <f t="shared" si="12"/>
        <v>H</v>
      </c>
      <c r="BO144" s="42" t="str">
        <f t="shared" si="12"/>
        <v>H</v>
      </c>
      <c r="BP144" s="42" t="str">
        <f t="shared" si="12"/>
        <v>H</v>
      </c>
      <c r="BQ144" s="42" t="str">
        <f t="shared" si="12"/>
        <v>H</v>
      </c>
      <c r="BR144" s="42" t="str">
        <f t="shared" si="12"/>
        <v>H</v>
      </c>
      <c r="BS144" s="42" t="str">
        <f t="shared" si="12"/>
        <v>H</v>
      </c>
    </row>
    <row r="145" spans="1:71" x14ac:dyDescent="0.2">
      <c r="A145" s="2" t="s">
        <v>508</v>
      </c>
      <c r="B145" s="2" t="s">
        <v>509</v>
      </c>
      <c r="C145" s="11" t="s">
        <v>79</v>
      </c>
      <c r="G145" s="2" t="s">
        <v>510</v>
      </c>
      <c r="H145" s="41" t="s">
        <v>79</v>
      </c>
      <c r="I145" s="41" t="s">
        <v>79</v>
      </c>
      <c r="J145" s="41" t="s">
        <v>79</v>
      </c>
      <c r="K145" s="41" t="s">
        <v>79</v>
      </c>
      <c r="L145" s="41" t="s">
        <v>79</v>
      </c>
      <c r="M145" s="41" t="s">
        <v>79</v>
      </c>
      <c r="N145" s="41" t="s">
        <v>79</v>
      </c>
      <c r="O145" s="41" t="s">
        <v>79</v>
      </c>
      <c r="P145" s="41" t="s">
        <v>79</v>
      </c>
      <c r="Q145" s="41" t="s">
        <v>79</v>
      </c>
      <c r="R145" s="41" t="s">
        <v>79</v>
      </c>
      <c r="S145" s="41" t="s">
        <v>79</v>
      </c>
      <c r="T145" s="41" t="s">
        <v>79</v>
      </c>
      <c r="U145" s="41" t="s">
        <v>79</v>
      </c>
      <c r="V145" s="41" t="s">
        <v>79</v>
      </c>
      <c r="W145" s="41" t="s">
        <v>79</v>
      </c>
      <c r="X145" s="41" t="s">
        <v>79</v>
      </c>
      <c r="Y145" s="41" t="s">
        <v>79</v>
      </c>
      <c r="Z145" s="41" t="s">
        <v>79</v>
      </c>
      <c r="AA145" s="41" t="s">
        <v>79</v>
      </c>
      <c r="AB145" s="41" t="s">
        <v>79</v>
      </c>
      <c r="AC145" s="41" t="s">
        <v>79</v>
      </c>
      <c r="AD145" s="41" t="s">
        <v>79</v>
      </c>
      <c r="AE145" s="41" t="s">
        <v>79</v>
      </c>
      <c r="AF145" s="41" t="s">
        <v>79</v>
      </c>
      <c r="AG145" s="41" t="s">
        <v>79</v>
      </c>
      <c r="AH145" s="41" t="s">
        <v>79</v>
      </c>
      <c r="AI145" s="41" t="s">
        <v>79</v>
      </c>
      <c r="AJ145" s="41" t="s">
        <v>79</v>
      </c>
      <c r="AK145" s="41" t="s">
        <v>79</v>
      </c>
      <c r="AL145" s="41" t="s">
        <v>79</v>
      </c>
      <c r="AM145" s="41" t="s">
        <v>79</v>
      </c>
      <c r="AN145" s="41" t="s">
        <v>79</v>
      </c>
      <c r="AO145" s="41" t="s">
        <v>79</v>
      </c>
      <c r="AP145" s="41" t="s">
        <v>79</v>
      </c>
      <c r="AQ145" s="41" t="s">
        <v>79</v>
      </c>
      <c r="AR145" s="41" t="s">
        <v>79</v>
      </c>
      <c r="AS145" s="41" t="s">
        <v>79</v>
      </c>
      <c r="AT145" s="41" t="s">
        <v>79</v>
      </c>
      <c r="AU145" s="42" t="str">
        <f>IF('GNI per capita'!AU145&lt;=Thresholds!$C$44,"L",IF('GNI per capita'!AU145&lt;=Thresholds!$D$44,"LM",IF('GNI per capita'!AU145&lt;=Thresholds!$E$44,"UM","H")))</f>
        <v>H</v>
      </c>
      <c r="AV145" s="42" t="str">
        <f>IF('GNI per capita'!AV145&lt;=Thresholds!$C$45,"L",IF('GNI per capita'!AV145&lt;=Thresholds!$D$45,"LM",IF('GNI per capita'!AV145&lt;=Thresholds!$E$45,"UM","H")))</f>
        <v>H</v>
      </c>
      <c r="AW145" s="42" t="str">
        <f>IF('GNI per capita'!AW145&lt;=Thresholds!$C$46,"L",IF('GNI per capita'!AW145&lt;=Thresholds!$D$46,"LM",IF('GNI per capita'!AW145&lt;=Thresholds!$E$46,"UM","H")))</f>
        <v>H</v>
      </c>
      <c r="AX145" s="42" t="str">
        <f>IF('GNI per capita'!AX145&lt;=Thresholds!$C$47,"L",IF('GNI per capita'!AX145&lt;=Thresholds!$D$47,"LM",IF('GNI per capita'!AX145&lt;=Thresholds!$E$47,"UM","H")))</f>
        <v>H</v>
      </c>
      <c r="AY145" s="42" t="str">
        <f>IF('GNI per capita'!AY145&lt;=Thresholds!$C$48,"L",IF('GNI per capita'!AY145&lt;=Thresholds!$D$48,"LM",IF('GNI per capita'!AY145&lt;=Thresholds!$E$48,"UM","H")))</f>
        <v>H</v>
      </c>
      <c r="AZ145" s="42" t="str">
        <f>IF('GNI per capita'!AZ145&lt;=Thresholds!$C$49,"L",IF('GNI per capita'!AZ145&lt;=Thresholds!$D$49,"LM",IF('GNI per capita'!AZ145&lt;=Thresholds!$E$49,"UM","H")))</f>
        <v>H</v>
      </c>
      <c r="BA145" s="42" t="str">
        <f>IF('GNI per capita'!BA145&lt;=Thresholds!$C$50,"L",IF('GNI per capita'!BA145&lt;=Thresholds!$D$50,"LM",IF('GNI per capita'!BA145&lt;=Thresholds!$E$50,"UM","H")))</f>
        <v>H</v>
      </c>
      <c r="BB145" s="42" t="str">
        <f>IF('GNI per capita'!BB145&lt;=Thresholds!$C$51,"L",IF('GNI per capita'!BB145&lt;=Thresholds!$D$51,"LM",IF('GNI per capita'!BB145&lt;=Thresholds!$E$51,"UM","H")))</f>
        <v>H</v>
      </c>
      <c r="BC145" s="42" t="str">
        <f>IF('GNI per capita'!BC145&lt;=Thresholds!$C$52,"L",IF('GNI per capita'!BC145&lt;=Thresholds!$D$52,"LM",IF('GNI per capita'!BC145&lt;=Thresholds!$E$52,"UM","H")))</f>
        <v>H</v>
      </c>
      <c r="BD145" s="42" t="str">
        <f>IF('GNI per capita'!BD145&lt;=Thresholds!$C$53,"L",IF('GNI per capita'!BD145&lt;=Thresholds!$D$53,"LM",IF('GNI per capita'!BD145&lt;=Thresholds!$E$53,"UM","H")))</f>
        <v>H</v>
      </c>
      <c r="BE145" s="42" t="str">
        <f>IF('GNI per capita'!BE145&lt;=Thresholds!$C$54,"L",IF('GNI per capita'!BE145&lt;=Thresholds!$D$54,"LM",IF('GNI per capita'!BE145&lt;=Thresholds!$E$54,"UM","H")))</f>
        <v>H</v>
      </c>
      <c r="BF145" s="42" t="str">
        <f>IF('GNI per capita'!BF145&lt;=Thresholds!$C$55,"L",IF('GNI per capita'!BF145&lt;=Thresholds!$D$55,"LM",IF('GNI per capita'!BF145&lt;=Thresholds!$E$55,"UM","H")))</f>
        <v>H</v>
      </c>
      <c r="BG145" s="42" t="str">
        <f>IF('GNI per capita'!BG145&lt;=Thresholds!$C$56,"L",IF('GNI per capita'!BG145&lt;=Thresholds!$D$56,"LM",IF('GNI per capita'!BG145&lt;=Thresholds!$E$56,"UM","H")))</f>
        <v>H</v>
      </c>
      <c r="BH145" s="42" t="str">
        <f>IF('GNI per capita'!BH145&lt;=Thresholds!$C$57,"L",IF('GNI per capita'!BH145&lt;=Thresholds!$D$57,"LM",IF('GNI per capita'!BH145&lt;=Thresholds!$E$57,"UM","H")))</f>
        <v>H</v>
      </c>
      <c r="BI145" s="42" t="str">
        <f>IF('GNI per capita'!BI145&lt;=Thresholds!$C$58,"L",IF('GNI per capita'!BI145&lt;=Thresholds!$D$58,"LM",IF('GNI per capita'!BI145&lt;=Thresholds!$E$58,"UM","H")))</f>
        <v>H</v>
      </c>
      <c r="BJ145" s="42" t="str">
        <f>IF('GNI per capita'!BJ145&lt;=Thresholds!$C$59,"L",IF('GNI per capita'!BJ145&lt;=Thresholds!$D$59,"LM",IF('GNI per capita'!BJ145&lt;=Thresholds!$E$59,"UM","H")))</f>
        <v>H</v>
      </c>
      <c r="BK145" s="42" t="str">
        <f>IF('GNI per capita'!BK145&lt;=Thresholds!$C$60,"L",IF('GNI per capita'!BK145&lt;=Thresholds!$D$60,"LM",IF('GNI per capita'!BK145&lt;=Thresholds!$E$60,"UM","H")))</f>
        <v>H</v>
      </c>
      <c r="BL145" s="42" t="str">
        <f>IF('GNI per capita'!BL145&lt;=Thresholds!$C$61,"L",IF('GNI per capita'!BL145&lt;=Thresholds!$D$61,"LM",IF('GNI per capita'!BL145&lt;=Thresholds!$E$61,"UM","H")))</f>
        <v>H</v>
      </c>
      <c r="BM145" s="42" t="str">
        <f>IF('GNI per capita'!BM145&lt;=Thresholds!$C$62,"L",IF('GNI per capita'!BM145&lt;=Thresholds!$D$62,"LM",IF('GNI per capita'!BM145&lt;=Thresholds!$E$62,"UM","H")))</f>
        <v>H</v>
      </c>
      <c r="BN145" s="42" t="str">
        <f>IF('GNI per capita'!BN145&lt;=Thresholds!$C$63,"L",IF('GNI per capita'!BN145&lt;=Thresholds!$D$63,"LM",IF('GNI per capita'!BN145&lt;=Thresholds!$E$63,"UM","H")))</f>
        <v>H</v>
      </c>
      <c r="BO145" s="42" t="str">
        <f>IF('GNI per capita'!BO145&lt;=Thresholds!$C$64,"L",IF('GNI per capita'!BO145&lt;=Thresholds!$D$64,"LM",IF('GNI per capita'!BO145&lt;=Thresholds!$E$64,"UM","H")))</f>
        <v>H</v>
      </c>
      <c r="BP145" s="42" t="str">
        <f>IF('GNI per capita'!BP145&lt;=Thresholds!$C$65,"L",IF('GNI per capita'!BP145&lt;=Thresholds!$D$65,"LM",IF('GNI per capita'!BP145&lt;=Thresholds!$E$65,"UM","H")))</f>
        <v>H</v>
      </c>
      <c r="BQ145" s="42" t="str">
        <f>IF('GNI per capita'!BQ145&lt;=Thresholds!$C$66,"L",IF('GNI per capita'!BQ145&lt;=Thresholds!$D$66,"LM",IF('GNI per capita'!BQ145&lt;=Thresholds!$E$66,"UM","H")))</f>
        <v>H</v>
      </c>
      <c r="BR145" s="42" t="str">
        <f>IF('GNI per capita'!BR145&lt;=Thresholds!$C$67,"L",IF('GNI per capita'!BR145&lt;=Thresholds!$D$67,"LM",IF('GNI per capita'!BR145&lt;=Thresholds!$E$67,"UM","H")))</f>
        <v>H</v>
      </c>
      <c r="BS145" s="42" t="str">
        <f>IF('GNI per capita'!BS145&lt;=Thresholds!$C$68,"L",IF('GNI per capita'!BS145&lt;=Thresholds!$D$68,"LM",IF('GNI per capita'!BS145&lt;=Thresholds!$E$68,"UM","H")))</f>
        <v>H</v>
      </c>
    </row>
    <row r="146" spans="1:71" x14ac:dyDescent="0.2">
      <c r="A146" s="2" t="s">
        <v>511</v>
      </c>
      <c r="B146" s="2" t="s">
        <v>512</v>
      </c>
      <c r="C146" s="11" t="s">
        <v>210</v>
      </c>
      <c r="G146" s="2" t="s">
        <v>162</v>
      </c>
      <c r="H146" s="41" t="s">
        <v>210</v>
      </c>
      <c r="I146" s="41" t="s">
        <v>210</v>
      </c>
      <c r="J146" s="41" t="s">
        <v>210</v>
      </c>
      <c r="K146" s="41" t="s">
        <v>210</v>
      </c>
      <c r="L146" s="41" t="s">
        <v>75</v>
      </c>
      <c r="M146" s="41" t="s">
        <v>75</v>
      </c>
      <c r="N146" s="41" t="s">
        <v>75</v>
      </c>
      <c r="O146" s="41" t="s">
        <v>75</v>
      </c>
      <c r="P146" s="41" t="s">
        <v>75</v>
      </c>
      <c r="Q146" s="41" t="s">
        <v>75</v>
      </c>
      <c r="R146" s="41" t="s">
        <v>75</v>
      </c>
      <c r="S146" s="41" t="s">
        <v>75</v>
      </c>
      <c r="T146" s="41" t="s">
        <v>75</v>
      </c>
      <c r="U146" s="41" t="s">
        <v>75</v>
      </c>
      <c r="V146" s="41" t="s">
        <v>75</v>
      </c>
      <c r="W146" s="41" t="s">
        <v>75</v>
      </c>
      <c r="X146" s="41" t="s">
        <v>75</v>
      </c>
      <c r="Y146" s="41" t="s">
        <v>75</v>
      </c>
      <c r="Z146" s="41" t="s">
        <v>210</v>
      </c>
      <c r="AA146" s="41" t="s">
        <v>210</v>
      </c>
      <c r="AB146" s="41" t="s">
        <v>210</v>
      </c>
      <c r="AC146" s="41" t="s">
        <v>210</v>
      </c>
      <c r="AD146" s="41" t="s">
        <v>210</v>
      </c>
      <c r="AE146" s="41" t="s">
        <v>210</v>
      </c>
      <c r="AF146" s="41" t="s">
        <v>210</v>
      </c>
      <c r="AG146" s="41" t="s">
        <v>210</v>
      </c>
      <c r="AH146" s="41" t="s">
        <v>210</v>
      </c>
      <c r="AI146" s="41" t="s">
        <v>210</v>
      </c>
      <c r="AJ146" s="41" t="s">
        <v>210</v>
      </c>
      <c r="AK146" s="41" t="s">
        <v>210</v>
      </c>
      <c r="AL146" s="41" t="s">
        <v>210</v>
      </c>
      <c r="AM146" s="41" t="s">
        <v>210</v>
      </c>
      <c r="AN146" s="41" t="s">
        <v>210</v>
      </c>
      <c r="AO146" s="41" t="s">
        <v>210</v>
      </c>
      <c r="AP146" s="41" t="s">
        <v>210</v>
      </c>
      <c r="AQ146" s="41" t="s">
        <v>210</v>
      </c>
      <c r="AR146" s="41" t="s">
        <v>210</v>
      </c>
      <c r="AS146" s="41" t="s">
        <v>210</v>
      </c>
      <c r="AT146" s="41" t="s">
        <v>210</v>
      </c>
      <c r="AU146" s="42" t="str">
        <f>IF('GNI per capita'!AU146&lt;=Thresholds!$C$44,"L",IF('GNI per capita'!AU146&lt;=Thresholds!$D$44,"LM",IF('GNI per capita'!AU146&lt;=Thresholds!$E$44,"UM","H")))</f>
        <v>LM</v>
      </c>
      <c r="AV146" s="42" t="str">
        <f>IF('GNI per capita'!AV146&lt;=Thresholds!$C$45,"L",IF('GNI per capita'!AV146&lt;=Thresholds!$D$45,"LM",IF('GNI per capita'!AV146&lt;=Thresholds!$E$45,"UM","H")))</f>
        <v>LM</v>
      </c>
      <c r="AW146" s="42" t="str">
        <f>IF('GNI per capita'!AW146&lt;=Thresholds!$C$46,"L",IF('GNI per capita'!AW146&lt;=Thresholds!$D$46,"LM",IF('GNI per capita'!AW146&lt;=Thresholds!$E$46,"UM","H")))</f>
        <v>LM</v>
      </c>
      <c r="AX146" s="42" t="str">
        <f>IF('GNI per capita'!AX146&lt;=Thresholds!$C$47,"L",IF('GNI per capita'!AX146&lt;=Thresholds!$D$47,"LM",IF('GNI per capita'!AX146&lt;=Thresholds!$E$47,"UM","H")))</f>
        <v>LM</v>
      </c>
      <c r="AY146" s="42" t="str">
        <f>IF('GNI per capita'!AY146&lt;=Thresholds!$C$48,"L",IF('GNI per capita'!AY146&lt;=Thresholds!$D$48,"LM",IF('GNI per capita'!AY146&lt;=Thresholds!$E$48,"UM","H")))</f>
        <v>LM</v>
      </c>
      <c r="AZ146" s="42" t="str">
        <f>IF('GNI per capita'!AZ146&lt;=Thresholds!$C$49,"L",IF('GNI per capita'!AZ146&lt;=Thresholds!$D$49,"LM",IF('GNI per capita'!AZ146&lt;=Thresholds!$E$49,"UM","H")))</f>
        <v>LM</v>
      </c>
      <c r="BA146" s="42" t="str">
        <f>IF('GNI per capita'!BA146&lt;=Thresholds!$C$50,"L",IF('GNI per capita'!BA146&lt;=Thresholds!$D$50,"LM",IF('GNI per capita'!BA146&lt;=Thresholds!$E$50,"UM","H")))</f>
        <v>LM</v>
      </c>
      <c r="BB146" s="42" t="str">
        <f>IF('GNI per capita'!BB146&lt;=Thresholds!$C$51,"L",IF('GNI per capita'!BB146&lt;=Thresholds!$D$51,"LM",IF('GNI per capita'!BB146&lt;=Thresholds!$E$51,"UM","H")))</f>
        <v>LM</v>
      </c>
      <c r="BC146" s="42" t="str">
        <f>IF('GNI per capita'!BC146&lt;=Thresholds!$C$52,"L",IF('GNI per capita'!BC146&lt;=Thresholds!$D$52,"LM",IF('GNI per capita'!BC146&lt;=Thresholds!$E$52,"UM","H")))</f>
        <v>LM</v>
      </c>
      <c r="BD146" s="42" t="str">
        <f>IF('GNI per capita'!BD146&lt;=Thresholds!$C$53,"L",IF('GNI per capita'!BD146&lt;=Thresholds!$D$53,"LM",IF('GNI per capita'!BD146&lt;=Thresholds!$E$53,"UM","H")))</f>
        <v>LM</v>
      </c>
      <c r="BE146" s="42" t="str">
        <f>IF('GNI per capita'!BE146&lt;=Thresholds!$C$54,"L",IF('GNI per capita'!BE146&lt;=Thresholds!$D$54,"LM",IF('GNI per capita'!BE146&lt;=Thresholds!$E$54,"UM","H")))</f>
        <v>LM</v>
      </c>
      <c r="BF146" s="42" t="str">
        <f>IF('GNI per capita'!BF146&lt;=Thresholds!$C$55,"L",IF('GNI per capita'!BF146&lt;=Thresholds!$D$55,"LM",IF('GNI per capita'!BF146&lt;=Thresholds!$E$55,"UM","H")))</f>
        <v>LM</v>
      </c>
      <c r="BG146" s="42" t="str">
        <f>IF('GNI per capita'!BG146&lt;=Thresholds!$C$56,"L",IF('GNI per capita'!BG146&lt;=Thresholds!$D$56,"LM",IF('GNI per capita'!BG146&lt;=Thresholds!$E$56,"UM","H")))</f>
        <v>LM</v>
      </c>
      <c r="BH146" s="42" t="str">
        <f>IF('GNI per capita'!BH146&lt;=Thresholds!$C$57,"L",IF('GNI per capita'!BH146&lt;=Thresholds!$D$57,"LM",IF('GNI per capita'!BH146&lt;=Thresholds!$E$57,"UM","H")))</f>
        <v>LM</v>
      </c>
      <c r="BI146" s="42" t="str">
        <f>IF('GNI per capita'!BI146&lt;=Thresholds!$C$58,"L",IF('GNI per capita'!BI146&lt;=Thresholds!$D$58,"LM",IF('GNI per capita'!BI146&lt;=Thresholds!$E$58,"UM","H")))</f>
        <v>LM</v>
      </c>
      <c r="BJ146" s="42" t="str">
        <f>IF('GNI per capita'!BJ146&lt;=Thresholds!$C$59,"L",IF('GNI per capita'!BJ146&lt;=Thresholds!$D$59,"LM",IF('GNI per capita'!BJ146&lt;=Thresholds!$E$59,"UM","H")))</f>
        <v>LM</v>
      </c>
      <c r="BK146" s="42" t="str">
        <f>IF('GNI per capita'!BK146&lt;=Thresholds!$C$60,"L",IF('GNI per capita'!BK146&lt;=Thresholds!$D$60,"LM",IF('GNI per capita'!BK146&lt;=Thresholds!$E$60,"UM","H")))</f>
        <v>LM</v>
      </c>
      <c r="BL146" s="42" t="str">
        <f>IF('GNI per capita'!BL146&lt;=Thresholds!$C$61,"L",IF('GNI per capita'!BL146&lt;=Thresholds!$D$61,"LM",IF('GNI per capita'!BL146&lt;=Thresholds!$E$61,"UM","H")))</f>
        <v>UM</v>
      </c>
      <c r="BM146" s="42" t="str">
        <f>IF('GNI per capita'!BM146&lt;=Thresholds!$C$62,"L",IF('GNI per capita'!BM146&lt;=Thresholds!$D$62,"LM",IF('GNI per capita'!BM146&lt;=Thresholds!$E$62,"UM","H")))</f>
        <v>UM</v>
      </c>
      <c r="BN146" s="42" t="str">
        <f>IF('GNI per capita'!BN146&lt;=Thresholds!$C$63,"L",IF('GNI per capita'!BN146&lt;=Thresholds!$D$63,"LM",IF('GNI per capita'!BN146&lt;=Thresholds!$E$63,"UM","H")))</f>
        <v>UM</v>
      </c>
      <c r="BO146" s="42" t="str">
        <f>IF('GNI per capita'!BO146&lt;=Thresholds!$C$64,"L",IF('GNI per capita'!BO146&lt;=Thresholds!$D$64,"LM",IF('GNI per capita'!BO146&lt;=Thresholds!$E$64,"UM","H")))</f>
        <v>UM</v>
      </c>
      <c r="BP146" s="42" t="str">
        <f>IF('GNI per capita'!BP146&lt;=Thresholds!$C$65,"L",IF('GNI per capita'!BP146&lt;=Thresholds!$D$65,"LM",IF('GNI per capita'!BP146&lt;=Thresholds!$E$65,"UM","H")))</f>
        <v>UM</v>
      </c>
      <c r="BQ146" s="42" t="str">
        <f>IF('GNI per capita'!BQ146&lt;=Thresholds!$C$66,"L",IF('GNI per capita'!BQ146&lt;=Thresholds!$D$66,"LM",IF('GNI per capita'!BQ146&lt;=Thresholds!$E$66,"UM","H")))</f>
        <v>UM</v>
      </c>
      <c r="BR146" s="42" t="str">
        <f>IF('GNI per capita'!BR146&lt;=Thresholds!$C$67,"L",IF('GNI per capita'!BR146&lt;=Thresholds!$D$67,"LM",IF('GNI per capita'!BR146&lt;=Thresholds!$E$67,"UM","H")))</f>
        <v>UM</v>
      </c>
      <c r="BS146" s="42" t="str">
        <f>IF('GNI per capita'!BS146&lt;=Thresholds!$C$68,"L",IF('GNI per capita'!BS146&lt;=Thresholds!$D$68,"LM",IF('GNI per capita'!BS146&lt;=Thresholds!$E$68,"UM","H")))</f>
        <v>UM</v>
      </c>
    </row>
    <row r="147" spans="1:71" x14ac:dyDescent="0.2">
      <c r="A147" s="2" t="s">
        <v>513</v>
      </c>
      <c r="B147" s="2" t="s">
        <v>514</v>
      </c>
      <c r="C147" s="11" t="s">
        <v>75</v>
      </c>
      <c r="G147" s="2" t="s">
        <v>162</v>
      </c>
      <c r="H147" s="41" t="s">
        <v>75</v>
      </c>
      <c r="I147" s="41" t="s">
        <v>75</v>
      </c>
      <c r="J147" s="41" t="s">
        <v>75</v>
      </c>
      <c r="K147" s="41" t="s">
        <v>75</v>
      </c>
      <c r="L147" s="41" t="s">
        <v>75</v>
      </c>
      <c r="M147" s="41" t="s">
        <v>75</v>
      </c>
      <c r="N147" s="41" t="s">
        <v>75</v>
      </c>
      <c r="O147" s="41" t="s">
        <v>75</v>
      </c>
      <c r="P147" s="41" t="s">
        <v>75</v>
      </c>
      <c r="Q147" s="41" t="s">
        <v>75</v>
      </c>
      <c r="R147" s="41" t="s">
        <v>75</v>
      </c>
      <c r="S147" s="41" t="s">
        <v>75</v>
      </c>
      <c r="T147" s="41" t="s">
        <v>75</v>
      </c>
      <c r="U147" s="41" t="s">
        <v>75</v>
      </c>
      <c r="V147" s="41" t="s">
        <v>75</v>
      </c>
      <c r="W147" s="41" t="s">
        <v>75</v>
      </c>
      <c r="X147" s="41" t="s">
        <v>75</v>
      </c>
      <c r="Y147" s="41" t="s">
        <v>75</v>
      </c>
      <c r="Z147" s="41" t="s">
        <v>75</v>
      </c>
      <c r="AA147" s="41" t="s">
        <v>75</v>
      </c>
      <c r="AB147" s="41" t="s">
        <v>75</v>
      </c>
      <c r="AC147" s="41" t="s">
        <v>75</v>
      </c>
      <c r="AD147" s="41" t="s">
        <v>75</v>
      </c>
      <c r="AE147" s="41" t="s">
        <v>75</v>
      </c>
      <c r="AF147" s="41" t="s">
        <v>75</v>
      </c>
      <c r="AG147" s="41" t="s">
        <v>75</v>
      </c>
      <c r="AH147" s="41" t="s">
        <v>75</v>
      </c>
      <c r="AI147" s="41" t="s">
        <v>75</v>
      </c>
      <c r="AJ147" s="41" t="s">
        <v>75</v>
      </c>
      <c r="AK147" s="41" t="s">
        <v>75</v>
      </c>
      <c r="AL147" s="41" t="s">
        <v>75</v>
      </c>
      <c r="AM147" s="41" t="s">
        <v>75</v>
      </c>
      <c r="AN147" s="41" t="s">
        <v>75</v>
      </c>
      <c r="AO147" s="41" t="s">
        <v>75</v>
      </c>
      <c r="AP147" s="41" t="s">
        <v>75</v>
      </c>
      <c r="AQ147" s="41" t="s">
        <v>75</v>
      </c>
      <c r="AR147" s="41" t="s">
        <v>75</v>
      </c>
      <c r="AS147" s="41" t="s">
        <v>75</v>
      </c>
      <c r="AT147" s="41" t="s">
        <v>75</v>
      </c>
      <c r="AU147" s="42" t="str">
        <f>IF('GNI per capita'!AU147&lt;=Thresholds!$C$44,"L",IF('GNI per capita'!AU147&lt;=Thresholds!$D$44,"LM",IF('GNI per capita'!AU147&lt;=Thresholds!$E$44,"UM","H")))</f>
        <v>L</v>
      </c>
      <c r="AV147" s="42" t="str">
        <f>IF('GNI per capita'!AV147&lt;=Thresholds!$C$45,"L",IF('GNI per capita'!AV147&lt;=Thresholds!$D$45,"LM",IF('GNI per capita'!AV147&lt;=Thresholds!$E$45,"UM","H")))</f>
        <v>L</v>
      </c>
      <c r="AW147" s="42" t="str">
        <f>IF('GNI per capita'!AW147&lt;=Thresholds!$C$46,"L",IF('GNI per capita'!AW147&lt;=Thresholds!$D$46,"LM",IF('GNI per capita'!AW147&lt;=Thresholds!$E$46,"UM","H")))</f>
        <v>L</v>
      </c>
      <c r="AX147" s="42" t="str">
        <f>IF('GNI per capita'!AX147&lt;=Thresholds!$C$47,"L",IF('GNI per capita'!AX147&lt;=Thresholds!$D$47,"LM",IF('GNI per capita'!AX147&lt;=Thresholds!$E$47,"UM","H")))</f>
        <v>L</v>
      </c>
      <c r="AY147" s="42" t="str">
        <f>IF('GNI per capita'!AY147&lt;=Thresholds!$C$48,"L",IF('GNI per capita'!AY147&lt;=Thresholds!$D$48,"LM",IF('GNI per capita'!AY147&lt;=Thresholds!$E$48,"UM","H")))</f>
        <v>L</v>
      </c>
      <c r="AZ147" s="42" t="str">
        <f>IF('GNI per capita'!AZ147&lt;=Thresholds!$C$49,"L",IF('GNI per capita'!AZ147&lt;=Thresholds!$D$49,"LM",IF('GNI per capita'!AZ147&lt;=Thresholds!$E$49,"UM","H")))</f>
        <v>L</v>
      </c>
      <c r="BA147" s="42" t="str">
        <f>IF('GNI per capita'!BA147&lt;=Thresholds!$C$50,"L",IF('GNI per capita'!BA147&lt;=Thresholds!$D$50,"LM",IF('GNI per capita'!BA147&lt;=Thresholds!$E$50,"UM","H")))</f>
        <v>L</v>
      </c>
      <c r="BB147" s="42" t="str">
        <f>IF('GNI per capita'!BB147&lt;=Thresholds!$C$51,"L",IF('GNI per capita'!BB147&lt;=Thresholds!$D$51,"LM",IF('GNI per capita'!BB147&lt;=Thresholds!$E$51,"UM","H")))</f>
        <v>L</v>
      </c>
      <c r="BC147" s="42" t="str">
        <f>IF('GNI per capita'!BC147&lt;=Thresholds!$C$52,"L",IF('GNI per capita'!BC147&lt;=Thresholds!$D$52,"LM",IF('GNI per capita'!BC147&lt;=Thresholds!$E$52,"UM","H")))</f>
        <v>L</v>
      </c>
      <c r="BD147" s="42" t="str">
        <f>IF('GNI per capita'!BD147&lt;=Thresholds!$C$53,"L",IF('GNI per capita'!BD147&lt;=Thresholds!$D$53,"LM",IF('GNI per capita'!BD147&lt;=Thresholds!$E$53,"UM","H")))</f>
        <v>L</v>
      </c>
      <c r="BE147" s="42" t="str">
        <f>IF('GNI per capita'!BE147&lt;=Thresholds!$C$54,"L",IF('GNI per capita'!BE147&lt;=Thresholds!$D$54,"LM",IF('GNI per capita'!BE147&lt;=Thresholds!$E$54,"UM","H")))</f>
        <v>L</v>
      </c>
      <c r="BF147" s="42" t="str">
        <f>IF('GNI per capita'!BF147&lt;=Thresholds!$C$55,"L",IF('GNI per capita'!BF147&lt;=Thresholds!$D$55,"LM",IF('GNI per capita'!BF147&lt;=Thresholds!$E$55,"UM","H")))</f>
        <v>L</v>
      </c>
      <c r="BG147" s="42" t="str">
        <f>IF('GNI per capita'!BG147&lt;=Thresholds!$C$56,"L",IF('GNI per capita'!BG147&lt;=Thresholds!$D$56,"LM",IF('GNI per capita'!BG147&lt;=Thresholds!$E$56,"UM","H")))</f>
        <v>L</v>
      </c>
      <c r="BH147" s="42" t="str">
        <f>IF('GNI per capita'!BH147&lt;=Thresholds!$C$57,"L",IF('GNI per capita'!BH147&lt;=Thresholds!$D$57,"LM",IF('GNI per capita'!BH147&lt;=Thresholds!$E$57,"UM","H")))</f>
        <v>L</v>
      </c>
      <c r="BI147" s="42" t="str">
        <f>IF('GNI per capita'!BI147&lt;=Thresholds!$C$58,"L",IF('GNI per capita'!BI147&lt;=Thresholds!$D$58,"LM",IF('GNI per capita'!BI147&lt;=Thresholds!$E$58,"UM","H")))</f>
        <v>L</v>
      </c>
      <c r="BJ147" s="42" t="str">
        <f>IF('GNI per capita'!BJ147&lt;=Thresholds!$C$59,"L",IF('GNI per capita'!BJ147&lt;=Thresholds!$D$59,"LM",IF('GNI per capita'!BJ147&lt;=Thresholds!$E$59,"UM","H")))</f>
        <v>L</v>
      </c>
      <c r="BK147" s="42" t="str">
        <f>IF('GNI per capita'!BK147&lt;=Thresholds!$C$60,"L",IF('GNI per capita'!BK147&lt;=Thresholds!$D$60,"LM",IF('GNI per capita'!BK147&lt;=Thresholds!$E$60,"UM","H")))</f>
        <v>L</v>
      </c>
      <c r="BL147" s="42" t="str">
        <f>IF('GNI per capita'!BL147&lt;=Thresholds!$C$61,"L",IF('GNI per capita'!BL147&lt;=Thresholds!$D$61,"LM",IF('GNI per capita'!BL147&lt;=Thresholds!$E$61,"UM","H")))</f>
        <v>L</v>
      </c>
      <c r="BM147" s="42" t="str">
        <f>IF('GNI per capita'!BM147&lt;=Thresholds!$C$62,"L",IF('GNI per capita'!BM147&lt;=Thresholds!$D$62,"LM",IF('GNI per capita'!BM147&lt;=Thresholds!$E$62,"UM","H")))</f>
        <v>L</v>
      </c>
      <c r="BN147" s="42" t="str">
        <f>IF('GNI per capita'!BN147&lt;=Thresholds!$C$63,"L",IF('GNI per capita'!BN147&lt;=Thresholds!$D$63,"LM",IF('GNI per capita'!BN147&lt;=Thresholds!$E$63,"UM","H")))</f>
        <v>L</v>
      </c>
      <c r="BO147" s="42" t="str">
        <f>IF('GNI per capita'!BO147&lt;=Thresholds!$C$64,"L",IF('GNI per capita'!BO147&lt;=Thresholds!$D$64,"LM",IF('GNI per capita'!BO147&lt;=Thresholds!$E$64,"UM","H")))</f>
        <v>L</v>
      </c>
      <c r="BP147" s="42" t="str">
        <f>IF('GNI per capita'!BP147&lt;=Thresholds!$C$65,"L",IF('GNI per capita'!BP147&lt;=Thresholds!$D$65,"LM",IF('GNI per capita'!BP147&lt;=Thresholds!$E$65,"UM","H")))</f>
        <v>L</v>
      </c>
      <c r="BQ147" s="42" t="str">
        <f>IF('GNI per capita'!BQ147&lt;=Thresholds!$C$66,"L",IF('GNI per capita'!BQ147&lt;=Thresholds!$D$66,"LM",IF('GNI per capita'!BQ147&lt;=Thresholds!$E$66,"UM","H")))</f>
        <v>L</v>
      </c>
      <c r="BR147" s="42" t="str">
        <f>IF('GNI per capita'!BR147&lt;=Thresholds!$C$67,"L",IF('GNI per capita'!BR147&lt;=Thresholds!$D$67,"LM",IF('GNI per capita'!BR147&lt;=Thresholds!$E$67,"UM","H")))</f>
        <v>L</v>
      </c>
      <c r="BS147" s="42" t="str">
        <f>IF('GNI per capita'!BS147&lt;=Thresholds!$C$68,"L",IF('GNI per capita'!BS147&lt;=Thresholds!$D$68,"LM",IF('GNI per capita'!BS147&lt;=Thresholds!$E$68,"UM","H")))</f>
        <v>L</v>
      </c>
    </row>
    <row r="148" spans="1:71" x14ac:dyDescent="0.2">
      <c r="A148" s="2" t="s">
        <v>515</v>
      </c>
      <c r="B148" s="2" t="s">
        <v>516</v>
      </c>
      <c r="C148" s="11" t="s">
        <v>210</v>
      </c>
      <c r="G148" s="2" t="s">
        <v>517</v>
      </c>
      <c r="H148" s="41" t="s">
        <v>75</v>
      </c>
      <c r="I148" s="41" t="s">
        <v>75</v>
      </c>
      <c r="J148" s="41" t="s">
        <v>75</v>
      </c>
      <c r="K148" s="41" t="s">
        <v>75</v>
      </c>
      <c r="L148" s="41" t="s">
        <v>75</v>
      </c>
      <c r="M148" s="41" t="s">
        <v>75</v>
      </c>
      <c r="N148" s="41" t="s">
        <v>75</v>
      </c>
      <c r="O148" s="41" t="s">
        <v>75</v>
      </c>
      <c r="P148" s="41" t="s">
        <v>75</v>
      </c>
      <c r="Q148" s="41" t="s">
        <v>75</v>
      </c>
      <c r="R148" s="41" t="s">
        <v>75</v>
      </c>
      <c r="S148" s="41" t="s">
        <v>75</v>
      </c>
      <c r="T148" s="41" t="s">
        <v>75</v>
      </c>
      <c r="U148" s="41" t="s">
        <v>75</v>
      </c>
      <c r="V148" s="41" t="s">
        <v>75</v>
      </c>
      <c r="W148" s="41" t="s">
        <v>75</v>
      </c>
      <c r="X148" s="41" t="s">
        <v>75</v>
      </c>
      <c r="Y148" s="41" t="s">
        <v>75</v>
      </c>
      <c r="Z148" s="41" t="s">
        <v>75</v>
      </c>
      <c r="AA148" s="41" t="s">
        <v>75</v>
      </c>
      <c r="AB148" s="41" t="s">
        <v>75</v>
      </c>
      <c r="AC148" s="41" t="s">
        <v>210</v>
      </c>
      <c r="AD148" s="41" t="s">
        <v>210</v>
      </c>
      <c r="AE148" s="41" t="s">
        <v>210</v>
      </c>
      <c r="AF148" s="41" t="s">
        <v>210</v>
      </c>
      <c r="AG148" s="41" t="s">
        <v>210</v>
      </c>
      <c r="AH148" s="41" t="s">
        <v>210</v>
      </c>
      <c r="AI148" s="41" t="s">
        <v>210</v>
      </c>
      <c r="AJ148" s="41" t="s">
        <v>210</v>
      </c>
      <c r="AK148" s="41" t="s">
        <v>210</v>
      </c>
      <c r="AL148" s="41" t="s">
        <v>210</v>
      </c>
      <c r="AM148" s="41" t="s">
        <v>210</v>
      </c>
      <c r="AN148" s="41" t="s">
        <v>210</v>
      </c>
      <c r="AO148" s="41" t="s">
        <v>210</v>
      </c>
      <c r="AP148" s="41" t="s">
        <v>210</v>
      </c>
      <c r="AQ148" s="41" t="s">
        <v>210</v>
      </c>
      <c r="AR148" s="41" t="s">
        <v>210</v>
      </c>
      <c r="AS148" s="41" t="s">
        <v>210</v>
      </c>
      <c r="AT148" s="41" t="s">
        <v>210</v>
      </c>
      <c r="AU148" s="42" t="str">
        <f>IF('GNI per capita'!AU148&lt;=Thresholds!$C$44,"L",IF('GNI per capita'!AU148&lt;=Thresholds!$D$44,"LM",IF('GNI per capita'!AU148&lt;=Thresholds!$E$44,"UM","H")))</f>
        <v>LM</v>
      </c>
      <c r="AV148" s="42" t="str">
        <f>IF('GNI per capita'!AV148&lt;=Thresholds!$C$45,"L",IF('GNI per capita'!AV148&lt;=Thresholds!$D$45,"LM",IF('GNI per capita'!AV148&lt;=Thresholds!$E$45,"UM","H")))</f>
        <v>LM</v>
      </c>
      <c r="AW148" s="42" t="str">
        <f>IF('GNI per capita'!AW148&lt;=Thresholds!$C$46,"L",IF('GNI per capita'!AW148&lt;=Thresholds!$D$46,"LM",IF('GNI per capita'!AW148&lt;=Thresholds!$E$46,"UM","H")))</f>
        <v>LM</v>
      </c>
      <c r="AX148" s="42" t="str">
        <f>IF('GNI per capita'!AX148&lt;=Thresholds!$C$47,"L",IF('GNI per capita'!AX148&lt;=Thresholds!$D$47,"LM",IF('GNI per capita'!AX148&lt;=Thresholds!$E$47,"UM","H")))</f>
        <v>LM</v>
      </c>
      <c r="AY148" s="42" t="str">
        <f>IF('GNI per capita'!AY148&lt;=Thresholds!$C$48,"L",IF('GNI per capita'!AY148&lt;=Thresholds!$D$48,"LM",IF('GNI per capita'!AY148&lt;=Thresholds!$E$48,"UM","H")))</f>
        <v>LM</v>
      </c>
      <c r="AZ148" s="42" t="str">
        <f>IF('GNI per capita'!AZ148&lt;=Thresholds!$C$49,"L",IF('GNI per capita'!AZ148&lt;=Thresholds!$D$49,"LM",IF('GNI per capita'!AZ148&lt;=Thresholds!$E$49,"UM","H")))</f>
        <v>LM</v>
      </c>
      <c r="BA148" s="42" t="str">
        <f>IF('GNI per capita'!BA148&lt;=Thresholds!$C$50,"L",IF('GNI per capita'!BA148&lt;=Thresholds!$D$50,"LM",IF('GNI per capita'!BA148&lt;=Thresholds!$E$50,"UM","H")))</f>
        <v>LM</v>
      </c>
      <c r="BB148" s="42" t="str">
        <f>IF('GNI per capita'!BB148&lt;=Thresholds!$C$51,"L",IF('GNI per capita'!BB148&lt;=Thresholds!$D$51,"LM",IF('GNI per capita'!BB148&lt;=Thresholds!$E$51,"UM","H")))</f>
        <v>LM</v>
      </c>
      <c r="BC148" s="42" t="str">
        <f>IF('GNI per capita'!BC148&lt;=Thresholds!$C$52,"L",IF('GNI per capita'!BC148&lt;=Thresholds!$D$52,"LM",IF('GNI per capita'!BC148&lt;=Thresholds!$E$52,"UM","H")))</f>
        <v>LM</v>
      </c>
      <c r="BD148" s="42" t="str">
        <f>IF('GNI per capita'!BD148&lt;=Thresholds!$C$53,"L",IF('GNI per capita'!BD148&lt;=Thresholds!$D$53,"LM",IF('GNI per capita'!BD148&lt;=Thresholds!$E$53,"UM","H")))</f>
        <v>LM</v>
      </c>
      <c r="BE148" s="42" t="str">
        <f>IF('GNI per capita'!BE148&lt;=Thresholds!$C$54,"L",IF('GNI per capita'!BE148&lt;=Thresholds!$D$54,"LM",IF('GNI per capita'!BE148&lt;=Thresholds!$E$54,"UM","H")))</f>
        <v>LM</v>
      </c>
      <c r="BF148" s="42" t="str">
        <f>IF('GNI per capita'!BF148&lt;=Thresholds!$C$55,"L",IF('GNI per capita'!BF148&lt;=Thresholds!$D$55,"LM",IF('GNI per capita'!BF148&lt;=Thresholds!$E$55,"UM","H")))</f>
        <v>LM</v>
      </c>
      <c r="BG148" s="42" t="str">
        <f>IF('GNI per capita'!BG148&lt;=Thresholds!$C$56,"L",IF('GNI per capita'!BG148&lt;=Thresholds!$D$56,"LM",IF('GNI per capita'!BG148&lt;=Thresholds!$E$56,"UM","H")))</f>
        <v>LM</v>
      </c>
      <c r="BH148" s="42" t="str">
        <f>IF('GNI per capita'!BH148&lt;=Thresholds!$C$57,"L",IF('GNI per capita'!BH148&lt;=Thresholds!$D$57,"LM",IF('GNI per capita'!BH148&lt;=Thresholds!$E$57,"UM","H")))</f>
        <v>LM</v>
      </c>
      <c r="BI148" s="42" t="str">
        <f>IF('GNI per capita'!BI148&lt;=Thresholds!$C$58,"L",IF('GNI per capita'!BI148&lt;=Thresholds!$D$58,"LM",IF('GNI per capita'!BI148&lt;=Thresholds!$E$58,"UM","H")))</f>
        <v>LM</v>
      </c>
      <c r="BJ148" s="42" t="str">
        <f>IF('GNI per capita'!BJ148&lt;=Thresholds!$C$59,"L",IF('GNI per capita'!BJ148&lt;=Thresholds!$D$59,"LM",IF('GNI per capita'!BJ148&lt;=Thresholds!$E$59,"UM","H")))</f>
        <v>LM</v>
      </c>
      <c r="BK148" s="42" t="str">
        <f>IF('GNI per capita'!BK148&lt;=Thresholds!$C$60,"L",IF('GNI per capita'!BK148&lt;=Thresholds!$D$60,"LM",IF('GNI per capita'!BK148&lt;=Thresholds!$E$60,"UM","H")))</f>
        <v>LM</v>
      </c>
      <c r="BL148" s="42" t="str">
        <f>IF('GNI per capita'!BL148&lt;=Thresholds!$C$61,"L",IF('GNI per capita'!BL148&lt;=Thresholds!$D$61,"LM",IF('GNI per capita'!BL148&lt;=Thresholds!$E$61,"UM","H")))</f>
        <v>LM</v>
      </c>
      <c r="BM148" s="42" t="str">
        <f>IF('GNI per capita'!BM148&lt;=Thresholds!$C$62,"L",IF('GNI per capita'!BM148&lt;=Thresholds!$D$62,"LM",IF('GNI per capita'!BM148&lt;=Thresholds!$E$62,"UM","H")))</f>
        <v>LM</v>
      </c>
      <c r="BN148" s="42" t="str">
        <f>IF('GNI per capita'!BN148&lt;=Thresholds!$C$63,"L",IF('GNI per capita'!BN148&lt;=Thresholds!$D$63,"LM",IF('GNI per capita'!BN148&lt;=Thresholds!$E$63,"UM","H")))</f>
        <v>LM</v>
      </c>
      <c r="BO148" s="42" t="str">
        <f>IF('GNI per capita'!BO148&lt;=Thresholds!$C$64,"L",IF('GNI per capita'!BO148&lt;=Thresholds!$D$64,"LM",IF('GNI per capita'!BO148&lt;=Thresholds!$E$64,"UM","H")))</f>
        <v>LM</v>
      </c>
      <c r="BP148" s="42" t="str">
        <f>IF('GNI per capita'!BP148&lt;=Thresholds!$C$65,"L",IF('GNI per capita'!BP148&lt;=Thresholds!$D$65,"LM",IF('GNI per capita'!BP148&lt;=Thresholds!$E$65,"UM","H")))</f>
        <v>LM</v>
      </c>
      <c r="BQ148" s="42" t="str">
        <f>IF('GNI per capita'!BQ148&lt;=Thresholds!$C$66,"L",IF('GNI per capita'!BQ148&lt;=Thresholds!$D$66,"LM",IF('GNI per capita'!BQ148&lt;=Thresholds!$E$66,"UM","H")))</f>
        <v>LM</v>
      </c>
      <c r="BR148" s="42" t="str">
        <f>IF('GNI per capita'!BR148&lt;=Thresholds!$C$67,"L",IF('GNI per capita'!BR148&lt;=Thresholds!$D$67,"LM",IF('GNI per capita'!BR148&lt;=Thresholds!$E$67,"UM","H")))</f>
        <v>LM</v>
      </c>
      <c r="BS148" s="42" t="str">
        <f>IF('GNI per capita'!BS148&lt;=Thresholds!$C$68,"L",IF('GNI per capita'!BS148&lt;=Thresholds!$D$68,"LM",IF('GNI per capita'!BS148&lt;=Thresholds!$E$68,"UM","H")))</f>
        <v>LM</v>
      </c>
    </row>
    <row r="149" spans="1:71" x14ac:dyDescent="0.2">
      <c r="A149" s="2" t="s">
        <v>518</v>
      </c>
      <c r="B149" s="2" t="s">
        <v>519</v>
      </c>
      <c r="C149" s="11" t="s">
        <v>82</v>
      </c>
      <c r="G149" s="2" t="s">
        <v>162</v>
      </c>
      <c r="H149" s="41"/>
      <c r="I149" s="41"/>
      <c r="J149" s="41"/>
      <c r="K149" s="41"/>
      <c r="L149" s="41"/>
      <c r="M149" s="41" t="s">
        <v>210</v>
      </c>
      <c r="N149" s="41" t="s">
        <v>210</v>
      </c>
      <c r="O149" s="41" t="s">
        <v>210</v>
      </c>
      <c r="P149" s="41" t="s">
        <v>210</v>
      </c>
      <c r="Q149" s="41" t="s">
        <v>210</v>
      </c>
      <c r="R149" s="41" t="s">
        <v>210</v>
      </c>
      <c r="S149" s="41" t="s">
        <v>210</v>
      </c>
      <c r="T149" s="41" t="s">
        <v>210</v>
      </c>
      <c r="U149" s="41" t="s">
        <v>210</v>
      </c>
      <c r="V149" s="41" t="s">
        <v>210</v>
      </c>
      <c r="W149" s="41" t="s">
        <v>210</v>
      </c>
      <c r="X149" s="41" t="s">
        <v>210</v>
      </c>
      <c r="Y149" s="41" t="s">
        <v>210</v>
      </c>
      <c r="Z149" s="41" t="s">
        <v>210</v>
      </c>
      <c r="AA149" s="41" t="s">
        <v>210</v>
      </c>
      <c r="AB149" s="41" t="s">
        <v>210</v>
      </c>
      <c r="AC149" s="41" t="s">
        <v>82</v>
      </c>
      <c r="AD149" s="41" t="s">
        <v>82</v>
      </c>
      <c r="AE149" s="41" t="s">
        <v>82</v>
      </c>
      <c r="AF149" s="41" t="s">
        <v>82</v>
      </c>
      <c r="AG149" s="41" t="s">
        <v>82</v>
      </c>
      <c r="AH149" s="41" t="s">
        <v>82</v>
      </c>
      <c r="AI149" s="41" t="s">
        <v>82</v>
      </c>
      <c r="AJ149" s="41" t="s">
        <v>82</v>
      </c>
      <c r="AK149" s="41" t="s">
        <v>82</v>
      </c>
      <c r="AL149" s="41" t="s">
        <v>82</v>
      </c>
      <c r="AM149" s="41" t="s">
        <v>82</v>
      </c>
      <c r="AN149" s="41" t="s">
        <v>82</v>
      </c>
      <c r="AO149" s="41" t="s">
        <v>82</v>
      </c>
      <c r="AP149" s="41" t="s">
        <v>82</v>
      </c>
      <c r="AQ149" s="41" t="s">
        <v>82</v>
      </c>
      <c r="AR149" s="41" t="s">
        <v>82</v>
      </c>
      <c r="AS149" s="41" t="s">
        <v>82</v>
      </c>
      <c r="AT149" s="41" t="s">
        <v>82</v>
      </c>
      <c r="AU149" s="42" t="str">
        <f>IF('GNI per capita'!AU149&lt;=Thresholds!$C$44,"L",IF('GNI per capita'!AU149&lt;=Thresholds!$D$44,"LM",IF('GNI per capita'!AU149&lt;=Thresholds!$E$44,"UM","H")))</f>
        <v>UM</v>
      </c>
      <c r="AV149" s="42" t="str">
        <f>IF('GNI per capita'!AV149&lt;=Thresholds!$C$45,"L",IF('GNI per capita'!AV149&lt;=Thresholds!$D$45,"LM",IF('GNI per capita'!AV149&lt;=Thresholds!$E$45,"UM","H")))</f>
        <v>UM</v>
      </c>
      <c r="AW149" s="42" t="str">
        <f>IF('GNI per capita'!AW149&lt;=Thresholds!$C$46,"L",IF('GNI per capita'!AW149&lt;=Thresholds!$D$46,"LM",IF('GNI per capita'!AW149&lt;=Thresholds!$E$46,"UM","H")))</f>
        <v>UM</v>
      </c>
      <c r="AX149" s="42" t="str">
        <f>IF('GNI per capita'!AX149&lt;=Thresholds!$C$47,"L",IF('GNI per capita'!AX149&lt;=Thresholds!$D$47,"LM",IF('GNI per capita'!AX149&lt;=Thresholds!$E$47,"UM","H")))</f>
        <v>UM</v>
      </c>
      <c r="AY149" s="42" t="str">
        <f>IF('GNI per capita'!AY149&lt;=Thresholds!$C$48,"L",IF('GNI per capita'!AY149&lt;=Thresholds!$D$48,"LM",IF('GNI per capita'!AY149&lt;=Thresholds!$E$48,"UM","H")))</f>
        <v>UM</v>
      </c>
      <c r="AZ149" s="42" t="str">
        <f>IF('GNI per capita'!AZ149&lt;=Thresholds!$C$49,"L",IF('GNI per capita'!AZ149&lt;=Thresholds!$D$49,"LM",IF('GNI per capita'!AZ149&lt;=Thresholds!$E$49,"UM","H")))</f>
        <v>UM</v>
      </c>
      <c r="BA149" s="42" t="str">
        <f>IF('GNI per capita'!BA149&lt;=Thresholds!$C$50,"L",IF('GNI per capita'!BA149&lt;=Thresholds!$D$50,"LM",IF('GNI per capita'!BA149&lt;=Thresholds!$E$50,"UM","H")))</f>
        <v>UM</v>
      </c>
      <c r="BB149" s="42" t="str">
        <f>IF('GNI per capita'!BB149&lt;=Thresholds!$C$51,"L",IF('GNI per capita'!BB149&lt;=Thresholds!$D$51,"LM",IF('GNI per capita'!BB149&lt;=Thresholds!$E$51,"UM","H")))</f>
        <v>UM</v>
      </c>
      <c r="BC149" s="42" t="str">
        <f>IF('GNI per capita'!BC149&lt;=Thresholds!$C$52,"L",IF('GNI per capita'!BC149&lt;=Thresholds!$D$52,"LM",IF('GNI per capita'!BC149&lt;=Thresholds!$E$52,"UM","H")))</f>
        <v>H</v>
      </c>
      <c r="BD149" s="42" t="str">
        <f>IF('GNI per capita'!BD149&lt;=Thresholds!$C$53,"L",IF('GNI per capita'!BD149&lt;=Thresholds!$D$53,"LM",IF('GNI per capita'!BD149&lt;=Thresholds!$E$53,"UM","H")))</f>
        <v>H</v>
      </c>
      <c r="BE149" s="42" t="str">
        <f>IF('GNI per capita'!BE149&lt;=Thresholds!$C$54,"L",IF('GNI per capita'!BE149&lt;=Thresholds!$D$54,"LM",IF('GNI per capita'!BE149&lt;=Thresholds!$E$54,"UM","H")))</f>
        <v>H</v>
      </c>
      <c r="BF149" s="42" t="str">
        <f>IF('GNI per capita'!BF149&lt;=Thresholds!$C$55,"L",IF('GNI per capita'!BF149&lt;=Thresholds!$D$55,"LM",IF('GNI per capita'!BF149&lt;=Thresholds!$E$55,"UM","H")))</f>
        <v>H</v>
      </c>
      <c r="BG149" s="42" t="str">
        <f>IF('GNI per capita'!BG149&lt;=Thresholds!$C$56,"L",IF('GNI per capita'!BG149&lt;=Thresholds!$D$56,"LM",IF('GNI per capita'!BG149&lt;=Thresholds!$E$56,"UM","H")))</f>
        <v>H</v>
      </c>
      <c r="BH149" s="42" t="str">
        <f>IF('GNI per capita'!BH149&lt;=Thresholds!$C$57,"L",IF('GNI per capita'!BH149&lt;=Thresholds!$D$57,"LM",IF('GNI per capita'!BH149&lt;=Thresholds!$E$57,"UM","H")))</f>
        <v>H</v>
      </c>
      <c r="BI149" s="42" t="str">
        <f>IF('GNI per capita'!BI149&lt;=Thresholds!$C$58,"L",IF('GNI per capita'!BI149&lt;=Thresholds!$D$58,"LM",IF('GNI per capita'!BI149&lt;=Thresholds!$E$58,"UM","H")))</f>
        <v>H</v>
      </c>
      <c r="BJ149" s="42" t="str">
        <f>IF('GNI per capita'!BJ149&lt;=Thresholds!$C$59,"L",IF('GNI per capita'!BJ149&lt;=Thresholds!$D$59,"LM",IF('GNI per capita'!BJ149&lt;=Thresholds!$E$59,"UM","H")))</f>
        <v>H</v>
      </c>
      <c r="BK149" s="42" t="str">
        <f>IF('GNI per capita'!BK149&lt;=Thresholds!$C$60,"L",IF('GNI per capita'!BK149&lt;=Thresholds!$D$60,"LM",IF('GNI per capita'!BK149&lt;=Thresholds!$E$60,"UM","H")))</f>
        <v>H</v>
      </c>
      <c r="BL149" s="42" t="str">
        <f>IF('GNI per capita'!BL149&lt;=Thresholds!$C$61,"L",IF('GNI per capita'!BL149&lt;=Thresholds!$D$61,"LM",IF('GNI per capita'!BL149&lt;=Thresholds!$E$61,"UM","H")))</f>
        <v>H</v>
      </c>
      <c r="BM149" s="42" t="str">
        <f>IF('GNI per capita'!BM149&lt;=Thresholds!$C$62,"L",IF('GNI per capita'!BM149&lt;=Thresholds!$D$62,"LM",IF('GNI per capita'!BM149&lt;=Thresholds!$E$62,"UM","H")))</f>
        <v>H</v>
      </c>
      <c r="BN149" s="42" t="str">
        <f>IF('GNI per capita'!BN149&lt;=Thresholds!$C$63,"L",IF('GNI per capita'!BN149&lt;=Thresholds!$D$63,"LM",IF('GNI per capita'!BN149&lt;=Thresholds!$E$63,"UM","H")))</f>
        <v>H</v>
      </c>
      <c r="BO149" s="42" t="str">
        <f>IF('GNI per capita'!BO149&lt;=Thresholds!$C$64,"L",IF('GNI per capita'!BO149&lt;=Thresholds!$D$64,"LM",IF('GNI per capita'!BO149&lt;=Thresholds!$E$64,"UM","H")))</f>
        <v>H</v>
      </c>
      <c r="BP149" s="42" t="str">
        <f>IF('GNI per capita'!BP149&lt;=Thresholds!$C$65,"L",IF('GNI per capita'!BP149&lt;=Thresholds!$D$65,"LM",IF('GNI per capita'!BP149&lt;=Thresholds!$E$65,"UM","H")))</f>
        <v>H</v>
      </c>
      <c r="BQ149" s="42" t="str">
        <f>IF('GNI per capita'!BQ149&lt;=Thresholds!$C$66,"L",IF('GNI per capita'!BQ149&lt;=Thresholds!$D$66,"LM",IF('GNI per capita'!BQ149&lt;=Thresholds!$E$66,"UM","H")))</f>
        <v>H</v>
      </c>
      <c r="BR149" s="42" t="str">
        <f>IF('GNI per capita'!BR149&lt;=Thresholds!$C$67,"L",IF('GNI per capita'!BR149&lt;=Thresholds!$D$67,"LM",IF('GNI per capita'!BR149&lt;=Thresholds!$E$67,"UM","H")))</f>
        <v>H</v>
      </c>
      <c r="BS149" s="42" t="str">
        <f>IF('GNI per capita'!BS149&lt;=Thresholds!$C$68,"L",IF('GNI per capita'!BS149&lt;=Thresholds!$D$68,"LM",IF('GNI per capita'!BS149&lt;=Thresholds!$E$68,"UM","H")))</f>
        <v>H</v>
      </c>
    </row>
    <row r="150" spans="1:71" x14ac:dyDescent="0.2">
      <c r="A150" s="2" t="s">
        <v>520</v>
      </c>
      <c r="B150" s="2" t="s">
        <v>521</v>
      </c>
      <c r="C150" s="11" t="s">
        <v>79</v>
      </c>
      <c r="G150" s="28" t="s">
        <v>204</v>
      </c>
      <c r="H150" s="41"/>
      <c r="I150" s="41"/>
      <c r="J150" s="41"/>
      <c r="K150" s="41"/>
      <c r="L150" s="41"/>
      <c r="M150" s="41" t="s">
        <v>210</v>
      </c>
      <c r="N150" s="41" t="s">
        <v>210</v>
      </c>
      <c r="O150" s="41" t="s">
        <v>210</v>
      </c>
      <c r="P150" s="41" t="s">
        <v>79</v>
      </c>
      <c r="Q150" s="41" t="s">
        <v>79</v>
      </c>
      <c r="R150" s="41" t="s">
        <v>79</v>
      </c>
      <c r="S150" s="41" t="s">
        <v>79</v>
      </c>
      <c r="T150" s="41" t="s">
        <v>79</v>
      </c>
      <c r="U150" s="41" t="s">
        <v>79</v>
      </c>
      <c r="V150" s="41" t="s">
        <v>79</v>
      </c>
      <c r="W150" s="41" t="s">
        <v>82</v>
      </c>
      <c r="X150" s="41" t="s">
        <v>82</v>
      </c>
      <c r="Y150" s="41" t="s">
        <v>82</v>
      </c>
      <c r="Z150" s="41" t="s">
        <v>82</v>
      </c>
      <c r="AA150" s="41" t="s">
        <v>82</v>
      </c>
      <c r="AB150" s="41" t="s">
        <v>79</v>
      </c>
      <c r="AC150" s="41" t="s">
        <v>79</v>
      </c>
      <c r="AD150" s="41" t="s">
        <v>79</v>
      </c>
      <c r="AE150" s="41" t="s">
        <v>79</v>
      </c>
      <c r="AF150" s="41" t="s">
        <v>79</v>
      </c>
      <c r="AG150" s="41" t="s">
        <v>79</v>
      </c>
      <c r="AH150" s="41" t="s">
        <v>79</v>
      </c>
      <c r="AI150" s="41" t="s">
        <v>79</v>
      </c>
      <c r="AJ150" s="41" t="s">
        <v>79</v>
      </c>
      <c r="AK150" s="41" t="s">
        <v>79</v>
      </c>
      <c r="AL150" s="41" t="s">
        <v>79</v>
      </c>
      <c r="AM150" s="41" t="s">
        <v>79</v>
      </c>
      <c r="AN150" s="41" t="s">
        <v>79</v>
      </c>
      <c r="AO150" s="41" t="s">
        <v>79</v>
      </c>
      <c r="AP150" s="41" t="s">
        <v>79</v>
      </c>
      <c r="AQ150" s="41" t="s">
        <v>79</v>
      </c>
      <c r="AR150" s="41" t="s">
        <v>79</v>
      </c>
      <c r="AS150" s="41" t="s">
        <v>79</v>
      </c>
      <c r="AT150" s="41" t="s">
        <v>79</v>
      </c>
      <c r="AU150" s="42" t="str">
        <f t="shared" ref="AU150:BS150" si="13">$C150</f>
        <v>H</v>
      </c>
      <c r="AV150" s="42" t="str">
        <f t="shared" si="13"/>
        <v>H</v>
      </c>
      <c r="AW150" s="42" t="str">
        <f t="shared" si="13"/>
        <v>H</v>
      </c>
      <c r="AX150" s="42" t="str">
        <f t="shared" si="13"/>
        <v>H</v>
      </c>
      <c r="AY150" s="42" t="str">
        <f t="shared" si="13"/>
        <v>H</v>
      </c>
      <c r="AZ150" s="42" t="str">
        <f t="shared" si="13"/>
        <v>H</v>
      </c>
      <c r="BA150" s="42" t="str">
        <f t="shared" si="13"/>
        <v>H</v>
      </c>
      <c r="BB150" s="42" t="str">
        <f t="shared" si="13"/>
        <v>H</v>
      </c>
      <c r="BC150" s="42" t="str">
        <f t="shared" si="13"/>
        <v>H</v>
      </c>
      <c r="BD150" s="42" t="str">
        <f t="shared" si="13"/>
        <v>H</v>
      </c>
      <c r="BE150" s="42" t="str">
        <f t="shared" si="13"/>
        <v>H</v>
      </c>
      <c r="BF150" s="42" t="str">
        <f t="shared" si="13"/>
        <v>H</v>
      </c>
      <c r="BG150" s="42" t="str">
        <f t="shared" si="13"/>
        <v>H</v>
      </c>
      <c r="BH150" s="42" t="str">
        <f t="shared" si="13"/>
        <v>H</v>
      </c>
      <c r="BI150" s="42" t="str">
        <f t="shared" si="13"/>
        <v>H</v>
      </c>
      <c r="BJ150" s="42" t="str">
        <f t="shared" si="13"/>
        <v>H</v>
      </c>
      <c r="BK150" s="42" t="str">
        <f t="shared" si="13"/>
        <v>H</v>
      </c>
      <c r="BL150" s="42" t="str">
        <f t="shared" si="13"/>
        <v>H</v>
      </c>
      <c r="BM150" s="42" t="str">
        <f t="shared" si="13"/>
        <v>H</v>
      </c>
      <c r="BN150" s="42" t="str">
        <f t="shared" si="13"/>
        <v>H</v>
      </c>
      <c r="BO150" s="42" t="str">
        <f t="shared" si="13"/>
        <v>H</v>
      </c>
      <c r="BP150" s="42" t="str">
        <f t="shared" si="13"/>
        <v>H</v>
      </c>
      <c r="BQ150" s="42" t="str">
        <f t="shared" si="13"/>
        <v>H</v>
      </c>
      <c r="BR150" s="42" t="str">
        <f t="shared" si="13"/>
        <v>H</v>
      </c>
      <c r="BS150" s="42" t="str">
        <f t="shared" si="13"/>
        <v>H</v>
      </c>
    </row>
    <row r="151" spans="1:71" x14ac:dyDescent="0.2">
      <c r="A151" s="2" t="s">
        <v>522</v>
      </c>
      <c r="B151" s="2" t="s">
        <v>523</v>
      </c>
      <c r="C151" s="11" t="s">
        <v>79</v>
      </c>
      <c r="G151" s="2" t="s">
        <v>510</v>
      </c>
      <c r="H151" s="41" t="s">
        <v>79</v>
      </c>
      <c r="I151" s="41" t="s">
        <v>79</v>
      </c>
      <c r="J151" s="41" t="s">
        <v>79</v>
      </c>
      <c r="K151" s="41" t="s">
        <v>79</v>
      </c>
      <c r="L151" s="41" t="s">
        <v>79</v>
      </c>
      <c r="M151" s="41" t="s">
        <v>79</v>
      </c>
      <c r="N151" s="41" t="s">
        <v>79</v>
      </c>
      <c r="O151" s="41" t="s">
        <v>79</v>
      </c>
      <c r="P151" s="41" t="s">
        <v>79</v>
      </c>
      <c r="Q151" s="41" t="s">
        <v>79</v>
      </c>
      <c r="R151" s="41" t="s">
        <v>79</v>
      </c>
      <c r="S151" s="41" t="s">
        <v>79</v>
      </c>
      <c r="T151" s="41" t="s">
        <v>79</v>
      </c>
      <c r="U151" s="41" t="s">
        <v>79</v>
      </c>
      <c r="V151" s="41" t="s">
        <v>79</v>
      </c>
      <c r="W151" s="41" t="s">
        <v>79</v>
      </c>
      <c r="X151" s="41" t="s">
        <v>79</v>
      </c>
      <c r="Y151" s="41" t="s">
        <v>79</v>
      </c>
      <c r="Z151" s="41" t="s">
        <v>79</v>
      </c>
      <c r="AA151" s="41" t="s">
        <v>79</v>
      </c>
      <c r="AB151" s="41" t="s">
        <v>79</v>
      </c>
      <c r="AC151" s="41" t="s">
        <v>79</v>
      </c>
      <c r="AD151" s="41" t="s">
        <v>79</v>
      </c>
      <c r="AE151" s="41" t="s">
        <v>79</v>
      </c>
      <c r="AF151" s="41" t="s">
        <v>79</v>
      </c>
      <c r="AG151" s="41" t="s">
        <v>79</v>
      </c>
      <c r="AH151" s="41" t="s">
        <v>79</v>
      </c>
      <c r="AI151" s="41" t="s">
        <v>79</v>
      </c>
      <c r="AJ151" s="41" t="s">
        <v>79</v>
      </c>
      <c r="AK151" s="41" t="s">
        <v>79</v>
      </c>
      <c r="AL151" s="41" t="s">
        <v>79</v>
      </c>
      <c r="AM151" s="41" t="s">
        <v>79</v>
      </c>
      <c r="AN151" s="41" t="s">
        <v>79</v>
      </c>
      <c r="AO151" s="41" t="s">
        <v>79</v>
      </c>
      <c r="AP151" s="41" t="s">
        <v>79</v>
      </c>
      <c r="AQ151" s="41" t="s">
        <v>79</v>
      </c>
      <c r="AR151" s="41" t="s">
        <v>79</v>
      </c>
      <c r="AS151" s="41" t="s">
        <v>79</v>
      </c>
      <c r="AT151" s="41" t="s">
        <v>79</v>
      </c>
      <c r="AU151" s="42" t="str">
        <f>IF('GNI per capita'!AU151&lt;=Thresholds!$C$44,"L",IF('GNI per capita'!AU151&lt;=Thresholds!$D$44,"LM",IF('GNI per capita'!AU151&lt;=Thresholds!$E$44,"UM","H")))</f>
        <v>H</v>
      </c>
      <c r="AV151" s="42" t="str">
        <f>IF('GNI per capita'!AV151&lt;=Thresholds!$C$45,"L",IF('GNI per capita'!AV151&lt;=Thresholds!$D$45,"LM",IF('GNI per capita'!AV151&lt;=Thresholds!$E$45,"UM","H")))</f>
        <v>H</v>
      </c>
      <c r="AW151" s="42" t="str">
        <f>IF('GNI per capita'!AW151&lt;=Thresholds!$C$46,"L",IF('GNI per capita'!AW151&lt;=Thresholds!$D$46,"LM",IF('GNI per capita'!AW151&lt;=Thresholds!$E$46,"UM","H")))</f>
        <v>H</v>
      </c>
      <c r="AX151" s="42" t="str">
        <f>IF('GNI per capita'!AX151&lt;=Thresholds!$C$47,"L",IF('GNI per capita'!AX151&lt;=Thresholds!$D$47,"LM",IF('GNI per capita'!AX151&lt;=Thresholds!$E$47,"UM","H")))</f>
        <v>H</v>
      </c>
      <c r="AY151" s="42" t="str">
        <f>IF('GNI per capita'!AY151&lt;=Thresholds!$C$48,"L",IF('GNI per capita'!AY151&lt;=Thresholds!$D$48,"LM",IF('GNI per capita'!AY151&lt;=Thresholds!$E$48,"UM","H")))</f>
        <v>H</v>
      </c>
      <c r="AZ151" s="42" t="str">
        <f>IF('GNI per capita'!AZ151&lt;=Thresholds!$C$49,"L",IF('GNI per capita'!AZ151&lt;=Thresholds!$D$49,"LM",IF('GNI per capita'!AZ151&lt;=Thresholds!$E$49,"UM","H")))</f>
        <v>H</v>
      </c>
      <c r="BA151" s="42" t="str">
        <f>IF('GNI per capita'!BA151&lt;=Thresholds!$C$50,"L",IF('GNI per capita'!BA151&lt;=Thresholds!$D$50,"LM",IF('GNI per capita'!BA151&lt;=Thresholds!$E$50,"UM","H")))</f>
        <v>H</v>
      </c>
      <c r="BB151" s="42" t="str">
        <f>IF('GNI per capita'!BB151&lt;=Thresholds!$C$51,"L",IF('GNI per capita'!BB151&lt;=Thresholds!$D$51,"LM",IF('GNI per capita'!BB151&lt;=Thresholds!$E$51,"UM","H")))</f>
        <v>H</v>
      </c>
      <c r="BC151" s="42" t="str">
        <f>IF('GNI per capita'!BC151&lt;=Thresholds!$C$52,"L",IF('GNI per capita'!BC151&lt;=Thresholds!$D$52,"LM",IF('GNI per capita'!BC151&lt;=Thresholds!$E$52,"UM","H")))</f>
        <v>H</v>
      </c>
      <c r="BD151" s="42" t="str">
        <f>IF('GNI per capita'!BD151&lt;=Thresholds!$C$53,"L",IF('GNI per capita'!BD151&lt;=Thresholds!$D$53,"LM",IF('GNI per capita'!BD151&lt;=Thresholds!$E$53,"UM","H")))</f>
        <v>H</v>
      </c>
      <c r="BE151" s="42" t="str">
        <f>IF('GNI per capita'!BE151&lt;=Thresholds!$C$54,"L",IF('GNI per capita'!BE151&lt;=Thresholds!$D$54,"LM",IF('GNI per capita'!BE151&lt;=Thresholds!$E$54,"UM","H")))</f>
        <v>H</v>
      </c>
      <c r="BF151" s="42" t="str">
        <f>IF('GNI per capita'!BF151&lt;=Thresholds!$C$55,"L",IF('GNI per capita'!BF151&lt;=Thresholds!$D$55,"LM",IF('GNI per capita'!BF151&lt;=Thresholds!$E$55,"UM","H")))</f>
        <v>H</v>
      </c>
      <c r="BG151" s="42" t="str">
        <f>IF('GNI per capita'!BG151&lt;=Thresholds!$C$56,"L",IF('GNI per capita'!BG151&lt;=Thresholds!$D$56,"LM",IF('GNI per capita'!BG151&lt;=Thresholds!$E$56,"UM","H")))</f>
        <v>H</v>
      </c>
      <c r="BH151" s="42" t="str">
        <f>IF('GNI per capita'!BH151&lt;=Thresholds!$C$57,"L",IF('GNI per capita'!BH151&lt;=Thresholds!$D$57,"LM",IF('GNI per capita'!BH151&lt;=Thresholds!$E$57,"UM","H")))</f>
        <v>H</v>
      </c>
      <c r="BI151" s="42" t="str">
        <f>IF('GNI per capita'!BI151&lt;=Thresholds!$C$58,"L",IF('GNI per capita'!BI151&lt;=Thresholds!$D$58,"LM",IF('GNI per capita'!BI151&lt;=Thresholds!$E$58,"UM","H")))</f>
        <v>H</v>
      </c>
      <c r="BJ151" s="42" t="str">
        <f>IF('GNI per capita'!BJ151&lt;=Thresholds!$C$59,"L",IF('GNI per capita'!BJ151&lt;=Thresholds!$D$59,"LM",IF('GNI per capita'!BJ151&lt;=Thresholds!$E$59,"UM","H")))</f>
        <v>H</v>
      </c>
      <c r="BK151" s="42" t="str">
        <f>IF('GNI per capita'!BK151&lt;=Thresholds!$C$60,"L",IF('GNI per capita'!BK151&lt;=Thresholds!$D$60,"LM",IF('GNI per capita'!BK151&lt;=Thresholds!$E$60,"UM","H")))</f>
        <v>H</v>
      </c>
      <c r="BL151" s="42" t="str">
        <f>IF('GNI per capita'!BL151&lt;=Thresholds!$C$61,"L",IF('GNI per capita'!BL151&lt;=Thresholds!$D$61,"LM",IF('GNI per capita'!BL151&lt;=Thresholds!$E$61,"UM","H")))</f>
        <v>H</v>
      </c>
      <c r="BM151" s="42" t="str">
        <f>IF('GNI per capita'!BM151&lt;=Thresholds!$C$62,"L",IF('GNI per capita'!BM151&lt;=Thresholds!$D$62,"LM",IF('GNI per capita'!BM151&lt;=Thresholds!$E$62,"UM","H")))</f>
        <v>H</v>
      </c>
      <c r="BN151" s="42" t="str">
        <f>IF('GNI per capita'!BN151&lt;=Thresholds!$C$63,"L",IF('GNI per capita'!BN151&lt;=Thresholds!$D$63,"LM",IF('GNI per capita'!BN151&lt;=Thresholds!$E$63,"UM","H")))</f>
        <v>H</v>
      </c>
      <c r="BO151" s="42" t="str">
        <f>IF('GNI per capita'!BO151&lt;=Thresholds!$C$64,"L",IF('GNI per capita'!BO151&lt;=Thresholds!$D$64,"LM",IF('GNI per capita'!BO151&lt;=Thresholds!$E$64,"UM","H")))</f>
        <v>H</v>
      </c>
      <c r="BP151" s="42" t="str">
        <f>IF('GNI per capita'!BP151&lt;=Thresholds!$C$65,"L",IF('GNI per capita'!BP151&lt;=Thresholds!$D$65,"LM",IF('GNI per capita'!BP151&lt;=Thresholds!$E$65,"UM","H")))</f>
        <v>H</v>
      </c>
      <c r="BQ151" s="42" t="str">
        <f>IF('GNI per capita'!BQ151&lt;=Thresholds!$C$66,"L",IF('GNI per capita'!BQ151&lt;=Thresholds!$D$66,"LM",IF('GNI per capita'!BQ151&lt;=Thresholds!$E$66,"UM","H")))</f>
        <v>H</v>
      </c>
      <c r="BR151" s="42" t="str">
        <f>IF('GNI per capita'!BR151&lt;=Thresholds!$C$67,"L",IF('GNI per capita'!BR151&lt;=Thresholds!$D$67,"LM",IF('GNI per capita'!BR151&lt;=Thresholds!$E$67,"UM","H")))</f>
        <v>H</v>
      </c>
      <c r="BS151" s="42" t="str">
        <f>IF('GNI per capita'!BS151&lt;=Thresholds!$C$68,"L",IF('GNI per capita'!BS151&lt;=Thresholds!$D$68,"LM",IF('GNI per capita'!BS151&lt;=Thresholds!$E$68,"UM","H")))</f>
        <v>H</v>
      </c>
    </row>
    <row r="152" spans="1:71" x14ac:dyDescent="0.2">
      <c r="A152" s="2" t="s">
        <v>524</v>
      </c>
      <c r="B152" s="2" t="s">
        <v>525</v>
      </c>
      <c r="C152" s="11" t="s">
        <v>79</v>
      </c>
      <c r="G152" s="2" t="s">
        <v>162</v>
      </c>
      <c r="H152" s="41" t="s">
        <v>82</v>
      </c>
      <c r="I152" s="41" t="s">
        <v>82</v>
      </c>
      <c r="J152" s="41" t="s">
        <v>82</v>
      </c>
      <c r="K152" s="41" t="s">
        <v>82</v>
      </c>
      <c r="L152" s="41" t="s">
        <v>82</v>
      </c>
      <c r="M152" s="41" t="s">
        <v>82</v>
      </c>
      <c r="N152" s="41" t="s">
        <v>82</v>
      </c>
      <c r="O152" s="41" t="s">
        <v>82</v>
      </c>
      <c r="P152" s="41" t="s">
        <v>82</v>
      </c>
      <c r="Q152" s="41" t="s">
        <v>82</v>
      </c>
      <c r="R152" s="41" t="s">
        <v>82</v>
      </c>
      <c r="S152" s="41" t="s">
        <v>82</v>
      </c>
      <c r="T152" s="41" t="s">
        <v>82</v>
      </c>
      <c r="U152" s="41" t="s">
        <v>82</v>
      </c>
      <c r="V152" s="41" t="s">
        <v>82</v>
      </c>
      <c r="W152" s="41" t="s">
        <v>82</v>
      </c>
      <c r="X152" s="41" t="s">
        <v>82</v>
      </c>
      <c r="Y152" s="41" t="s">
        <v>82</v>
      </c>
      <c r="Z152" s="41" t="s">
        <v>82</v>
      </c>
      <c r="AA152" s="41" t="s">
        <v>82</v>
      </c>
      <c r="AB152" s="41" t="s">
        <v>79</v>
      </c>
      <c r="AC152" s="41" t="s">
        <v>79</v>
      </c>
      <c r="AD152" s="41" t="s">
        <v>79</v>
      </c>
      <c r="AE152" s="41" t="s">
        <v>79</v>
      </c>
      <c r="AF152" s="41" t="s">
        <v>79</v>
      </c>
      <c r="AG152" s="41" t="s">
        <v>79</v>
      </c>
      <c r="AH152" s="41" t="s">
        <v>79</v>
      </c>
      <c r="AI152" s="41" t="s">
        <v>79</v>
      </c>
      <c r="AJ152" s="41" t="s">
        <v>79</v>
      </c>
      <c r="AK152" s="41" t="s">
        <v>79</v>
      </c>
      <c r="AL152" s="41" t="s">
        <v>79</v>
      </c>
      <c r="AM152" s="41" t="s">
        <v>79</v>
      </c>
      <c r="AN152" s="41" t="s">
        <v>79</v>
      </c>
      <c r="AO152" s="41" t="s">
        <v>79</v>
      </c>
      <c r="AP152" s="41" t="s">
        <v>79</v>
      </c>
      <c r="AQ152" s="41" t="s">
        <v>79</v>
      </c>
      <c r="AR152" s="41" t="s">
        <v>79</v>
      </c>
      <c r="AS152" s="41" t="s">
        <v>79</v>
      </c>
      <c r="AT152" s="41" t="s">
        <v>79</v>
      </c>
      <c r="AU152" s="42" t="str">
        <f>IF('GNI per capita'!AU152&lt;=Thresholds!$C$44,"L",IF('GNI per capita'!AU152&lt;=Thresholds!$D$44,"LM",IF('GNI per capita'!AU152&lt;=Thresholds!$E$44,"UM","H")))</f>
        <v>H</v>
      </c>
      <c r="AV152" s="42" t="str">
        <f>IF('GNI per capita'!AV152&lt;=Thresholds!$C$45,"L",IF('GNI per capita'!AV152&lt;=Thresholds!$D$45,"LM",IF('GNI per capita'!AV152&lt;=Thresholds!$E$45,"UM","H")))</f>
        <v>H</v>
      </c>
      <c r="AW152" s="42" t="str">
        <f>IF('GNI per capita'!AW152&lt;=Thresholds!$C$46,"L",IF('GNI per capita'!AW152&lt;=Thresholds!$D$46,"LM",IF('GNI per capita'!AW152&lt;=Thresholds!$E$46,"UM","H")))</f>
        <v>H</v>
      </c>
      <c r="AX152" s="42" t="str">
        <f>IF('GNI per capita'!AX152&lt;=Thresholds!$C$47,"L",IF('GNI per capita'!AX152&lt;=Thresholds!$D$47,"LM",IF('GNI per capita'!AX152&lt;=Thresholds!$E$47,"UM","H")))</f>
        <v>H</v>
      </c>
      <c r="AY152" s="42" t="str">
        <f>IF('GNI per capita'!AY152&lt;=Thresholds!$C$48,"L",IF('GNI per capita'!AY152&lt;=Thresholds!$D$48,"LM",IF('GNI per capita'!AY152&lt;=Thresholds!$E$48,"UM","H")))</f>
        <v>H</v>
      </c>
      <c r="AZ152" s="42" t="str">
        <f>IF('GNI per capita'!AZ152&lt;=Thresholds!$C$49,"L",IF('GNI per capita'!AZ152&lt;=Thresholds!$D$49,"LM",IF('GNI per capita'!AZ152&lt;=Thresholds!$E$49,"UM","H")))</f>
        <v>H</v>
      </c>
      <c r="BA152" s="42" t="str">
        <f>IF('GNI per capita'!BA152&lt;=Thresholds!$C$50,"L",IF('GNI per capita'!BA152&lt;=Thresholds!$D$50,"LM",IF('GNI per capita'!BA152&lt;=Thresholds!$E$50,"UM","H")))</f>
        <v>H</v>
      </c>
      <c r="BB152" s="42" t="str">
        <f>IF('GNI per capita'!BB152&lt;=Thresholds!$C$51,"L",IF('GNI per capita'!BB152&lt;=Thresholds!$D$51,"LM",IF('GNI per capita'!BB152&lt;=Thresholds!$E$51,"UM","H")))</f>
        <v>H</v>
      </c>
      <c r="BC152" s="42" t="str">
        <f>IF('GNI per capita'!BC152&lt;=Thresholds!$C$52,"L",IF('GNI per capita'!BC152&lt;=Thresholds!$D$52,"LM",IF('GNI per capita'!BC152&lt;=Thresholds!$E$52,"UM","H")))</f>
        <v>H</v>
      </c>
      <c r="BD152" s="42" t="str">
        <f>IF('GNI per capita'!BD152&lt;=Thresholds!$C$53,"L",IF('GNI per capita'!BD152&lt;=Thresholds!$D$53,"LM",IF('GNI per capita'!BD152&lt;=Thresholds!$E$53,"UM","H")))</f>
        <v>H</v>
      </c>
      <c r="BE152" s="42" t="str">
        <f>IF('GNI per capita'!BE152&lt;=Thresholds!$C$54,"L",IF('GNI per capita'!BE152&lt;=Thresholds!$D$54,"LM",IF('GNI per capita'!BE152&lt;=Thresholds!$E$54,"UM","H")))</f>
        <v>H</v>
      </c>
      <c r="BF152" s="42" t="str">
        <f>IF('GNI per capita'!BF152&lt;=Thresholds!$C$55,"L",IF('GNI per capita'!BF152&lt;=Thresholds!$D$55,"LM",IF('GNI per capita'!BF152&lt;=Thresholds!$E$55,"UM","H")))</f>
        <v>H</v>
      </c>
      <c r="BG152" s="42" t="str">
        <f>IF('GNI per capita'!BG152&lt;=Thresholds!$C$56,"L",IF('GNI per capita'!BG152&lt;=Thresholds!$D$56,"LM",IF('GNI per capita'!BG152&lt;=Thresholds!$E$56,"UM","H")))</f>
        <v>H</v>
      </c>
      <c r="BH152" s="42" t="str">
        <f>IF('GNI per capita'!BH152&lt;=Thresholds!$C$57,"L",IF('GNI per capita'!BH152&lt;=Thresholds!$D$57,"LM",IF('GNI per capita'!BH152&lt;=Thresholds!$E$57,"UM","H")))</f>
        <v>H</v>
      </c>
      <c r="BI152" s="42" t="str">
        <f>IF('GNI per capita'!BI152&lt;=Thresholds!$C$58,"L",IF('GNI per capita'!BI152&lt;=Thresholds!$D$58,"LM",IF('GNI per capita'!BI152&lt;=Thresholds!$E$58,"UM","H")))</f>
        <v>H</v>
      </c>
      <c r="BJ152" s="42" t="str">
        <f>IF('GNI per capita'!BJ152&lt;=Thresholds!$C$59,"L",IF('GNI per capita'!BJ152&lt;=Thresholds!$D$59,"LM",IF('GNI per capita'!BJ152&lt;=Thresholds!$E$59,"UM","H")))</f>
        <v>H</v>
      </c>
      <c r="BK152" s="42" t="str">
        <f>IF('GNI per capita'!BK152&lt;=Thresholds!$C$60,"L",IF('GNI per capita'!BK152&lt;=Thresholds!$D$60,"LM",IF('GNI per capita'!BK152&lt;=Thresholds!$E$60,"UM","H")))</f>
        <v>H</v>
      </c>
      <c r="BL152" s="42" t="str">
        <f>IF('GNI per capita'!BL152&lt;=Thresholds!$C$61,"L",IF('GNI per capita'!BL152&lt;=Thresholds!$D$61,"LM",IF('GNI per capita'!BL152&lt;=Thresholds!$E$61,"UM","H")))</f>
        <v>H</v>
      </c>
      <c r="BM152" s="42" t="str">
        <f>IF('GNI per capita'!BM152&lt;=Thresholds!$C$62,"L",IF('GNI per capita'!BM152&lt;=Thresholds!$D$62,"LM",IF('GNI per capita'!BM152&lt;=Thresholds!$E$62,"UM","H")))</f>
        <v>H</v>
      </c>
      <c r="BN152" s="42" t="str">
        <f>IF('GNI per capita'!BN152&lt;=Thresholds!$C$63,"L",IF('GNI per capita'!BN152&lt;=Thresholds!$D$63,"LM",IF('GNI per capita'!BN152&lt;=Thresholds!$E$63,"UM","H")))</f>
        <v>H</v>
      </c>
      <c r="BO152" s="42" t="str">
        <f>IF('GNI per capita'!BO152&lt;=Thresholds!$C$64,"L",IF('GNI per capita'!BO152&lt;=Thresholds!$D$64,"LM",IF('GNI per capita'!BO152&lt;=Thresholds!$E$64,"UM","H")))</f>
        <v>H</v>
      </c>
      <c r="BP152" s="42" t="str">
        <f>IF('GNI per capita'!BP152&lt;=Thresholds!$C$65,"L",IF('GNI per capita'!BP152&lt;=Thresholds!$D$65,"LM",IF('GNI per capita'!BP152&lt;=Thresholds!$E$65,"UM","H")))</f>
        <v>H</v>
      </c>
      <c r="BQ152" s="42" t="str">
        <f>IF('GNI per capita'!BQ152&lt;=Thresholds!$C$66,"L",IF('GNI per capita'!BQ152&lt;=Thresholds!$D$66,"LM",IF('GNI per capita'!BQ152&lt;=Thresholds!$E$66,"UM","H")))</f>
        <v>H</v>
      </c>
      <c r="BR152" s="42" t="str">
        <f>IF('GNI per capita'!BR152&lt;=Thresholds!$C$67,"L",IF('GNI per capita'!BR152&lt;=Thresholds!$D$67,"LM",IF('GNI per capita'!BR152&lt;=Thresholds!$E$67,"UM","H")))</f>
        <v>H</v>
      </c>
      <c r="BS152" s="42" t="str">
        <f>IF('GNI per capita'!BS152&lt;=Thresholds!$C$68,"L",IF('GNI per capita'!BS152&lt;=Thresholds!$D$68,"LM",IF('GNI per capita'!BS152&lt;=Thresholds!$E$68,"UM","H")))</f>
        <v>H</v>
      </c>
    </row>
    <row r="153" spans="1:71" x14ac:dyDescent="0.2">
      <c r="A153" s="2" t="s">
        <v>526</v>
      </c>
      <c r="B153" s="2" t="s">
        <v>527</v>
      </c>
      <c r="C153" s="11" t="s">
        <v>210</v>
      </c>
      <c r="G153" s="2" t="s">
        <v>162</v>
      </c>
      <c r="H153" s="41" t="s">
        <v>75</v>
      </c>
      <c r="I153" s="41" t="s">
        <v>75</v>
      </c>
      <c r="J153" s="41" t="s">
        <v>75</v>
      </c>
      <c r="K153" s="41" t="s">
        <v>75</v>
      </c>
      <c r="L153" s="41" t="s">
        <v>75</v>
      </c>
      <c r="M153" s="41" t="s">
        <v>75</v>
      </c>
      <c r="N153" s="41" t="s">
        <v>75</v>
      </c>
      <c r="O153" s="41" t="s">
        <v>75</v>
      </c>
      <c r="P153" s="41" t="s">
        <v>75</v>
      </c>
      <c r="Q153" s="41" t="s">
        <v>75</v>
      </c>
      <c r="R153" s="41" t="s">
        <v>75</v>
      </c>
      <c r="S153" s="41" t="s">
        <v>75</v>
      </c>
      <c r="T153" s="41" t="s">
        <v>75</v>
      </c>
      <c r="U153" s="41" t="s">
        <v>75</v>
      </c>
      <c r="V153" s="41" t="s">
        <v>75</v>
      </c>
      <c r="W153" s="41" t="s">
        <v>75</v>
      </c>
      <c r="X153" s="41" t="s">
        <v>75</v>
      </c>
      <c r="Y153" s="41" t="s">
        <v>75</v>
      </c>
      <c r="Z153" s="41" t="s">
        <v>75</v>
      </c>
      <c r="AA153" s="41" t="s">
        <v>75</v>
      </c>
      <c r="AB153" s="41" t="s">
        <v>75</v>
      </c>
      <c r="AC153" s="41" t="s">
        <v>210</v>
      </c>
      <c r="AD153" s="41" t="s">
        <v>210</v>
      </c>
      <c r="AE153" s="41" t="s">
        <v>210</v>
      </c>
      <c r="AF153" s="41" t="s">
        <v>210</v>
      </c>
      <c r="AG153" s="41" t="s">
        <v>210</v>
      </c>
      <c r="AH153" s="41" t="s">
        <v>210</v>
      </c>
      <c r="AI153" s="41" t="s">
        <v>210</v>
      </c>
      <c r="AJ153" s="41" t="s">
        <v>210</v>
      </c>
      <c r="AK153" s="41" t="s">
        <v>210</v>
      </c>
      <c r="AL153" s="41" t="s">
        <v>210</v>
      </c>
      <c r="AM153" s="41" t="s">
        <v>210</v>
      </c>
      <c r="AN153" s="41" t="s">
        <v>210</v>
      </c>
      <c r="AO153" s="41" t="s">
        <v>210</v>
      </c>
      <c r="AP153" s="41" t="s">
        <v>210</v>
      </c>
      <c r="AQ153" s="41" t="s">
        <v>210</v>
      </c>
      <c r="AR153" s="41" t="s">
        <v>210</v>
      </c>
      <c r="AS153" s="41" t="s">
        <v>210</v>
      </c>
      <c r="AT153" s="41" t="s">
        <v>210</v>
      </c>
      <c r="AU153" s="42" t="str">
        <f>IF('GNI per capita'!AU153&lt;=Thresholds!$C$44,"L",IF('GNI per capita'!AU153&lt;=Thresholds!$D$44,"LM",IF('GNI per capita'!AU153&lt;=Thresholds!$E$44,"UM","H")))</f>
        <v>LM</v>
      </c>
      <c r="AV153" s="42" t="str">
        <f>IF('GNI per capita'!AV153&lt;=Thresholds!$C$45,"L",IF('GNI per capita'!AV153&lt;=Thresholds!$D$45,"LM",IF('GNI per capita'!AV153&lt;=Thresholds!$E$45,"UM","H")))</f>
        <v>LM</v>
      </c>
      <c r="AW153" s="42" t="str">
        <f>IF('GNI per capita'!AW153&lt;=Thresholds!$C$46,"L",IF('GNI per capita'!AW153&lt;=Thresholds!$D$46,"LM",IF('GNI per capita'!AW153&lt;=Thresholds!$E$46,"UM","H")))</f>
        <v>LM</v>
      </c>
      <c r="AX153" s="42" t="str">
        <f>IF('GNI per capita'!AX153&lt;=Thresholds!$C$47,"L",IF('GNI per capita'!AX153&lt;=Thresholds!$D$47,"LM",IF('GNI per capita'!AX153&lt;=Thresholds!$E$47,"UM","H")))</f>
        <v>LM</v>
      </c>
      <c r="AY153" s="42" t="str">
        <f>IF('GNI per capita'!AY153&lt;=Thresholds!$C$48,"L",IF('GNI per capita'!AY153&lt;=Thresholds!$D$48,"LM",IF('GNI per capita'!AY153&lt;=Thresholds!$E$48,"UM","H")))</f>
        <v>LM</v>
      </c>
      <c r="AZ153" s="42" t="str">
        <f>IF('GNI per capita'!AZ153&lt;=Thresholds!$C$49,"L",IF('GNI per capita'!AZ153&lt;=Thresholds!$D$49,"LM",IF('GNI per capita'!AZ153&lt;=Thresholds!$E$49,"UM","H")))</f>
        <v>LM</v>
      </c>
      <c r="BA153" s="42" t="str">
        <f>IF('GNI per capita'!BA153&lt;=Thresholds!$C$50,"L",IF('GNI per capita'!BA153&lt;=Thresholds!$D$50,"LM",IF('GNI per capita'!BA153&lt;=Thresholds!$E$50,"UM","H")))</f>
        <v>LM</v>
      </c>
      <c r="BB153" s="42" t="str">
        <f>IF('GNI per capita'!BB153&lt;=Thresholds!$C$51,"L",IF('GNI per capita'!BB153&lt;=Thresholds!$D$51,"LM",IF('GNI per capita'!BB153&lt;=Thresholds!$E$51,"UM","H")))</f>
        <v>LM</v>
      </c>
      <c r="BC153" s="42" t="str">
        <f>IF('GNI per capita'!BC153&lt;=Thresholds!$C$52,"L",IF('GNI per capita'!BC153&lt;=Thresholds!$D$52,"LM",IF('GNI per capita'!BC153&lt;=Thresholds!$E$52,"UM","H")))</f>
        <v>LM</v>
      </c>
      <c r="BD153" s="42" t="str">
        <f>IF('GNI per capita'!BD153&lt;=Thresholds!$C$53,"L",IF('GNI per capita'!BD153&lt;=Thresholds!$D$53,"LM",IF('GNI per capita'!BD153&lt;=Thresholds!$E$53,"UM","H")))</f>
        <v>LM</v>
      </c>
      <c r="BE153" s="42" t="str">
        <f>IF('GNI per capita'!BE153&lt;=Thresholds!$C$54,"L",IF('GNI per capita'!BE153&lt;=Thresholds!$D$54,"LM",IF('GNI per capita'!BE153&lt;=Thresholds!$E$54,"UM","H")))</f>
        <v>LM</v>
      </c>
      <c r="BF153" s="42" t="str">
        <f>IF('GNI per capita'!BF153&lt;=Thresholds!$C$55,"L",IF('GNI per capita'!BF153&lt;=Thresholds!$D$55,"LM",IF('GNI per capita'!BF153&lt;=Thresholds!$E$55,"UM","H")))</f>
        <v>LM</v>
      </c>
      <c r="BG153" s="42" t="str">
        <f>IF('GNI per capita'!BG153&lt;=Thresholds!$C$56,"L",IF('GNI per capita'!BG153&lt;=Thresholds!$D$56,"LM",IF('GNI per capita'!BG153&lt;=Thresholds!$E$56,"UM","H")))</f>
        <v>LM</v>
      </c>
      <c r="BH153" s="42" t="str">
        <f>IF('GNI per capita'!BH153&lt;=Thresholds!$C$57,"L",IF('GNI per capita'!BH153&lt;=Thresholds!$D$57,"LM",IF('GNI per capita'!BH153&lt;=Thresholds!$E$57,"UM","H")))</f>
        <v>LM</v>
      </c>
      <c r="BI153" s="42" t="str">
        <f>IF('GNI per capita'!BI153&lt;=Thresholds!$C$58,"L",IF('GNI per capita'!BI153&lt;=Thresholds!$D$58,"LM",IF('GNI per capita'!BI153&lt;=Thresholds!$E$58,"UM","H")))</f>
        <v>LM</v>
      </c>
      <c r="BJ153" s="42" t="str">
        <f>IF('GNI per capita'!BJ153&lt;=Thresholds!$C$59,"L",IF('GNI per capita'!BJ153&lt;=Thresholds!$D$59,"LM",IF('GNI per capita'!BJ153&lt;=Thresholds!$E$59,"UM","H")))</f>
        <v>LM</v>
      </c>
      <c r="BK153" s="42" t="str">
        <f>IF('GNI per capita'!BK153&lt;=Thresholds!$C$60,"L",IF('GNI per capita'!BK153&lt;=Thresholds!$D$60,"LM",IF('GNI per capita'!BK153&lt;=Thresholds!$E$60,"UM","H")))</f>
        <v>LM</v>
      </c>
      <c r="BL153" s="42" t="str">
        <f>IF('GNI per capita'!BL153&lt;=Thresholds!$C$61,"L",IF('GNI per capita'!BL153&lt;=Thresholds!$D$61,"LM",IF('GNI per capita'!BL153&lt;=Thresholds!$E$61,"UM","H")))</f>
        <v>LM</v>
      </c>
      <c r="BM153" s="42" t="str">
        <f>IF('GNI per capita'!BM153&lt;=Thresholds!$C$62,"L",IF('GNI per capita'!BM153&lt;=Thresholds!$D$62,"LM",IF('GNI per capita'!BM153&lt;=Thresholds!$E$62,"UM","H")))</f>
        <v>LM</v>
      </c>
      <c r="BN153" s="42" t="str">
        <f>IF('GNI per capita'!BN153&lt;=Thresholds!$C$63,"L",IF('GNI per capita'!BN153&lt;=Thresholds!$D$63,"LM",IF('GNI per capita'!BN153&lt;=Thresholds!$E$63,"UM","H")))</f>
        <v>LM</v>
      </c>
      <c r="BO153" s="42" t="str">
        <f>IF('GNI per capita'!BO153&lt;=Thresholds!$C$64,"L",IF('GNI per capita'!BO153&lt;=Thresholds!$D$64,"LM",IF('GNI per capita'!BO153&lt;=Thresholds!$E$64,"UM","H")))</f>
        <v>LM</v>
      </c>
      <c r="BP153" s="42" t="str">
        <f>IF('GNI per capita'!BP153&lt;=Thresholds!$C$65,"L",IF('GNI per capita'!BP153&lt;=Thresholds!$D$65,"LM",IF('GNI per capita'!BP153&lt;=Thresholds!$E$65,"UM","H")))</f>
        <v>LM</v>
      </c>
      <c r="BQ153" s="42" t="str">
        <f>IF('GNI per capita'!BQ153&lt;=Thresholds!$C$66,"L",IF('GNI per capita'!BQ153&lt;=Thresholds!$D$66,"LM",IF('GNI per capita'!BQ153&lt;=Thresholds!$E$66,"UM","H")))</f>
        <v>LM</v>
      </c>
      <c r="BR153" s="42" t="str">
        <f>IF('GNI per capita'!BR153&lt;=Thresholds!$C$67,"L",IF('GNI per capita'!BR153&lt;=Thresholds!$D$67,"LM",IF('GNI per capita'!BR153&lt;=Thresholds!$E$67,"UM","H")))</f>
        <v>LM</v>
      </c>
      <c r="BS153" s="42" t="str">
        <f>IF('GNI per capita'!BS153&lt;=Thresholds!$C$68,"L",IF('GNI per capita'!BS153&lt;=Thresholds!$D$68,"LM",IF('GNI per capita'!BS153&lt;=Thresholds!$E$68,"UM","H")))</f>
        <v>LM</v>
      </c>
    </row>
    <row r="154" spans="1:71" x14ac:dyDescent="0.2">
      <c r="A154" s="2" t="s">
        <v>528</v>
      </c>
      <c r="B154" s="2" t="s">
        <v>529</v>
      </c>
      <c r="C154" s="11" t="s">
        <v>79</v>
      </c>
      <c r="G154" s="2" t="s">
        <v>162</v>
      </c>
      <c r="H154" s="41"/>
      <c r="I154" s="41"/>
      <c r="J154" s="41"/>
      <c r="K154" s="41"/>
      <c r="L154" s="41"/>
      <c r="M154" s="41"/>
      <c r="N154" s="41"/>
      <c r="O154" s="41"/>
      <c r="P154" s="41"/>
      <c r="Q154" s="41" t="s">
        <v>82</v>
      </c>
      <c r="R154" s="41" t="s">
        <v>82</v>
      </c>
      <c r="S154" s="41" t="s">
        <v>82</v>
      </c>
      <c r="T154" s="41" t="s">
        <v>82</v>
      </c>
      <c r="U154" s="41" t="s">
        <v>82</v>
      </c>
      <c r="V154" s="41" t="s">
        <v>82</v>
      </c>
      <c r="W154" s="41" t="s">
        <v>82</v>
      </c>
      <c r="X154" s="41" t="s">
        <v>82</v>
      </c>
      <c r="Y154" s="41" t="s">
        <v>82</v>
      </c>
      <c r="Z154" s="41" t="s">
        <v>82</v>
      </c>
      <c r="AA154" s="41" t="s">
        <v>82</v>
      </c>
      <c r="AB154" s="41" t="s">
        <v>82</v>
      </c>
      <c r="AC154" s="41" t="s">
        <v>82</v>
      </c>
      <c r="AD154" s="41" t="s">
        <v>82</v>
      </c>
      <c r="AE154" s="41" t="s">
        <v>82</v>
      </c>
      <c r="AF154" s="41" t="s">
        <v>82</v>
      </c>
      <c r="AG154" s="41" t="s">
        <v>82</v>
      </c>
      <c r="AH154" s="41" t="s">
        <v>82</v>
      </c>
      <c r="AI154" s="41" t="s">
        <v>82</v>
      </c>
      <c r="AJ154" s="41" t="s">
        <v>82</v>
      </c>
      <c r="AK154" s="41" t="s">
        <v>79</v>
      </c>
      <c r="AL154" s="41" t="s">
        <v>79</v>
      </c>
      <c r="AM154" s="41" t="s">
        <v>79</v>
      </c>
      <c r="AN154" s="41" t="s">
        <v>79</v>
      </c>
      <c r="AO154" s="41" t="s">
        <v>79</v>
      </c>
      <c r="AP154" s="41" t="s">
        <v>82</v>
      </c>
      <c r="AQ154" s="41" t="s">
        <v>82</v>
      </c>
      <c r="AR154" s="41" t="s">
        <v>79</v>
      </c>
      <c r="AS154" s="41" t="s">
        <v>79</v>
      </c>
      <c r="AT154" s="41" t="s">
        <v>79</v>
      </c>
      <c r="AU154" s="42" t="str">
        <f>IF('GNI per capita'!AU154&lt;=Thresholds!$C$44,"L",IF('GNI per capita'!AU154&lt;=Thresholds!$D$44,"LM",IF('GNI per capita'!AU154&lt;=Thresholds!$E$44,"UM","H")))</f>
        <v>H</v>
      </c>
      <c r="AV154" s="42" t="str">
        <f>IF('GNI per capita'!AV154&lt;=Thresholds!$C$45,"L",IF('GNI per capita'!AV154&lt;=Thresholds!$D$45,"LM",IF('GNI per capita'!AV154&lt;=Thresholds!$E$45,"UM","H")))</f>
        <v>H</v>
      </c>
      <c r="AW154" s="42" t="str">
        <f>IF('GNI per capita'!AW154&lt;=Thresholds!$C$46,"L",IF('GNI per capita'!AW154&lt;=Thresholds!$D$46,"LM",IF('GNI per capita'!AW154&lt;=Thresholds!$E$46,"UM","H")))</f>
        <v>H</v>
      </c>
      <c r="AX154" s="42" t="str">
        <f>IF('GNI per capita'!AX154&lt;=Thresholds!$C$47,"L",IF('GNI per capita'!AX154&lt;=Thresholds!$D$47,"LM",IF('GNI per capita'!AX154&lt;=Thresholds!$E$47,"UM","H")))</f>
        <v>H</v>
      </c>
      <c r="AY154" s="42" t="str">
        <f>IF('GNI per capita'!AY154&lt;=Thresholds!$C$48,"L",IF('GNI per capita'!AY154&lt;=Thresholds!$D$48,"LM",IF('GNI per capita'!AY154&lt;=Thresholds!$E$48,"UM","H")))</f>
        <v>H</v>
      </c>
      <c r="AZ154" s="42" t="str">
        <f>IF('GNI per capita'!AZ154&lt;=Thresholds!$C$49,"L",IF('GNI per capita'!AZ154&lt;=Thresholds!$D$49,"LM",IF('GNI per capita'!AZ154&lt;=Thresholds!$E$49,"UM","H")))</f>
        <v>H</v>
      </c>
      <c r="BA154" s="42" t="str">
        <f>IF('GNI per capita'!BA154&lt;=Thresholds!$C$50,"L",IF('GNI per capita'!BA154&lt;=Thresholds!$D$50,"LM",IF('GNI per capita'!BA154&lt;=Thresholds!$E$50,"UM","H")))</f>
        <v>H</v>
      </c>
      <c r="BB154" s="42" t="str">
        <f>IF('GNI per capita'!BB154&lt;=Thresholds!$C$51,"L",IF('GNI per capita'!BB154&lt;=Thresholds!$D$51,"LM",IF('GNI per capita'!BB154&lt;=Thresholds!$E$51,"UM","H")))</f>
        <v>H</v>
      </c>
      <c r="BC154" s="42" t="str">
        <f>IF('GNI per capita'!BC154&lt;=Thresholds!$C$52,"L",IF('GNI per capita'!BC154&lt;=Thresholds!$D$52,"LM",IF('GNI per capita'!BC154&lt;=Thresholds!$E$52,"UM","H")))</f>
        <v>H</v>
      </c>
      <c r="BD154" s="42" t="str">
        <f>IF('GNI per capita'!BD154&lt;=Thresholds!$C$53,"L",IF('GNI per capita'!BD154&lt;=Thresholds!$D$53,"LM",IF('GNI per capita'!BD154&lt;=Thresholds!$E$53,"UM","H")))</f>
        <v>H</v>
      </c>
      <c r="BE154" s="42" t="str">
        <f>IF('GNI per capita'!BE154&lt;=Thresholds!$C$54,"L",IF('GNI per capita'!BE154&lt;=Thresholds!$D$54,"LM",IF('GNI per capita'!BE154&lt;=Thresholds!$E$54,"UM","H")))</f>
        <v>H</v>
      </c>
      <c r="BF154" s="42" t="str">
        <f>IF('GNI per capita'!BF154&lt;=Thresholds!$C$55,"L",IF('GNI per capita'!BF154&lt;=Thresholds!$D$55,"LM",IF('GNI per capita'!BF154&lt;=Thresholds!$E$55,"UM","H")))</f>
        <v>H</v>
      </c>
      <c r="BG154" s="42" t="str">
        <f>IF('GNI per capita'!BG154&lt;=Thresholds!$C$56,"L",IF('GNI per capita'!BG154&lt;=Thresholds!$D$56,"LM",IF('GNI per capita'!BG154&lt;=Thresholds!$E$56,"UM","H")))</f>
        <v>H</v>
      </c>
      <c r="BH154" s="42" t="str">
        <f>IF('GNI per capita'!BH154&lt;=Thresholds!$C$57,"L",IF('GNI per capita'!BH154&lt;=Thresholds!$D$57,"LM",IF('GNI per capita'!BH154&lt;=Thresholds!$E$57,"UM","H")))</f>
        <v>H</v>
      </c>
      <c r="BI154" s="42" t="str">
        <f>IF('GNI per capita'!BI154&lt;=Thresholds!$C$58,"L",IF('GNI per capita'!BI154&lt;=Thresholds!$D$58,"LM",IF('GNI per capita'!BI154&lt;=Thresholds!$E$58,"UM","H")))</f>
        <v>H</v>
      </c>
      <c r="BJ154" s="42" t="str">
        <f>IF('GNI per capita'!BJ154&lt;=Thresholds!$C$59,"L",IF('GNI per capita'!BJ154&lt;=Thresholds!$D$59,"LM",IF('GNI per capita'!BJ154&lt;=Thresholds!$E$59,"UM","H")))</f>
        <v>H</v>
      </c>
      <c r="BK154" s="42" t="str">
        <f>IF('GNI per capita'!BK154&lt;=Thresholds!$C$60,"L",IF('GNI per capita'!BK154&lt;=Thresholds!$D$60,"LM",IF('GNI per capita'!BK154&lt;=Thresholds!$E$60,"UM","H")))</f>
        <v>H</v>
      </c>
      <c r="BL154" s="42" t="str">
        <f>IF('GNI per capita'!BL154&lt;=Thresholds!$C$61,"L",IF('GNI per capita'!BL154&lt;=Thresholds!$D$61,"LM",IF('GNI per capita'!BL154&lt;=Thresholds!$E$61,"UM","H")))</f>
        <v>H</v>
      </c>
      <c r="BM154" s="42" t="str">
        <f>IF('GNI per capita'!BM154&lt;=Thresholds!$C$62,"L",IF('GNI per capita'!BM154&lt;=Thresholds!$D$62,"LM",IF('GNI per capita'!BM154&lt;=Thresholds!$E$62,"UM","H")))</f>
        <v>H</v>
      </c>
      <c r="BN154" s="42" t="str">
        <f>IF('GNI per capita'!BN154&lt;=Thresholds!$C$63,"L",IF('GNI per capita'!BN154&lt;=Thresholds!$D$63,"LM",IF('GNI per capita'!BN154&lt;=Thresholds!$E$63,"UM","H")))</f>
        <v>H</v>
      </c>
      <c r="BO154" s="42" t="str">
        <f>IF('GNI per capita'!BO154&lt;=Thresholds!$C$64,"L",IF('GNI per capita'!BO154&lt;=Thresholds!$D$64,"LM",IF('GNI per capita'!BO154&lt;=Thresholds!$E$64,"UM","H")))</f>
        <v>H</v>
      </c>
      <c r="BP154" s="42" t="str">
        <f>IF('GNI per capita'!BP154&lt;=Thresholds!$C$65,"L",IF('GNI per capita'!BP154&lt;=Thresholds!$D$65,"LM",IF('GNI per capita'!BP154&lt;=Thresholds!$E$65,"UM","H")))</f>
        <v>H</v>
      </c>
      <c r="BQ154" s="42" t="str">
        <f>IF('GNI per capita'!BQ154&lt;=Thresholds!$C$66,"L",IF('GNI per capita'!BQ154&lt;=Thresholds!$D$66,"LM",IF('GNI per capita'!BQ154&lt;=Thresholds!$E$66,"UM","H")))</f>
        <v>H</v>
      </c>
      <c r="BR154" s="42" t="str">
        <f>IF('GNI per capita'!BR154&lt;=Thresholds!$C$67,"L",IF('GNI per capita'!BR154&lt;=Thresholds!$D$67,"LM",IF('GNI per capita'!BR154&lt;=Thresholds!$E$67,"UM","H")))</f>
        <v>H</v>
      </c>
      <c r="BS154" s="42" t="str">
        <f>IF('GNI per capita'!BS154&lt;=Thresholds!$C$68,"L",IF('GNI per capita'!BS154&lt;=Thresholds!$D$68,"LM",IF('GNI per capita'!BS154&lt;=Thresholds!$E$68,"UM","H")))</f>
        <v>H</v>
      </c>
    </row>
    <row r="155" spans="1:71" x14ac:dyDescent="0.2">
      <c r="A155" s="2" t="s">
        <v>530</v>
      </c>
      <c r="B155" s="2" t="s">
        <v>531</v>
      </c>
      <c r="C155" s="11" t="s">
        <v>79</v>
      </c>
      <c r="G155" s="2" t="s">
        <v>162</v>
      </c>
      <c r="H155" s="41" t="s">
        <v>82</v>
      </c>
      <c r="I155" s="41" t="s">
        <v>210</v>
      </c>
      <c r="J155" s="41" t="s">
        <v>210</v>
      </c>
      <c r="K155" s="41" t="s">
        <v>210</v>
      </c>
      <c r="L155" s="41" t="s">
        <v>210</v>
      </c>
      <c r="M155" s="41" t="s">
        <v>210</v>
      </c>
      <c r="N155" s="41" t="s">
        <v>210</v>
      </c>
      <c r="O155" s="41" t="s">
        <v>210</v>
      </c>
      <c r="P155" s="41" t="s">
        <v>210</v>
      </c>
      <c r="Q155" s="41" t="s">
        <v>210</v>
      </c>
      <c r="R155" s="41" t="s">
        <v>210</v>
      </c>
      <c r="S155" s="41" t="s">
        <v>82</v>
      </c>
      <c r="T155" s="41" t="s">
        <v>82</v>
      </c>
      <c r="U155" s="41" t="s">
        <v>82</v>
      </c>
      <c r="V155" s="41" t="s">
        <v>82</v>
      </c>
      <c r="W155" s="41" t="s">
        <v>82</v>
      </c>
      <c r="X155" s="41" t="s">
        <v>82</v>
      </c>
      <c r="Y155" s="41" t="s">
        <v>82</v>
      </c>
      <c r="Z155" s="41" t="s">
        <v>82</v>
      </c>
      <c r="AA155" s="41" t="s">
        <v>82</v>
      </c>
      <c r="AB155" s="41" t="s">
        <v>82</v>
      </c>
      <c r="AC155" s="41" t="s">
        <v>82</v>
      </c>
      <c r="AD155" s="41" t="s">
        <v>82</v>
      </c>
      <c r="AE155" s="41" t="s">
        <v>82</v>
      </c>
      <c r="AF155" s="41" t="s">
        <v>82</v>
      </c>
      <c r="AG155" s="41" t="s">
        <v>82</v>
      </c>
      <c r="AH155" s="41" t="s">
        <v>82</v>
      </c>
      <c r="AI155" s="41" t="s">
        <v>82</v>
      </c>
      <c r="AJ155" s="41" t="s">
        <v>82</v>
      </c>
      <c r="AK155" s="41" t="s">
        <v>82</v>
      </c>
      <c r="AL155" s="41" t="s">
        <v>79</v>
      </c>
      <c r="AM155" s="41" t="s">
        <v>79</v>
      </c>
      <c r="AN155" s="41" t="s">
        <v>79</v>
      </c>
      <c r="AO155" s="41" t="s">
        <v>82</v>
      </c>
      <c r="AP155" s="41" t="s">
        <v>79</v>
      </c>
      <c r="AQ155" s="41" t="s">
        <v>79</v>
      </c>
      <c r="AR155" s="41" t="s">
        <v>79</v>
      </c>
      <c r="AS155" s="41" t="s">
        <v>79</v>
      </c>
      <c r="AT155" s="41" t="s">
        <v>79</v>
      </c>
      <c r="AU155" s="42" t="str">
        <f>IF('GNI per capita'!AU155&lt;=Thresholds!$C$44,"L",IF('GNI per capita'!AU155&lt;=Thresholds!$D$44,"LM",IF('GNI per capita'!AU155&lt;=Thresholds!$E$44,"UM","H")))</f>
        <v>H</v>
      </c>
      <c r="AV155" s="42" t="str">
        <f>IF('GNI per capita'!AV155&lt;=Thresholds!$C$45,"L",IF('GNI per capita'!AV155&lt;=Thresholds!$D$45,"LM",IF('GNI per capita'!AV155&lt;=Thresholds!$E$45,"UM","H")))</f>
        <v>H</v>
      </c>
      <c r="AW155" s="42" t="str">
        <f>IF('GNI per capita'!AW155&lt;=Thresholds!$C$46,"L",IF('GNI per capita'!AW155&lt;=Thresholds!$D$46,"LM",IF('GNI per capita'!AW155&lt;=Thresholds!$E$46,"UM","H")))</f>
        <v>H</v>
      </c>
      <c r="AX155" s="42" t="str">
        <f>IF('GNI per capita'!AX155&lt;=Thresholds!$C$47,"L",IF('GNI per capita'!AX155&lt;=Thresholds!$D$47,"LM",IF('GNI per capita'!AX155&lt;=Thresholds!$E$47,"UM","H")))</f>
        <v>H</v>
      </c>
      <c r="AY155" s="42" t="str">
        <f>IF('GNI per capita'!AY155&lt;=Thresholds!$C$48,"L",IF('GNI per capita'!AY155&lt;=Thresholds!$D$48,"LM",IF('GNI per capita'!AY155&lt;=Thresholds!$E$48,"UM","H")))</f>
        <v>H</v>
      </c>
      <c r="AZ155" s="42" t="str">
        <f>IF('GNI per capita'!AZ155&lt;=Thresholds!$C$49,"L",IF('GNI per capita'!AZ155&lt;=Thresholds!$D$49,"LM",IF('GNI per capita'!AZ155&lt;=Thresholds!$E$49,"UM","H")))</f>
        <v>H</v>
      </c>
      <c r="BA155" s="42" t="str">
        <f>IF('GNI per capita'!BA155&lt;=Thresholds!$C$50,"L",IF('GNI per capita'!BA155&lt;=Thresholds!$D$50,"LM",IF('GNI per capita'!BA155&lt;=Thresholds!$E$50,"UM","H")))</f>
        <v>H</v>
      </c>
      <c r="BB155" s="42" t="str">
        <f>IF('GNI per capita'!BB155&lt;=Thresholds!$C$51,"L",IF('GNI per capita'!BB155&lt;=Thresholds!$D$51,"LM",IF('GNI per capita'!BB155&lt;=Thresholds!$E$51,"UM","H")))</f>
        <v>H</v>
      </c>
      <c r="BC155" s="42" t="str">
        <f>IF('GNI per capita'!BC155&lt;=Thresholds!$C$52,"L",IF('GNI per capita'!BC155&lt;=Thresholds!$D$52,"LM",IF('GNI per capita'!BC155&lt;=Thresholds!$E$52,"UM","H")))</f>
        <v>H</v>
      </c>
      <c r="BD155" s="42" t="str">
        <f>IF('GNI per capita'!BD155&lt;=Thresholds!$C$53,"L",IF('GNI per capita'!BD155&lt;=Thresholds!$D$53,"LM",IF('GNI per capita'!BD155&lt;=Thresholds!$E$53,"UM","H")))</f>
        <v>H</v>
      </c>
      <c r="BE155" s="42" t="str">
        <f>IF('GNI per capita'!BE155&lt;=Thresholds!$C$54,"L",IF('GNI per capita'!BE155&lt;=Thresholds!$D$54,"LM",IF('GNI per capita'!BE155&lt;=Thresholds!$E$54,"UM","H")))</f>
        <v>H</v>
      </c>
      <c r="BF155" s="42" t="str">
        <f>IF('GNI per capita'!BF155&lt;=Thresholds!$C$55,"L",IF('GNI per capita'!BF155&lt;=Thresholds!$D$55,"LM",IF('GNI per capita'!BF155&lt;=Thresholds!$E$55,"UM","H")))</f>
        <v>H</v>
      </c>
      <c r="BG155" s="42" t="str">
        <f>IF('GNI per capita'!BG155&lt;=Thresholds!$C$56,"L",IF('GNI per capita'!BG155&lt;=Thresholds!$D$56,"LM",IF('GNI per capita'!BG155&lt;=Thresholds!$E$56,"UM","H")))</f>
        <v>H</v>
      </c>
      <c r="BH155" s="42" t="str">
        <f>IF('GNI per capita'!BH155&lt;=Thresholds!$C$57,"L",IF('GNI per capita'!BH155&lt;=Thresholds!$D$57,"LM",IF('GNI per capita'!BH155&lt;=Thresholds!$E$57,"UM","H")))</f>
        <v>H</v>
      </c>
      <c r="BI155" s="42" t="str">
        <f>IF('GNI per capita'!BI155&lt;=Thresholds!$C$58,"L",IF('GNI per capita'!BI155&lt;=Thresholds!$D$58,"LM",IF('GNI per capita'!BI155&lt;=Thresholds!$E$58,"UM","H")))</f>
        <v>H</v>
      </c>
      <c r="BJ155" s="42" t="str">
        <f>IF('GNI per capita'!BJ155&lt;=Thresholds!$C$59,"L",IF('GNI per capita'!BJ155&lt;=Thresholds!$D$59,"LM",IF('GNI per capita'!BJ155&lt;=Thresholds!$E$59,"UM","H")))</f>
        <v>H</v>
      </c>
      <c r="BK155" s="42" t="str">
        <f>IF('GNI per capita'!BK155&lt;=Thresholds!$C$60,"L",IF('GNI per capita'!BK155&lt;=Thresholds!$D$60,"LM",IF('GNI per capita'!BK155&lt;=Thresholds!$E$60,"UM","H")))</f>
        <v>H</v>
      </c>
      <c r="BL155" s="42" t="str">
        <f>IF('GNI per capita'!BL155&lt;=Thresholds!$C$61,"L",IF('GNI per capita'!BL155&lt;=Thresholds!$D$61,"LM",IF('GNI per capita'!BL155&lt;=Thresholds!$E$61,"UM","H")))</f>
        <v>H</v>
      </c>
      <c r="BM155" s="42" t="str">
        <f>IF('GNI per capita'!BM155&lt;=Thresholds!$C$62,"L",IF('GNI per capita'!BM155&lt;=Thresholds!$D$62,"LM",IF('GNI per capita'!BM155&lt;=Thresholds!$E$62,"UM","H")))</f>
        <v>H</v>
      </c>
      <c r="BN155" s="42" t="str">
        <f>IF('GNI per capita'!BN155&lt;=Thresholds!$C$63,"L",IF('GNI per capita'!BN155&lt;=Thresholds!$D$63,"LM",IF('GNI per capita'!BN155&lt;=Thresholds!$E$63,"UM","H")))</f>
        <v>H</v>
      </c>
      <c r="BO155" s="42" t="str">
        <f>IF('GNI per capita'!BO155&lt;=Thresholds!$C$64,"L",IF('GNI per capita'!BO155&lt;=Thresholds!$D$64,"LM",IF('GNI per capita'!BO155&lt;=Thresholds!$E$64,"UM","H")))</f>
        <v>H</v>
      </c>
      <c r="BP155" s="42" t="str">
        <f>IF('GNI per capita'!BP155&lt;=Thresholds!$C$65,"L",IF('GNI per capita'!BP155&lt;=Thresholds!$D$65,"LM",IF('GNI per capita'!BP155&lt;=Thresholds!$E$65,"UM","H")))</f>
        <v>H</v>
      </c>
      <c r="BQ155" s="42" t="str">
        <f>IF('GNI per capita'!BQ155&lt;=Thresholds!$C$66,"L",IF('GNI per capita'!BQ155&lt;=Thresholds!$D$66,"LM",IF('GNI per capita'!BQ155&lt;=Thresholds!$E$66,"UM","H")))</f>
        <v>H</v>
      </c>
      <c r="BR155" s="42" t="str">
        <f>IF('GNI per capita'!BR155&lt;=Thresholds!$C$67,"L",IF('GNI per capita'!BR155&lt;=Thresholds!$D$67,"LM",IF('GNI per capita'!BR155&lt;=Thresholds!$E$67,"UM","H")))</f>
        <v>H</v>
      </c>
      <c r="BS155" s="42" t="str">
        <f>IF('GNI per capita'!BS155&lt;=Thresholds!$C$68,"L",IF('GNI per capita'!BS155&lt;=Thresholds!$D$68,"LM",IF('GNI per capita'!BS155&lt;=Thresholds!$E$68,"UM","H")))</f>
        <v>H</v>
      </c>
    </row>
    <row r="156" spans="1:71" x14ac:dyDescent="0.2">
      <c r="A156" s="2" t="s">
        <v>532</v>
      </c>
      <c r="B156" s="2" t="s">
        <v>533</v>
      </c>
      <c r="C156" s="11" t="s">
        <v>210</v>
      </c>
      <c r="G156" s="2" t="s">
        <v>445</v>
      </c>
      <c r="H156" s="41" t="s">
        <v>210</v>
      </c>
      <c r="I156" s="41" t="s">
        <v>210</v>
      </c>
      <c r="J156" s="41" t="s">
        <v>210</v>
      </c>
      <c r="K156" s="41" t="s">
        <v>210</v>
      </c>
      <c r="L156" s="41" t="s">
        <v>210</v>
      </c>
      <c r="M156" s="41" t="s">
        <v>210</v>
      </c>
      <c r="N156" s="41" t="s">
        <v>210</v>
      </c>
      <c r="O156" s="41" t="s">
        <v>210</v>
      </c>
      <c r="P156" s="41" t="s">
        <v>210</v>
      </c>
      <c r="Q156" s="41" t="s">
        <v>210</v>
      </c>
      <c r="R156" s="41" t="s">
        <v>210</v>
      </c>
      <c r="S156" s="41" t="s">
        <v>210</v>
      </c>
      <c r="T156" s="41" t="s">
        <v>210</v>
      </c>
      <c r="U156" s="41" t="s">
        <v>210</v>
      </c>
      <c r="V156" s="41" t="s">
        <v>75</v>
      </c>
      <c r="W156" s="41" t="s">
        <v>75</v>
      </c>
      <c r="X156" s="41" t="s">
        <v>75</v>
      </c>
      <c r="Y156" s="41" t="s">
        <v>75</v>
      </c>
      <c r="Z156" s="41" t="s">
        <v>75</v>
      </c>
      <c r="AA156" s="41" t="s">
        <v>75</v>
      </c>
      <c r="AB156" s="41" t="s">
        <v>75</v>
      </c>
      <c r="AC156" s="41" t="s">
        <v>210</v>
      </c>
      <c r="AD156" s="41" t="s">
        <v>210</v>
      </c>
      <c r="AE156" s="41" t="s">
        <v>210</v>
      </c>
      <c r="AF156" s="41" t="s">
        <v>210</v>
      </c>
      <c r="AG156" s="41" t="s">
        <v>210</v>
      </c>
      <c r="AH156" s="41" t="s">
        <v>210</v>
      </c>
      <c r="AI156" s="41" t="s">
        <v>210</v>
      </c>
      <c r="AJ156" s="41" t="s">
        <v>210</v>
      </c>
      <c r="AK156" s="41" t="s">
        <v>210</v>
      </c>
      <c r="AL156" s="41" t="s">
        <v>210</v>
      </c>
      <c r="AM156" s="41" t="s">
        <v>210</v>
      </c>
      <c r="AN156" s="41" t="s">
        <v>210</v>
      </c>
      <c r="AO156" s="41" t="s">
        <v>210</v>
      </c>
      <c r="AP156" s="41" t="s">
        <v>210</v>
      </c>
      <c r="AQ156" s="41" t="s">
        <v>210</v>
      </c>
      <c r="AR156" s="41" t="s">
        <v>210</v>
      </c>
      <c r="AS156" s="41" t="s">
        <v>210</v>
      </c>
      <c r="AT156" s="41" t="s">
        <v>210</v>
      </c>
      <c r="AU156" s="42" t="str">
        <f>IF('GNI per capita'!AU156&lt;=Thresholds!$C$44,"L",IF('GNI per capita'!AU156&lt;=Thresholds!$D$44,"LM",IF('GNI per capita'!AU156&lt;=Thresholds!$E$44,"UM","H")))</f>
        <v>LM</v>
      </c>
      <c r="AV156" s="42" t="str">
        <f>IF('GNI per capita'!AV156&lt;=Thresholds!$C$45,"L",IF('GNI per capita'!AV156&lt;=Thresholds!$D$45,"LM",IF('GNI per capita'!AV156&lt;=Thresholds!$E$45,"UM","H")))</f>
        <v>LM</v>
      </c>
      <c r="AW156" s="42" t="str">
        <f>IF('GNI per capita'!AW156&lt;=Thresholds!$C$46,"L",IF('GNI per capita'!AW156&lt;=Thresholds!$D$46,"LM",IF('GNI per capita'!AW156&lt;=Thresholds!$E$46,"UM","H")))</f>
        <v>LM</v>
      </c>
      <c r="AX156" s="42" t="str">
        <f>IF('GNI per capita'!AX156&lt;=Thresholds!$C$47,"L",IF('GNI per capita'!AX156&lt;=Thresholds!$D$47,"LM",IF('GNI per capita'!AX156&lt;=Thresholds!$E$47,"UM","H")))</f>
        <v>LM</v>
      </c>
      <c r="AY156" s="42" t="str">
        <f>IF('GNI per capita'!AY156&lt;=Thresholds!$C$48,"L",IF('GNI per capita'!AY156&lt;=Thresholds!$D$48,"LM",IF('GNI per capita'!AY156&lt;=Thresholds!$E$48,"UM","H")))</f>
        <v>LM</v>
      </c>
      <c r="AZ156" s="42" t="str">
        <f>IF('GNI per capita'!AZ156&lt;=Thresholds!$C$49,"L",IF('GNI per capita'!AZ156&lt;=Thresholds!$D$49,"LM",IF('GNI per capita'!AZ156&lt;=Thresholds!$E$49,"UM","H")))</f>
        <v>LM</v>
      </c>
      <c r="BA156" s="42" t="str">
        <f>IF('GNI per capita'!BA156&lt;=Thresholds!$C$50,"L",IF('GNI per capita'!BA156&lt;=Thresholds!$D$50,"LM",IF('GNI per capita'!BA156&lt;=Thresholds!$E$50,"UM","H")))</f>
        <v>LM</v>
      </c>
      <c r="BB156" s="42" t="str">
        <f>IF('GNI per capita'!BB156&lt;=Thresholds!$C$51,"L",IF('GNI per capita'!BB156&lt;=Thresholds!$D$51,"LM",IF('GNI per capita'!BB156&lt;=Thresholds!$E$51,"UM","H")))</f>
        <v>LM</v>
      </c>
      <c r="BC156" s="42" t="str">
        <f>IF('GNI per capita'!BC156&lt;=Thresholds!$C$52,"L",IF('GNI per capita'!BC156&lt;=Thresholds!$D$52,"LM",IF('GNI per capita'!BC156&lt;=Thresholds!$E$52,"UM","H")))</f>
        <v>LM</v>
      </c>
      <c r="BD156" s="42" t="str">
        <f>IF('GNI per capita'!BD156&lt;=Thresholds!$C$53,"L",IF('GNI per capita'!BD156&lt;=Thresholds!$D$53,"LM",IF('GNI per capita'!BD156&lt;=Thresholds!$E$53,"UM","H")))</f>
        <v>LM</v>
      </c>
      <c r="BE156" s="42" t="str">
        <f>IF('GNI per capita'!BE156&lt;=Thresholds!$C$54,"L",IF('GNI per capita'!BE156&lt;=Thresholds!$D$54,"LM",IF('GNI per capita'!BE156&lt;=Thresholds!$E$54,"UM","H")))</f>
        <v>LM</v>
      </c>
      <c r="BF156" s="42" t="str">
        <f>IF('GNI per capita'!BF156&lt;=Thresholds!$C$55,"L",IF('GNI per capita'!BF156&lt;=Thresholds!$D$55,"LM",IF('GNI per capita'!BF156&lt;=Thresholds!$E$55,"UM","H")))</f>
        <v>LM</v>
      </c>
      <c r="BG156" s="42" t="str">
        <f>IF('GNI per capita'!BG156&lt;=Thresholds!$C$56,"L",IF('GNI per capita'!BG156&lt;=Thresholds!$D$56,"LM",IF('GNI per capita'!BG156&lt;=Thresholds!$E$56,"UM","H")))</f>
        <v>LM</v>
      </c>
      <c r="BH156" s="42" t="str">
        <f>IF('GNI per capita'!BH156&lt;=Thresholds!$C$57,"L",IF('GNI per capita'!BH156&lt;=Thresholds!$D$57,"LM",IF('GNI per capita'!BH156&lt;=Thresholds!$E$57,"UM","H")))</f>
        <v>LM</v>
      </c>
      <c r="BI156" s="42" t="str">
        <f>IF('GNI per capita'!BI156&lt;=Thresholds!$C$58,"L",IF('GNI per capita'!BI156&lt;=Thresholds!$D$58,"LM",IF('GNI per capita'!BI156&lt;=Thresholds!$E$58,"UM","H")))</f>
        <v>LM</v>
      </c>
      <c r="BJ156" s="42" t="str">
        <f>IF('GNI per capita'!BJ156&lt;=Thresholds!$C$59,"L",IF('GNI per capita'!BJ156&lt;=Thresholds!$D$59,"LM",IF('GNI per capita'!BJ156&lt;=Thresholds!$E$59,"UM","H")))</f>
        <v>LM</v>
      </c>
      <c r="BK156" s="42" t="str">
        <f>IF('GNI per capita'!BK156&lt;=Thresholds!$C$60,"L",IF('GNI per capita'!BK156&lt;=Thresholds!$D$60,"LM",IF('GNI per capita'!BK156&lt;=Thresholds!$E$60,"UM","H")))</f>
        <v>LM</v>
      </c>
      <c r="BL156" s="42" t="str">
        <f>IF('GNI per capita'!BL156&lt;=Thresholds!$C$61,"L",IF('GNI per capita'!BL156&lt;=Thresholds!$D$61,"LM",IF('GNI per capita'!BL156&lt;=Thresholds!$E$61,"UM","H")))</f>
        <v>LM</v>
      </c>
      <c r="BM156" s="42" t="str">
        <f>IF('GNI per capita'!BM156&lt;=Thresholds!$C$62,"L",IF('GNI per capita'!BM156&lt;=Thresholds!$D$62,"LM",IF('GNI per capita'!BM156&lt;=Thresholds!$E$62,"UM","H")))</f>
        <v>LM</v>
      </c>
      <c r="BN156" s="42" t="str">
        <f>IF('GNI per capita'!BN156&lt;=Thresholds!$C$63,"L",IF('GNI per capita'!BN156&lt;=Thresholds!$D$63,"LM",IF('GNI per capita'!BN156&lt;=Thresholds!$E$63,"UM","H")))</f>
        <v>LM</v>
      </c>
      <c r="BO156" s="42" t="str">
        <f>IF('GNI per capita'!BO156&lt;=Thresholds!$C$64,"L",IF('GNI per capita'!BO156&lt;=Thresholds!$D$64,"LM",IF('GNI per capita'!BO156&lt;=Thresholds!$E$64,"UM","H")))</f>
        <v>LM</v>
      </c>
      <c r="BP156" s="42" t="str">
        <f>IF('GNI per capita'!BP156&lt;=Thresholds!$C$65,"L",IF('GNI per capita'!BP156&lt;=Thresholds!$D$65,"LM",IF('GNI per capita'!BP156&lt;=Thresholds!$E$65,"UM","H")))</f>
        <v>LM</v>
      </c>
      <c r="BQ156" s="42" t="str">
        <f>IF('GNI per capita'!BQ156&lt;=Thresholds!$C$66,"L",IF('GNI per capita'!BQ156&lt;=Thresholds!$D$66,"LM",IF('GNI per capita'!BQ156&lt;=Thresholds!$E$66,"UM","H")))</f>
        <v>LM</v>
      </c>
      <c r="BR156" s="42" t="str">
        <f>IF('GNI per capita'!BR156&lt;=Thresholds!$C$67,"L",IF('GNI per capita'!BR156&lt;=Thresholds!$D$67,"LM",IF('GNI per capita'!BR156&lt;=Thresholds!$E$67,"UM","H")))</f>
        <v>LM</v>
      </c>
      <c r="BS156" s="42" t="str">
        <f>IF('GNI per capita'!BS156&lt;=Thresholds!$C$68,"L",IF('GNI per capita'!BS156&lt;=Thresholds!$D$68,"LM",IF('GNI per capita'!BS156&lt;=Thresholds!$E$68,"UM","H")))</f>
        <v>LM</v>
      </c>
    </row>
    <row r="157" spans="1:71" x14ac:dyDescent="0.2">
      <c r="A157" s="2" t="s">
        <v>534</v>
      </c>
      <c r="B157" s="2" t="s">
        <v>535</v>
      </c>
      <c r="C157" s="11" t="s">
        <v>82</v>
      </c>
      <c r="G157" s="2" t="s">
        <v>162</v>
      </c>
      <c r="H157" s="41" t="s">
        <v>210</v>
      </c>
      <c r="I157" s="41" t="s">
        <v>210</v>
      </c>
      <c r="J157" s="41" t="s">
        <v>210</v>
      </c>
      <c r="K157" s="41" t="s">
        <v>210</v>
      </c>
      <c r="L157" s="41" t="s">
        <v>210</v>
      </c>
      <c r="M157" s="41" t="s">
        <v>210</v>
      </c>
      <c r="N157" s="41" t="s">
        <v>210</v>
      </c>
      <c r="O157" s="41" t="s">
        <v>210</v>
      </c>
      <c r="P157" s="41" t="s">
        <v>210</v>
      </c>
      <c r="Q157" s="41" t="s">
        <v>210</v>
      </c>
      <c r="R157" s="41" t="s">
        <v>210</v>
      </c>
      <c r="S157" s="41" t="s">
        <v>210</v>
      </c>
      <c r="T157" s="41" t="s">
        <v>210</v>
      </c>
      <c r="U157" s="41" t="s">
        <v>210</v>
      </c>
      <c r="V157" s="41" t="s">
        <v>210</v>
      </c>
      <c r="W157" s="41" t="s">
        <v>210</v>
      </c>
      <c r="X157" s="41" t="s">
        <v>210</v>
      </c>
      <c r="Y157" s="41" t="s">
        <v>210</v>
      </c>
      <c r="Z157" s="41" t="s">
        <v>210</v>
      </c>
      <c r="AA157" s="41" t="s">
        <v>210</v>
      </c>
      <c r="AB157" s="41" t="s">
        <v>210</v>
      </c>
      <c r="AC157" s="41" t="s">
        <v>210</v>
      </c>
      <c r="AD157" s="41" t="s">
        <v>210</v>
      </c>
      <c r="AE157" s="41" t="s">
        <v>210</v>
      </c>
      <c r="AF157" s="41" t="s">
        <v>210</v>
      </c>
      <c r="AG157" s="41" t="s">
        <v>210</v>
      </c>
      <c r="AH157" s="41" t="s">
        <v>210</v>
      </c>
      <c r="AI157" s="41" t="s">
        <v>82</v>
      </c>
      <c r="AJ157" s="41" t="s">
        <v>82</v>
      </c>
      <c r="AK157" s="41" t="s">
        <v>82</v>
      </c>
      <c r="AL157" s="41" t="s">
        <v>82</v>
      </c>
      <c r="AM157" s="41" t="s">
        <v>82</v>
      </c>
      <c r="AN157" s="41" t="s">
        <v>82</v>
      </c>
      <c r="AO157" s="41" t="s">
        <v>82</v>
      </c>
      <c r="AP157" s="41" t="s">
        <v>82</v>
      </c>
      <c r="AQ157" s="41" t="s">
        <v>82</v>
      </c>
      <c r="AR157" s="41" t="s">
        <v>82</v>
      </c>
      <c r="AS157" s="41" t="s">
        <v>82</v>
      </c>
      <c r="AT157" s="41" t="s">
        <v>82</v>
      </c>
      <c r="AU157" s="42" t="str">
        <f>IF('GNI per capita'!AU157&lt;=Thresholds!$C$44,"L",IF('GNI per capita'!AU157&lt;=Thresholds!$D$44,"LM",IF('GNI per capita'!AU157&lt;=Thresholds!$E$44,"UM","H")))</f>
        <v>UM</v>
      </c>
      <c r="AV157" s="42" t="str">
        <f>IF('GNI per capita'!AV157&lt;=Thresholds!$C$45,"L",IF('GNI per capita'!AV157&lt;=Thresholds!$D$45,"LM",IF('GNI per capita'!AV157&lt;=Thresholds!$E$45,"UM","H")))</f>
        <v>UM</v>
      </c>
      <c r="AW157" s="42" t="str">
        <f>IF('GNI per capita'!AW157&lt;=Thresholds!$C$46,"L",IF('GNI per capita'!AW157&lt;=Thresholds!$D$46,"LM",IF('GNI per capita'!AW157&lt;=Thresholds!$E$46,"UM","H")))</f>
        <v>UM</v>
      </c>
      <c r="AX157" s="42" t="str">
        <f>IF('GNI per capita'!AX157&lt;=Thresholds!$C$47,"L",IF('GNI per capita'!AX157&lt;=Thresholds!$D$47,"LM",IF('GNI per capita'!AX157&lt;=Thresholds!$E$47,"UM","H")))</f>
        <v>UM</v>
      </c>
      <c r="AY157" s="42" t="str">
        <f>IF('GNI per capita'!AY157&lt;=Thresholds!$C$48,"L",IF('GNI per capita'!AY157&lt;=Thresholds!$D$48,"LM",IF('GNI per capita'!AY157&lt;=Thresholds!$E$48,"UM","H")))</f>
        <v>UM</v>
      </c>
      <c r="AZ157" s="42" t="str">
        <f>IF('GNI per capita'!AZ157&lt;=Thresholds!$C$49,"L",IF('GNI per capita'!AZ157&lt;=Thresholds!$D$49,"LM",IF('GNI per capita'!AZ157&lt;=Thresholds!$E$49,"UM","H")))</f>
        <v>UM</v>
      </c>
      <c r="BA157" s="42" t="str">
        <f>IF('GNI per capita'!BA157&lt;=Thresholds!$C$50,"L",IF('GNI per capita'!BA157&lt;=Thresholds!$D$50,"LM",IF('GNI per capita'!BA157&lt;=Thresholds!$E$50,"UM","H")))</f>
        <v>UM</v>
      </c>
      <c r="BB157" s="42" t="str">
        <f>IF('GNI per capita'!BB157&lt;=Thresholds!$C$51,"L",IF('GNI per capita'!BB157&lt;=Thresholds!$D$51,"LM",IF('GNI per capita'!BB157&lt;=Thresholds!$E$51,"UM","H")))</f>
        <v>UM</v>
      </c>
      <c r="BC157" s="42" t="str">
        <f>IF('GNI per capita'!BC157&lt;=Thresholds!$C$52,"L",IF('GNI per capita'!BC157&lt;=Thresholds!$D$52,"LM",IF('GNI per capita'!BC157&lt;=Thresholds!$E$52,"UM","H")))</f>
        <v>UM</v>
      </c>
      <c r="BD157" s="42" t="str">
        <f>IF('GNI per capita'!BD157&lt;=Thresholds!$C$53,"L",IF('GNI per capita'!BD157&lt;=Thresholds!$D$53,"LM",IF('GNI per capita'!BD157&lt;=Thresholds!$E$53,"UM","H")))</f>
        <v>UM</v>
      </c>
      <c r="BE157" s="42" t="str">
        <f>IF('GNI per capita'!BE157&lt;=Thresholds!$C$54,"L",IF('GNI per capita'!BE157&lt;=Thresholds!$D$54,"LM",IF('GNI per capita'!BE157&lt;=Thresholds!$E$54,"UM","H")))</f>
        <v>UM</v>
      </c>
      <c r="BF157" s="42" t="str">
        <f>IF('GNI per capita'!BF157&lt;=Thresholds!$C$55,"L",IF('GNI per capita'!BF157&lt;=Thresholds!$D$55,"LM",IF('GNI per capita'!BF157&lt;=Thresholds!$E$55,"UM","H")))</f>
        <v>UM</v>
      </c>
      <c r="BG157" s="42" t="str">
        <f>IF('GNI per capita'!BG157&lt;=Thresholds!$C$56,"L",IF('GNI per capita'!BG157&lt;=Thresholds!$D$56,"LM",IF('GNI per capita'!BG157&lt;=Thresholds!$E$56,"UM","H")))</f>
        <v>UM</v>
      </c>
      <c r="BH157" s="42" t="str">
        <f>IF('GNI per capita'!BH157&lt;=Thresholds!$C$57,"L",IF('GNI per capita'!BH157&lt;=Thresholds!$D$57,"LM",IF('GNI per capita'!BH157&lt;=Thresholds!$E$57,"UM","H")))</f>
        <v>UM</v>
      </c>
      <c r="BI157" s="42" t="str">
        <f>IF('GNI per capita'!BI157&lt;=Thresholds!$C$58,"L",IF('GNI per capita'!BI157&lt;=Thresholds!$D$58,"LM",IF('GNI per capita'!BI157&lt;=Thresholds!$E$58,"UM","H")))</f>
        <v>UM</v>
      </c>
      <c r="BJ157" s="42" t="str">
        <f>IF('GNI per capita'!BJ157&lt;=Thresholds!$C$59,"L",IF('GNI per capita'!BJ157&lt;=Thresholds!$D$59,"LM",IF('GNI per capita'!BJ157&lt;=Thresholds!$E$59,"UM","H")))</f>
        <v>UM</v>
      </c>
      <c r="BK157" s="42" t="str">
        <f>IF('GNI per capita'!BK157&lt;=Thresholds!$C$60,"L",IF('GNI per capita'!BK157&lt;=Thresholds!$D$60,"LM",IF('GNI per capita'!BK157&lt;=Thresholds!$E$60,"UM","H")))</f>
        <v>UM</v>
      </c>
      <c r="BL157" s="42" t="str">
        <f>IF('GNI per capita'!BL157&lt;=Thresholds!$C$61,"L",IF('GNI per capita'!BL157&lt;=Thresholds!$D$61,"LM",IF('GNI per capita'!BL157&lt;=Thresholds!$E$61,"UM","H")))</f>
        <v>UM</v>
      </c>
      <c r="BM157" s="42" t="str">
        <f>IF('GNI per capita'!BM157&lt;=Thresholds!$C$62,"L",IF('GNI per capita'!BM157&lt;=Thresholds!$D$62,"LM",IF('GNI per capita'!BM157&lt;=Thresholds!$E$62,"UM","H")))</f>
        <v>UM</v>
      </c>
      <c r="BN157" s="42" t="str">
        <f>IF('GNI per capita'!BN157&lt;=Thresholds!$C$63,"L",IF('GNI per capita'!BN157&lt;=Thresholds!$D$63,"LM",IF('GNI per capita'!BN157&lt;=Thresholds!$E$63,"UM","H")))</f>
        <v>UM</v>
      </c>
      <c r="BO157" s="42" t="str">
        <f>IF('GNI per capita'!BO157&lt;=Thresholds!$C$64,"L",IF('GNI per capita'!BO157&lt;=Thresholds!$D$64,"LM",IF('GNI per capita'!BO157&lt;=Thresholds!$E$64,"UM","H")))</f>
        <v>UM</v>
      </c>
      <c r="BP157" s="42" t="str">
        <f>IF('GNI per capita'!BP157&lt;=Thresholds!$C$65,"L",IF('GNI per capita'!BP157&lt;=Thresholds!$D$65,"LM",IF('GNI per capita'!BP157&lt;=Thresholds!$E$65,"UM","H")))</f>
        <v>UM</v>
      </c>
      <c r="BQ157" s="42" t="str">
        <f>IF('GNI per capita'!BQ157&lt;=Thresholds!$C$66,"L",IF('GNI per capita'!BQ157&lt;=Thresholds!$D$66,"LM",IF('GNI per capita'!BQ157&lt;=Thresholds!$E$66,"UM","H")))</f>
        <v>UM</v>
      </c>
      <c r="BR157" s="42" t="str">
        <f>IF('GNI per capita'!BR157&lt;=Thresholds!$C$67,"L",IF('GNI per capita'!BR157&lt;=Thresholds!$D$67,"LM",IF('GNI per capita'!BR157&lt;=Thresholds!$E$67,"UM","H")))</f>
        <v>UM</v>
      </c>
      <c r="BS157" s="42" t="str">
        <f>IF('GNI per capita'!BS157&lt;=Thresholds!$C$68,"L",IF('GNI per capita'!BS157&lt;=Thresholds!$D$68,"LM",IF('GNI per capita'!BS157&lt;=Thresholds!$E$68,"UM","H")))</f>
        <v>UM</v>
      </c>
    </row>
    <row r="158" spans="1:71" x14ac:dyDescent="0.2">
      <c r="A158" s="2" t="s">
        <v>536</v>
      </c>
      <c r="B158" s="2" t="s">
        <v>537</v>
      </c>
      <c r="C158" s="11" t="s">
        <v>82</v>
      </c>
      <c r="G158" s="2" t="s">
        <v>162</v>
      </c>
      <c r="H158" s="41" t="s">
        <v>210</v>
      </c>
      <c r="I158" s="41" t="s">
        <v>210</v>
      </c>
      <c r="J158" s="41" t="s">
        <v>210</v>
      </c>
      <c r="K158" s="41" t="s">
        <v>210</v>
      </c>
      <c r="L158" s="41" t="s">
        <v>210</v>
      </c>
      <c r="M158" s="41" t="s">
        <v>210</v>
      </c>
      <c r="N158" s="41" t="s">
        <v>210</v>
      </c>
      <c r="O158" s="41" t="s">
        <v>210</v>
      </c>
      <c r="P158" s="41" t="s">
        <v>210</v>
      </c>
      <c r="Q158" s="41" t="s">
        <v>210</v>
      </c>
      <c r="R158" s="41" t="s">
        <v>210</v>
      </c>
      <c r="S158" s="41" t="s">
        <v>210</v>
      </c>
      <c r="T158" s="41" t="s">
        <v>210</v>
      </c>
      <c r="U158" s="41" t="s">
        <v>210</v>
      </c>
      <c r="V158" s="41" t="s">
        <v>210</v>
      </c>
      <c r="W158" s="41" t="s">
        <v>210</v>
      </c>
      <c r="X158" s="41" t="s">
        <v>210</v>
      </c>
      <c r="Y158" s="41" t="s">
        <v>210</v>
      </c>
      <c r="Z158" s="41" t="s">
        <v>210</v>
      </c>
      <c r="AA158" s="41" t="s">
        <v>210</v>
      </c>
      <c r="AB158" s="41" t="s">
        <v>210</v>
      </c>
      <c r="AC158" s="41" t="s">
        <v>82</v>
      </c>
      <c r="AD158" s="41" t="s">
        <v>82</v>
      </c>
      <c r="AE158" s="41" t="s">
        <v>82</v>
      </c>
      <c r="AF158" s="41" t="s">
        <v>82</v>
      </c>
      <c r="AG158" s="41" t="s">
        <v>82</v>
      </c>
      <c r="AH158" s="41" t="s">
        <v>82</v>
      </c>
      <c r="AI158" s="41" t="s">
        <v>82</v>
      </c>
      <c r="AJ158" s="41" t="s">
        <v>82</v>
      </c>
      <c r="AK158" s="41" t="s">
        <v>82</v>
      </c>
      <c r="AL158" s="41" t="s">
        <v>82</v>
      </c>
      <c r="AM158" s="41" t="s">
        <v>82</v>
      </c>
      <c r="AN158" s="41" t="s">
        <v>82</v>
      </c>
      <c r="AO158" s="41" t="s">
        <v>82</v>
      </c>
      <c r="AP158" s="41" t="s">
        <v>82</v>
      </c>
      <c r="AQ158" s="41" t="s">
        <v>82</v>
      </c>
      <c r="AR158" s="41" t="s">
        <v>82</v>
      </c>
      <c r="AS158" s="41" t="s">
        <v>82</v>
      </c>
      <c r="AT158" s="41" t="s">
        <v>82</v>
      </c>
      <c r="AU158" s="42" t="str">
        <f>IF('GNI per capita'!AU158&lt;=Thresholds!$C$44,"L",IF('GNI per capita'!AU158&lt;=Thresholds!$D$44,"LM",IF('GNI per capita'!AU158&lt;=Thresholds!$E$44,"UM","H")))</f>
        <v>UM</v>
      </c>
      <c r="AV158" s="42" t="str">
        <f>IF('GNI per capita'!AV158&lt;=Thresholds!$C$45,"L",IF('GNI per capita'!AV158&lt;=Thresholds!$D$45,"LM",IF('GNI per capita'!AV158&lt;=Thresholds!$E$45,"UM","H")))</f>
        <v>UM</v>
      </c>
      <c r="AW158" s="42" t="str">
        <f>IF('GNI per capita'!AW158&lt;=Thresholds!$C$46,"L",IF('GNI per capita'!AW158&lt;=Thresholds!$D$46,"LM",IF('GNI per capita'!AW158&lt;=Thresholds!$E$46,"UM","H")))</f>
        <v>UM</v>
      </c>
      <c r="AX158" s="42" t="str">
        <f>IF('GNI per capita'!AX158&lt;=Thresholds!$C$47,"L",IF('GNI per capita'!AX158&lt;=Thresholds!$D$47,"LM",IF('GNI per capita'!AX158&lt;=Thresholds!$E$47,"UM","H")))</f>
        <v>UM</v>
      </c>
      <c r="AY158" s="42" t="str">
        <f>IF('GNI per capita'!AY158&lt;=Thresholds!$C$48,"L",IF('GNI per capita'!AY158&lt;=Thresholds!$D$48,"LM",IF('GNI per capita'!AY158&lt;=Thresholds!$E$48,"UM","H")))</f>
        <v>UM</v>
      </c>
      <c r="AZ158" s="42" t="str">
        <f>IF('GNI per capita'!AZ158&lt;=Thresholds!$C$49,"L",IF('GNI per capita'!AZ158&lt;=Thresholds!$D$49,"LM",IF('GNI per capita'!AZ158&lt;=Thresholds!$E$49,"UM","H")))</f>
        <v>UM</v>
      </c>
      <c r="BA158" s="42" t="str">
        <f>IF('GNI per capita'!BA158&lt;=Thresholds!$C$50,"L",IF('GNI per capita'!BA158&lt;=Thresholds!$D$50,"LM",IF('GNI per capita'!BA158&lt;=Thresholds!$E$50,"UM","H")))</f>
        <v>UM</v>
      </c>
      <c r="BB158" s="42" t="str">
        <f>IF('GNI per capita'!BB158&lt;=Thresholds!$C$51,"L",IF('GNI per capita'!BB158&lt;=Thresholds!$D$51,"LM",IF('GNI per capita'!BB158&lt;=Thresholds!$E$51,"UM","H")))</f>
        <v>UM</v>
      </c>
      <c r="BC158" s="42" t="str">
        <f>IF('GNI per capita'!BC158&lt;=Thresholds!$C$52,"L",IF('GNI per capita'!BC158&lt;=Thresholds!$D$52,"LM",IF('GNI per capita'!BC158&lt;=Thresholds!$E$52,"UM","H")))</f>
        <v>UM</v>
      </c>
      <c r="BD158" s="42" t="str">
        <f>IF('GNI per capita'!BD158&lt;=Thresholds!$C$53,"L",IF('GNI per capita'!BD158&lt;=Thresholds!$D$53,"LM",IF('GNI per capita'!BD158&lt;=Thresholds!$E$53,"UM","H")))</f>
        <v>UM</v>
      </c>
      <c r="BE158" s="42" t="str">
        <f>IF('GNI per capita'!BE158&lt;=Thresholds!$C$54,"L",IF('GNI per capita'!BE158&lt;=Thresholds!$D$54,"LM",IF('GNI per capita'!BE158&lt;=Thresholds!$E$54,"UM","H")))</f>
        <v>UM</v>
      </c>
      <c r="BF158" s="42" t="str">
        <f>IF('GNI per capita'!BF158&lt;=Thresholds!$C$55,"L",IF('GNI per capita'!BF158&lt;=Thresholds!$D$55,"LM",IF('GNI per capita'!BF158&lt;=Thresholds!$E$55,"UM","H")))</f>
        <v>UM</v>
      </c>
      <c r="BG158" s="42" t="str">
        <f>IF('GNI per capita'!BG158&lt;=Thresholds!$C$56,"L",IF('GNI per capita'!BG158&lt;=Thresholds!$D$56,"LM",IF('GNI per capita'!BG158&lt;=Thresholds!$E$56,"UM","H")))</f>
        <v>H</v>
      </c>
      <c r="BH158" s="42" t="str">
        <f>IF('GNI per capita'!BH158&lt;=Thresholds!$C$57,"L",IF('GNI per capita'!BH158&lt;=Thresholds!$D$57,"LM",IF('GNI per capita'!BH158&lt;=Thresholds!$E$57,"UM","H")))</f>
        <v>H</v>
      </c>
      <c r="BI158" s="42" t="str">
        <f>IF('GNI per capita'!BI158&lt;=Thresholds!$C$58,"L",IF('GNI per capita'!BI158&lt;=Thresholds!$D$58,"LM",IF('GNI per capita'!BI158&lt;=Thresholds!$E$58,"UM","H")))</f>
        <v>H</v>
      </c>
      <c r="BJ158" s="42" t="str">
        <f>IF('GNI per capita'!BJ158&lt;=Thresholds!$C$59,"L",IF('GNI per capita'!BJ158&lt;=Thresholds!$D$59,"LM",IF('GNI per capita'!BJ158&lt;=Thresholds!$E$59,"UM","H")))</f>
        <v>H</v>
      </c>
      <c r="BK158" s="42" t="str">
        <f>IF('GNI per capita'!BK158&lt;=Thresholds!$C$60,"L",IF('GNI per capita'!BK158&lt;=Thresholds!$D$60,"LM",IF('GNI per capita'!BK158&lt;=Thresholds!$E$60,"UM","H")))</f>
        <v>H</v>
      </c>
      <c r="BL158" s="42" t="str">
        <f>IF('GNI per capita'!BL158&lt;=Thresholds!$C$61,"L",IF('GNI per capita'!BL158&lt;=Thresholds!$D$61,"LM",IF('GNI per capita'!BL158&lt;=Thresholds!$E$61,"UM","H")))</f>
        <v>H</v>
      </c>
      <c r="BM158" s="42" t="str">
        <f>IF('GNI per capita'!BM158&lt;=Thresholds!$C$62,"L",IF('GNI per capita'!BM158&lt;=Thresholds!$D$62,"LM",IF('GNI per capita'!BM158&lt;=Thresholds!$E$62,"UM","H")))</f>
        <v>H</v>
      </c>
      <c r="BN158" s="42" t="str">
        <f>IF('GNI per capita'!BN158&lt;=Thresholds!$C$63,"L",IF('GNI per capita'!BN158&lt;=Thresholds!$D$63,"LM",IF('GNI per capita'!BN158&lt;=Thresholds!$E$63,"UM","H")))</f>
        <v>H</v>
      </c>
      <c r="BO158" s="42" t="str">
        <f>IF('GNI per capita'!BO158&lt;=Thresholds!$C$64,"L",IF('GNI per capita'!BO158&lt;=Thresholds!$D$64,"LM",IF('GNI per capita'!BO158&lt;=Thresholds!$E$64,"UM","H")))</f>
        <v>H</v>
      </c>
      <c r="BP158" s="42" t="str">
        <f>IF('GNI per capita'!BP158&lt;=Thresholds!$C$65,"L",IF('GNI per capita'!BP158&lt;=Thresholds!$D$65,"LM",IF('GNI per capita'!BP158&lt;=Thresholds!$E$65,"UM","H")))</f>
        <v>H</v>
      </c>
      <c r="BQ158" s="42" t="str">
        <f>IF('GNI per capita'!BQ158&lt;=Thresholds!$C$66,"L",IF('GNI per capita'!BQ158&lt;=Thresholds!$D$66,"LM",IF('GNI per capita'!BQ158&lt;=Thresholds!$E$66,"UM","H")))</f>
        <v>H</v>
      </c>
      <c r="BR158" s="42" t="str">
        <f>IF('GNI per capita'!BR158&lt;=Thresholds!$C$67,"L",IF('GNI per capita'!BR158&lt;=Thresholds!$D$67,"LM",IF('GNI per capita'!BR158&lt;=Thresholds!$E$67,"UM","H")))</f>
        <v>H</v>
      </c>
      <c r="BS158" s="42" t="str">
        <f>IF('GNI per capita'!BS158&lt;=Thresholds!$C$68,"L",IF('GNI per capita'!BS158&lt;=Thresholds!$D$68,"LM",IF('GNI per capita'!BS158&lt;=Thresholds!$E$68,"UM","H")))</f>
        <v>H</v>
      </c>
    </row>
    <row r="159" spans="1:71" x14ac:dyDescent="0.2">
      <c r="A159" s="2" t="s">
        <v>538</v>
      </c>
      <c r="B159" s="2" t="s">
        <v>539</v>
      </c>
      <c r="C159" s="11" t="s">
        <v>82</v>
      </c>
      <c r="G159" s="2" t="s">
        <v>162</v>
      </c>
      <c r="H159" s="41" t="s">
        <v>210</v>
      </c>
      <c r="I159" s="41" t="s">
        <v>210</v>
      </c>
      <c r="J159" s="41" t="s">
        <v>210</v>
      </c>
      <c r="K159" s="41" t="s">
        <v>210</v>
      </c>
      <c r="L159" s="41" t="s">
        <v>210</v>
      </c>
      <c r="M159" s="41" t="s">
        <v>210</v>
      </c>
      <c r="N159" s="41" t="s">
        <v>210</v>
      </c>
      <c r="O159" s="41" t="s">
        <v>210</v>
      </c>
      <c r="P159" s="41" t="s">
        <v>210</v>
      </c>
      <c r="Q159" s="41" t="s">
        <v>210</v>
      </c>
      <c r="R159" s="41" t="s">
        <v>210</v>
      </c>
      <c r="S159" s="41" t="s">
        <v>210</v>
      </c>
      <c r="T159" s="41" t="s">
        <v>210</v>
      </c>
      <c r="U159" s="41" t="s">
        <v>210</v>
      </c>
      <c r="V159" s="41" t="s">
        <v>210</v>
      </c>
      <c r="W159" s="41" t="s">
        <v>210</v>
      </c>
      <c r="X159" s="41" t="s">
        <v>210</v>
      </c>
      <c r="Y159" s="41" t="s">
        <v>210</v>
      </c>
      <c r="Z159" s="41" t="s">
        <v>210</v>
      </c>
      <c r="AA159" s="41" t="s">
        <v>210</v>
      </c>
      <c r="AB159" s="41" t="s">
        <v>210</v>
      </c>
      <c r="AC159" s="41" t="s">
        <v>210</v>
      </c>
      <c r="AD159" s="41" t="s">
        <v>210</v>
      </c>
      <c r="AE159" s="41" t="s">
        <v>210</v>
      </c>
      <c r="AF159" s="41" t="s">
        <v>210</v>
      </c>
      <c r="AG159" s="41" t="s">
        <v>210</v>
      </c>
      <c r="AH159" s="41" t="s">
        <v>210</v>
      </c>
      <c r="AI159" s="41" t="s">
        <v>210</v>
      </c>
      <c r="AJ159" s="41" t="s">
        <v>210</v>
      </c>
      <c r="AK159" s="41" t="s">
        <v>210</v>
      </c>
      <c r="AL159" s="41" t="s">
        <v>210</v>
      </c>
      <c r="AM159" s="41" t="s">
        <v>210</v>
      </c>
      <c r="AN159" s="41" t="s">
        <v>210</v>
      </c>
      <c r="AO159" s="41" t="s">
        <v>210</v>
      </c>
      <c r="AP159" s="41" t="s">
        <v>210</v>
      </c>
      <c r="AQ159" s="41" t="s">
        <v>210</v>
      </c>
      <c r="AR159" s="41" t="s">
        <v>210</v>
      </c>
      <c r="AS159" s="41" t="s">
        <v>210</v>
      </c>
      <c r="AT159" s="41" t="s">
        <v>82</v>
      </c>
      <c r="AU159" s="42" t="str">
        <f>IF('GNI per capita'!AU159&lt;=Thresholds!$C$44,"L",IF('GNI per capita'!AU159&lt;=Thresholds!$D$44,"LM",IF('GNI per capita'!AU159&lt;=Thresholds!$E$44,"UM","H")))</f>
        <v>UM</v>
      </c>
      <c r="AV159" s="42" t="str">
        <f>IF('GNI per capita'!AV159&lt;=Thresholds!$C$45,"L",IF('GNI per capita'!AV159&lt;=Thresholds!$D$45,"LM",IF('GNI per capita'!AV159&lt;=Thresholds!$E$45,"UM","H")))</f>
        <v>UM</v>
      </c>
      <c r="AW159" s="42" t="str">
        <f>IF('GNI per capita'!AW159&lt;=Thresholds!$C$46,"L",IF('GNI per capita'!AW159&lt;=Thresholds!$D$46,"LM",IF('GNI per capita'!AW159&lt;=Thresholds!$E$46,"UM","H")))</f>
        <v>UM</v>
      </c>
      <c r="AX159" s="42" t="str">
        <f>IF('GNI per capita'!AX159&lt;=Thresholds!$C$47,"L",IF('GNI per capita'!AX159&lt;=Thresholds!$D$47,"LM",IF('GNI per capita'!AX159&lt;=Thresholds!$E$47,"UM","H")))</f>
        <v>UM</v>
      </c>
      <c r="AY159" s="42" t="str">
        <f>IF('GNI per capita'!AY159&lt;=Thresholds!$C$48,"L",IF('GNI per capita'!AY159&lt;=Thresholds!$D$48,"LM",IF('GNI per capita'!AY159&lt;=Thresholds!$E$48,"UM","H")))</f>
        <v>UM</v>
      </c>
      <c r="AZ159" s="42" t="str">
        <f>IF('GNI per capita'!AZ159&lt;=Thresholds!$C$49,"L",IF('GNI per capita'!AZ159&lt;=Thresholds!$D$49,"LM",IF('GNI per capita'!AZ159&lt;=Thresholds!$E$49,"UM","H")))</f>
        <v>UM</v>
      </c>
      <c r="BA159" s="42" t="str">
        <f>IF('GNI per capita'!BA159&lt;=Thresholds!$C$50,"L",IF('GNI per capita'!BA159&lt;=Thresholds!$D$50,"LM",IF('GNI per capita'!BA159&lt;=Thresholds!$E$50,"UM","H")))</f>
        <v>UM</v>
      </c>
      <c r="BB159" s="42" t="str">
        <f>IF('GNI per capita'!BB159&lt;=Thresholds!$C$51,"L",IF('GNI per capita'!BB159&lt;=Thresholds!$D$51,"LM",IF('GNI per capita'!BB159&lt;=Thresholds!$E$51,"UM","H")))</f>
        <v>UM</v>
      </c>
      <c r="BC159" s="42" t="str">
        <f>IF('GNI per capita'!BC159&lt;=Thresholds!$C$52,"L",IF('GNI per capita'!BC159&lt;=Thresholds!$D$52,"LM",IF('GNI per capita'!BC159&lt;=Thresholds!$E$52,"UM","H")))</f>
        <v>UM</v>
      </c>
      <c r="BD159" s="42" t="str">
        <f>IF('GNI per capita'!BD159&lt;=Thresholds!$C$53,"L",IF('GNI per capita'!BD159&lt;=Thresholds!$D$53,"LM",IF('GNI per capita'!BD159&lt;=Thresholds!$E$53,"UM","H")))</f>
        <v>UM</v>
      </c>
      <c r="BE159" s="42" t="str">
        <f>IF('GNI per capita'!BE159&lt;=Thresholds!$C$54,"L",IF('GNI per capita'!BE159&lt;=Thresholds!$D$54,"LM",IF('GNI per capita'!BE159&lt;=Thresholds!$E$54,"UM","H")))</f>
        <v>UM</v>
      </c>
      <c r="BF159" s="42" t="str">
        <f>IF('GNI per capita'!BF159&lt;=Thresholds!$C$55,"L",IF('GNI per capita'!BF159&lt;=Thresholds!$D$55,"LM",IF('GNI per capita'!BF159&lt;=Thresholds!$E$55,"UM","H")))</f>
        <v>UM</v>
      </c>
      <c r="BG159" s="42" t="str">
        <f>IF('GNI per capita'!BG159&lt;=Thresholds!$C$56,"L",IF('GNI per capita'!BG159&lt;=Thresholds!$D$56,"LM",IF('GNI per capita'!BG159&lt;=Thresholds!$E$56,"UM","H")))</f>
        <v>UM</v>
      </c>
      <c r="BH159" s="42" t="str">
        <f>IF('GNI per capita'!BH159&lt;=Thresholds!$C$57,"L",IF('GNI per capita'!BH159&lt;=Thresholds!$D$57,"LM",IF('GNI per capita'!BH159&lt;=Thresholds!$E$57,"UM","H")))</f>
        <v>UM</v>
      </c>
      <c r="BI159" s="42" t="str">
        <f>IF('GNI per capita'!BI159&lt;=Thresholds!$C$58,"L",IF('GNI per capita'!BI159&lt;=Thresholds!$D$58,"LM",IF('GNI per capita'!BI159&lt;=Thresholds!$E$58,"UM","H")))</f>
        <v>UM</v>
      </c>
      <c r="BJ159" s="42" t="str">
        <f>IF('GNI per capita'!BJ159&lt;=Thresholds!$C$59,"L",IF('GNI per capita'!BJ159&lt;=Thresholds!$D$59,"LM",IF('GNI per capita'!BJ159&lt;=Thresholds!$E$59,"UM","H")))</f>
        <v>UM</v>
      </c>
      <c r="BK159" s="42" t="str">
        <f>IF('GNI per capita'!BK159&lt;=Thresholds!$C$60,"L",IF('GNI per capita'!BK159&lt;=Thresholds!$D$60,"LM",IF('GNI per capita'!BK159&lt;=Thresholds!$E$60,"UM","H")))</f>
        <v>UM</v>
      </c>
      <c r="BL159" s="42" t="str">
        <f>IF('GNI per capita'!BL159&lt;=Thresholds!$C$61,"L",IF('GNI per capita'!BL159&lt;=Thresholds!$D$61,"LM",IF('GNI per capita'!BL159&lt;=Thresholds!$E$61,"UM","H")))</f>
        <v>UM</v>
      </c>
      <c r="BM159" s="42" t="str">
        <f>IF('GNI per capita'!BM159&lt;=Thresholds!$C$62,"L",IF('GNI per capita'!BM159&lt;=Thresholds!$D$62,"LM",IF('GNI per capita'!BM159&lt;=Thresholds!$E$62,"UM","H")))</f>
        <v>UM</v>
      </c>
      <c r="BN159" s="42" t="str">
        <f>IF('GNI per capita'!BN159&lt;=Thresholds!$C$63,"L",IF('GNI per capita'!BN159&lt;=Thresholds!$D$63,"LM",IF('GNI per capita'!BN159&lt;=Thresholds!$E$63,"UM","H")))</f>
        <v>UM</v>
      </c>
      <c r="BO159" s="42" t="str">
        <f>IF('GNI per capita'!BO159&lt;=Thresholds!$C$64,"L",IF('GNI per capita'!BO159&lt;=Thresholds!$D$64,"LM",IF('GNI per capita'!BO159&lt;=Thresholds!$E$64,"UM","H")))</f>
        <v>UM</v>
      </c>
      <c r="BP159" s="42" t="str">
        <f>IF('GNI per capita'!BP159&lt;=Thresholds!$C$65,"L",IF('GNI per capita'!BP159&lt;=Thresholds!$D$65,"LM",IF('GNI per capita'!BP159&lt;=Thresholds!$E$65,"UM","H")))</f>
        <v>UM</v>
      </c>
      <c r="BQ159" s="42" t="str">
        <f>IF('GNI per capita'!BQ159&lt;=Thresholds!$C$66,"L",IF('GNI per capita'!BQ159&lt;=Thresholds!$D$66,"LM",IF('GNI per capita'!BQ159&lt;=Thresholds!$E$66,"UM","H")))</f>
        <v>UM</v>
      </c>
      <c r="BR159" s="42" t="str">
        <f>IF('GNI per capita'!BR159&lt;=Thresholds!$C$67,"L",IF('GNI per capita'!BR159&lt;=Thresholds!$D$67,"LM",IF('GNI per capita'!BR159&lt;=Thresholds!$E$67,"UM","H")))</f>
        <v>UM</v>
      </c>
      <c r="BS159" s="42" t="str">
        <f>IF('GNI per capita'!BS159&lt;=Thresholds!$C$68,"L",IF('GNI per capita'!BS159&lt;=Thresholds!$D$68,"LM",IF('GNI per capita'!BS159&lt;=Thresholds!$E$68,"UM","H")))</f>
        <v>UM</v>
      </c>
    </row>
    <row r="160" spans="1:71" x14ac:dyDescent="0.2">
      <c r="A160" s="2" t="s">
        <v>540</v>
      </c>
      <c r="B160" s="2" t="s">
        <v>541</v>
      </c>
      <c r="C160" s="11" t="s">
        <v>79</v>
      </c>
      <c r="G160" s="2" t="s">
        <v>279</v>
      </c>
      <c r="H160" s="41" t="s">
        <v>210</v>
      </c>
      <c r="I160" s="41" t="s">
        <v>210</v>
      </c>
      <c r="J160" s="41" t="s">
        <v>210</v>
      </c>
      <c r="K160" s="41" t="s">
        <v>210</v>
      </c>
      <c r="L160" s="41" t="s">
        <v>210</v>
      </c>
      <c r="M160" s="41" t="s">
        <v>210</v>
      </c>
      <c r="N160" s="41" t="s">
        <v>210</v>
      </c>
      <c r="O160" s="41" t="s">
        <v>210</v>
      </c>
      <c r="P160" s="41" t="s">
        <v>210</v>
      </c>
      <c r="Q160" s="41" t="s">
        <v>82</v>
      </c>
      <c r="R160" s="41" t="s">
        <v>82</v>
      </c>
      <c r="S160" s="41" t="s">
        <v>82</v>
      </c>
      <c r="T160" s="41" t="s">
        <v>82</v>
      </c>
      <c r="U160" s="41" t="s">
        <v>82</v>
      </c>
      <c r="V160" s="41" t="s">
        <v>82</v>
      </c>
      <c r="W160" s="41" t="s">
        <v>82</v>
      </c>
      <c r="X160" s="41" t="s">
        <v>82</v>
      </c>
      <c r="Y160" s="41" t="s">
        <v>82</v>
      </c>
      <c r="Z160" s="41" t="s">
        <v>82</v>
      </c>
      <c r="AA160" s="41" t="s">
        <v>82</v>
      </c>
      <c r="AB160" s="41" t="s">
        <v>82</v>
      </c>
      <c r="AC160" s="41" t="s">
        <v>82</v>
      </c>
      <c r="AD160" s="41" t="s">
        <v>79</v>
      </c>
      <c r="AE160" s="41" t="s">
        <v>79</v>
      </c>
      <c r="AF160" s="41" t="s">
        <v>79</v>
      </c>
      <c r="AG160" s="41" t="s">
        <v>79</v>
      </c>
      <c r="AH160" s="41" t="s">
        <v>79</v>
      </c>
      <c r="AI160" s="41" t="s">
        <v>79</v>
      </c>
      <c r="AJ160" s="41" t="s">
        <v>79</v>
      </c>
      <c r="AK160" s="41" t="s">
        <v>79</v>
      </c>
      <c r="AL160" s="41" t="s">
        <v>79</v>
      </c>
      <c r="AM160" s="41" t="s">
        <v>79</v>
      </c>
      <c r="AN160" s="41" t="s">
        <v>79</v>
      </c>
      <c r="AO160" s="41" t="s">
        <v>79</v>
      </c>
      <c r="AP160" s="41" t="s">
        <v>79</v>
      </c>
      <c r="AQ160" s="41" t="s">
        <v>79</v>
      </c>
      <c r="AR160" s="41" t="s">
        <v>79</v>
      </c>
      <c r="AS160" s="41" t="s">
        <v>79</v>
      </c>
      <c r="AT160" s="41" t="s">
        <v>79</v>
      </c>
      <c r="AU160" s="42" t="str">
        <f>IF('GNI per capita'!AU160&lt;=Thresholds!$C$44,"L",IF('GNI per capita'!AU160&lt;=Thresholds!$D$44,"LM",IF('GNI per capita'!AU160&lt;=Thresholds!$E$44,"UM","H")))</f>
        <v>H</v>
      </c>
      <c r="AV160" s="42" t="str">
        <f>IF('GNI per capita'!AV160&lt;=Thresholds!$C$45,"L",IF('GNI per capita'!AV160&lt;=Thresholds!$D$45,"LM",IF('GNI per capita'!AV160&lt;=Thresholds!$E$45,"UM","H")))</f>
        <v>H</v>
      </c>
      <c r="AW160" s="42" t="str">
        <f>IF('GNI per capita'!AW160&lt;=Thresholds!$C$46,"L",IF('GNI per capita'!AW160&lt;=Thresholds!$D$46,"LM",IF('GNI per capita'!AW160&lt;=Thresholds!$E$46,"UM","H")))</f>
        <v>H</v>
      </c>
      <c r="AX160" s="42" t="str">
        <f>IF('GNI per capita'!AX160&lt;=Thresholds!$C$47,"L",IF('GNI per capita'!AX160&lt;=Thresholds!$D$47,"LM",IF('GNI per capita'!AX160&lt;=Thresholds!$E$47,"UM","H")))</f>
        <v>H</v>
      </c>
      <c r="AY160" s="42" t="str">
        <f>IF('GNI per capita'!AY160&lt;=Thresholds!$C$48,"L",IF('GNI per capita'!AY160&lt;=Thresholds!$D$48,"LM",IF('GNI per capita'!AY160&lt;=Thresholds!$E$48,"UM","H")))</f>
        <v>H</v>
      </c>
      <c r="AZ160" s="42" t="str">
        <f>IF('GNI per capita'!AZ160&lt;=Thresholds!$C$49,"L",IF('GNI per capita'!AZ160&lt;=Thresholds!$D$49,"LM",IF('GNI per capita'!AZ160&lt;=Thresholds!$E$49,"UM","H")))</f>
        <v>H</v>
      </c>
      <c r="BA160" s="42" t="str">
        <f>IF('GNI per capita'!BA160&lt;=Thresholds!$C$50,"L",IF('GNI per capita'!BA160&lt;=Thresholds!$D$50,"LM",IF('GNI per capita'!BA160&lt;=Thresholds!$E$50,"UM","H")))</f>
        <v>H</v>
      </c>
      <c r="BB160" s="42" t="str">
        <f>IF('GNI per capita'!BB160&lt;=Thresholds!$C$51,"L",IF('GNI per capita'!BB160&lt;=Thresholds!$D$51,"LM",IF('GNI per capita'!BB160&lt;=Thresholds!$E$51,"UM","H")))</f>
        <v>H</v>
      </c>
      <c r="BC160" s="42" t="str">
        <f>IF('GNI per capita'!BC160&lt;=Thresholds!$C$52,"L",IF('GNI per capita'!BC160&lt;=Thresholds!$D$52,"LM",IF('GNI per capita'!BC160&lt;=Thresholds!$E$52,"UM","H")))</f>
        <v>H</v>
      </c>
      <c r="BD160" s="42" t="str">
        <f>IF('GNI per capita'!BD160&lt;=Thresholds!$C$53,"L",IF('GNI per capita'!BD160&lt;=Thresholds!$D$53,"LM",IF('GNI per capita'!BD160&lt;=Thresholds!$E$53,"UM","H")))</f>
        <v>H</v>
      </c>
      <c r="BE160" s="42" t="str">
        <f>IF('GNI per capita'!BE160&lt;=Thresholds!$C$54,"L",IF('GNI per capita'!BE160&lt;=Thresholds!$D$54,"LM",IF('GNI per capita'!BE160&lt;=Thresholds!$E$54,"UM","H")))</f>
        <v>H</v>
      </c>
      <c r="BF160" s="42" t="str">
        <f>IF('GNI per capita'!BF160&lt;=Thresholds!$C$55,"L",IF('GNI per capita'!BF160&lt;=Thresholds!$D$55,"LM",IF('GNI per capita'!BF160&lt;=Thresholds!$E$55,"UM","H")))</f>
        <v>H</v>
      </c>
      <c r="BG160" s="42" t="str">
        <f>IF('GNI per capita'!BG160&lt;=Thresholds!$C$56,"L",IF('GNI per capita'!BG160&lt;=Thresholds!$D$56,"LM",IF('GNI per capita'!BG160&lt;=Thresholds!$E$56,"UM","H")))</f>
        <v>H</v>
      </c>
      <c r="BH160" s="42" t="str">
        <f>IF('GNI per capita'!BH160&lt;=Thresholds!$C$57,"L",IF('GNI per capita'!BH160&lt;=Thresholds!$D$57,"LM",IF('GNI per capita'!BH160&lt;=Thresholds!$E$57,"UM","H")))</f>
        <v>H</v>
      </c>
      <c r="BI160" s="42" t="str">
        <f>IF('GNI per capita'!BI160&lt;=Thresholds!$C$58,"L",IF('GNI per capita'!BI160&lt;=Thresholds!$D$58,"LM",IF('GNI per capita'!BI160&lt;=Thresholds!$E$58,"UM","H")))</f>
        <v>H</v>
      </c>
      <c r="BJ160" s="42" t="str">
        <f>IF('GNI per capita'!BJ160&lt;=Thresholds!$C$59,"L",IF('GNI per capita'!BJ160&lt;=Thresholds!$D$59,"LM",IF('GNI per capita'!BJ160&lt;=Thresholds!$E$59,"UM","H")))</f>
        <v>H</v>
      </c>
      <c r="BK160" s="42" t="str">
        <f>IF('GNI per capita'!BK160&lt;=Thresholds!$C$60,"L",IF('GNI per capita'!BK160&lt;=Thresholds!$D$60,"LM",IF('GNI per capita'!BK160&lt;=Thresholds!$E$60,"UM","H")))</f>
        <v>H</v>
      </c>
      <c r="BL160" s="42" t="str">
        <f>IF('GNI per capita'!BL160&lt;=Thresholds!$C$61,"L",IF('GNI per capita'!BL160&lt;=Thresholds!$D$61,"LM",IF('GNI per capita'!BL160&lt;=Thresholds!$E$61,"UM","H")))</f>
        <v>H</v>
      </c>
      <c r="BM160" s="42" t="str">
        <f>IF('GNI per capita'!BM160&lt;=Thresholds!$C$62,"L",IF('GNI per capita'!BM160&lt;=Thresholds!$D$62,"LM",IF('GNI per capita'!BM160&lt;=Thresholds!$E$62,"UM","H")))</f>
        <v>H</v>
      </c>
      <c r="BN160" s="42" t="str">
        <f>IF('GNI per capita'!BN160&lt;=Thresholds!$C$63,"L",IF('GNI per capita'!BN160&lt;=Thresholds!$D$63,"LM",IF('GNI per capita'!BN160&lt;=Thresholds!$E$63,"UM","H")))</f>
        <v>H</v>
      </c>
      <c r="BO160" s="42" t="str">
        <f>IF('GNI per capita'!BO160&lt;=Thresholds!$C$64,"L",IF('GNI per capita'!BO160&lt;=Thresholds!$D$64,"LM",IF('GNI per capita'!BO160&lt;=Thresholds!$E$64,"UM","H")))</f>
        <v>H</v>
      </c>
      <c r="BP160" s="42" t="str">
        <f>IF('GNI per capita'!BP160&lt;=Thresholds!$C$65,"L",IF('GNI per capita'!BP160&lt;=Thresholds!$D$65,"LM",IF('GNI per capita'!BP160&lt;=Thresholds!$E$65,"UM","H")))</f>
        <v>H</v>
      </c>
      <c r="BQ160" s="42" t="str">
        <f>IF('GNI per capita'!BQ160&lt;=Thresholds!$C$66,"L",IF('GNI per capita'!BQ160&lt;=Thresholds!$D$66,"LM",IF('GNI per capita'!BQ160&lt;=Thresholds!$E$66,"UM","H")))</f>
        <v>H</v>
      </c>
      <c r="BR160" s="42" t="str">
        <f>IF('GNI per capita'!BR160&lt;=Thresholds!$C$67,"L",IF('GNI per capita'!BR160&lt;=Thresholds!$D$67,"LM",IF('GNI per capita'!BR160&lt;=Thresholds!$E$67,"UM","H")))</f>
        <v>H</v>
      </c>
      <c r="BS160" s="42" t="str">
        <f>IF('GNI per capita'!BS160&lt;=Thresholds!$C$68,"L",IF('GNI per capita'!BS160&lt;=Thresholds!$D$68,"LM",IF('GNI per capita'!BS160&lt;=Thresholds!$E$68,"UM","H")))</f>
        <v>H</v>
      </c>
    </row>
    <row r="161" spans="1:71" x14ac:dyDescent="0.2">
      <c r="A161" s="2" t="s">
        <v>542</v>
      </c>
      <c r="B161" s="2" t="s">
        <v>543</v>
      </c>
      <c r="C161" s="11" t="s">
        <v>79</v>
      </c>
      <c r="G161" s="2" t="s">
        <v>162</v>
      </c>
      <c r="H161" s="41" t="s">
        <v>82</v>
      </c>
      <c r="I161" s="41" t="s">
        <v>82</v>
      </c>
      <c r="J161" s="41" t="s">
        <v>82</v>
      </c>
      <c r="K161" s="41" t="s">
        <v>82</v>
      </c>
      <c r="L161" s="41" t="s">
        <v>82</v>
      </c>
      <c r="M161" s="41" t="s">
        <v>82</v>
      </c>
      <c r="N161" s="41" t="s">
        <v>82</v>
      </c>
      <c r="O161" s="41" t="s">
        <v>79</v>
      </c>
      <c r="P161" s="41" t="s">
        <v>79</v>
      </c>
      <c r="Q161" s="41" t="s">
        <v>79</v>
      </c>
      <c r="R161" s="41" t="s">
        <v>79</v>
      </c>
      <c r="S161" s="41" t="s">
        <v>79</v>
      </c>
      <c r="T161" s="41" t="s">
        <v>79</v>
      </c>
      <c r="U161" s="41" t="s">
        <v>79</v>
      </c>
      <c r="V161" s="41" t="s">
        <v>79</v>
      </c>
      <c r="W161" s="41" t="s">
        <v>79</v>
      </c>
      <c r="X161" s="41" t="s">
        <v>79</v>
      </c>
      <c r="Y161" s="41" t="s">
        <v>79</v>
      </c>
      <c r="Z161" s="41" t="s">
        <v>79</v>
      </c>
      <c r="AA161" s="41" t="s">
        <v>79</v>
      </c>
      <c r="AB161" s="41" t="s">
        <v>79</v>
      </c>
      <c r="AC161" s="41" t="s">
        <v>79</v>
      </c>
      <c r="AD161" s="41" t="s">
        <v>79</v>
      </c>
      <c r="AE161" s="41" t="s">
        <v>79</v>
      </c>
      <c r="AF161" s="41" t="s">
        <v>79</v>
      </c>
      <c r="AG161" s="41" t="s">
        <v>79</v>
      </c>
      <c r="AH161" s="41" t="s">
        <v>79</v>
      </c>
      <c r="AI161" s="41" t="s">
        <v>79</v>
      </c>
      <c r="AJ161" s="41" t="s">
        <v>79</v>
      </c>
      <c r="AK161" s="41" t="s">
        <v>79</v>
      </c>
      <c r="AL161" s="41" t="s">
        <v>79</v>
      </c>
      <c r="AM161" s="41" t="s">
        <v>79</v>
      </c>
      <c r="AN161" s="41" t="s">
        <v>79</v>
      </c>
      <c r="AO161" s="41" t="s">
        <v>79</v>
      </c>
      <c r="AP161" s="41" t="s">
        <v>79</v>
      </c>
      <c r="AQ161" s="41" t="s">
        <v>79</v>
      </c>
      <c r="AR161" s="41" t="s">
        <v>79</v>
      </c>
      <c r="AS161" s="41" t="s">
        <v>79</v>
      </c>
      <c r="AT161" s="41" t="s">
        <v>79</v>
      </c>
      <c r="AU161" s="42" t="str">
        <f>IF('GNI per capita'!AU161&lt;=Thresholds!$C$44,"L",IF('GNI per capita'!AU161&lt;=Thresholds!$D$44,"LM",IF('GNI per capita'!AU161&lt;=Thresholds!$E$44,"UM","H")))</f>
        <v>H</v>
      </c>
      <c r="AV161" s="42" t="str">
        <f>IF('GNI per capita'!AV161&lt;=Thresholds!$C$45,"L",IF('GNI per capita'!AV161&lt;=Thresholds!$D$45,"LM",IF('GNI per capita'!AV161&lt;=Thresholds!$E$45,"UM","H")))</f>
        <v>H</v>
      </c>
      <c r="AW161" s="42" t="str">
        <f>IF('GNI per capita'!AW161&lt;=Thresholds!$C$46,"L",IF('GNI per capita'!AW161&lt;=Thresholds!$D$46,"LM",IF('GNI per capita'!AW161&lt;=Thresholds!$E$46,"UM","H")))</f>
        <v>H</v>
      </c>
      <c r="AX161" s="42" t="str">
        <f>IF('GNI per capita'!AX161&lt;=Thresholds!$C$47,"L",IF('GNI per capita'!AX161&lt;=Thresholds!$D$47,"LM",IF('GNI per capita'!AX161&lt;=Thresholds!$E$47,"UM","H")))</f>
        <v>H</v>
      </c>
      <c r="AY161" s="42" t="str">
        <f>IF('GNI per capita'!AY161&lt;=Thresholds!$C$48,"L",IF('GNI per capita'!AY161&lt;=Thresholds!$D$48,"LM",IF('GNI per capita'!AY161&lt;=Thresholds!$E$48,"UM","H")))</f>
        <v>H</v>
      </c>
      <c r="AZ161" s="42" t="str">
        <f>IF('GNI per capita'!AZ161&lt;=Thresholds!$C$49,"L",IF('GNI per capita'!AZ161&lt;=Thresholds!$D$49,"LM",IF('GNI per capita'!AZ161&lt;=Thresholds!$E$49,"UM","H")))</f>
        <v>H</v>
      </c>
      <c r="BA161" s="42" t="str">
        <f>IF('GNI per capita'!BA161&lt;=Thresholds!$C$50,"L",IF('GNI per capita'!BA161&lt;=Thresholds!$D$50,"LM",IF('GNI per capita'!BA161&lt;=Thresholds!$E$50,"UM","H")))</f>
        <v>H</v>
      </c>
      <c r="BB161" s="42" t="str">
        <f>IF('GNI per capita'!BB161&lt;=Thresholds!$C$51,"L",IF('GNI per capita'!BB161&lt;=Thresholds!$D$51,"LM",IF('GNI per capita'!BB161&lt;=Thresholds!$E$51,"UM","H")))</f>
        <v>H</v>
      </c>
      <c r="BC161" s="42" t="str">
        <f>IF('GNI per capita'!BC161&lt;=Thresholds!$C$52,"L",IF('GNI per capita'!BC161&lt;=Thresholds!$D$52,"LM",IF('GNI per capita'!BC161&lt;=Thresholds!$E$52,"UM","H")))</f>
        <v>H</v>
      </c>
      <c r="BD161" s="42" t="str">
        <f>IF('GNI per capita'!BD161&lt;=Thresholds!$C$53,"L",IF('GNI per capita'!BD161&lt;=Thresholds!$D$53,"LM",IF('GNI per capita'!BD161&lt;=Thresholds!$E$53,"UM","H")))</f>
        <v>H</v>
      </c>
      <c r="BE161" s="42" t="str">
        <f>IF('GNI per capita'!BE161&lt;=Thresholds!$C$54,"L",IF('GNI per capita'!BE161&lt;=Thresholds!$D$54,"LM",IF('GNI per capita'!BE161&lt;=Thresholds!$E$54,"UM","H")))</f>
        <v>H</v>
      </c>
      <c r="BF161" s="42" t="str">
        <f>IF('GNI per capita'!BF161&lt;=Thresholds!$C$55,"L",IF('GNI per capita'!BF161&lt;=Thresholds!$D$55,"LM",IF('GNI per capita'!BF161&lt;=Thresholds!$E$55,"UM","H")))</f>
        <v>H</v>
      </c>
      <c r="BG161" s="42" t="str">
        <f>IF('GNI per capita'!BG161&lt;=Thresholds!$C$56,"L",IF('GNI per capita'!BG161&lt;=Thresholds!$D$56,"LM",IF('GNI per capita'!BG161&lt;=Thresholds!$E$56,"UM","H")))</f>
        <v>H</v>
      </c>
      <c r="BH161" s="42" t="str">
        <f>IF('GNI per capita'!BH161&lt;=Thresholds!$C$57,"L",IF('GNI per capita'!BH161&lt;=Thresholds!$D$57,"LM",IF('GNI per capita'!BH161&lt;=Thresholds!$E$57,"UM","H")))</f>
        <v>H</v>
      </c>
      <c r="BI161" s="42" t="str">
        <f>IF('GNI per capita'!BI161&lt;=Thresholds!$C$58,"L",IF('GNI per capita'!BI161&lt;=Thresholds!$D$58,"LM",IF('GNI per capita'!BI161&lt;=Thresholds!$E$58,"UM","H")))</f>
        <v>H</v>
      </c>
      <c r="BJ161" s="42" t="str">
        <f>IF('GNI per capita'!BJ161&lt;=Thresholds!$C$59,"L",IF('GNI per capita'!BJ161&lt;=Thresholds!$D$59,"LM",IF('GNI per capita'!BJ161&lt;=Thresholds!$E$59,"UM","H")))</f>
        <v>H</v>
      </c>
      <c r="BK161" s="42" t="str">
        <f>IF('GNI per capita'!BK161&lt;=Thresholds!$C$60,"L",IF('GNI per capita'!BK161&lt;=Thresholds!$D$60,"LM",IF('GNI per capita'!BK161&lt;=Thresholds!$E$60,"UM","H")))</f>
        <v>H</v>
      </c>
      <c r="BL161" s="42" t="str">
        <f>IF('GNI per capita'!BL161&lt;=Thresholds!$C$61,"L",IF('GNI per capita'!BL161&lt;=Thresholds!$D$61,"LM",IF('GNI per capita'!BL161&lt;=Thresholds!$E$61,"UM","H")))</f>
        <v>H</v>
      </c>
      <c r="BM161" s="42" t="str">
        <f>IF('GNI per capita'!BM161&lt;=Thresholds!$C$62,"L",IF('GNI per capita'!BM161&lt;=Thresholds!$D$62,"LM",IF('GNI per capita'!BM161&lt;=Thresholds!$E$62,"UM","H")))</f>
        <v>H</v>
      </c>
      <c r="BN161" s="42" t="str">
        <f>IF('GNI per capita'!BN161&lt;=Thresholds!$C$63,"L",IF('GNI per capita'!BN161&lt;=Thresholds!$D$63,"LM",IF('GNI per capita'!BN161&lt;=Thresholds!$E$63,"UM","H")))</f>
        <v>H</v>
      </c>
      <c r="BO161" s="42" t="str">
        <f>IF('GNI per capita'!BO161&lt;=Thresholds!$C$64,"L",IF('GNI per capita'!BO161&lt;=Thresholds!$D$64,"LM",IF('GNI per capita'!BO161&lt;=Thresholds!$E$64,"UM","H")))</f>
        <v>H</v>
      </c>
      <c r="BP161" s="42" t="str">
        <f>IF('GNI per capita'!BP161&lt;=Thresholds!$C$65,"L",IF('GNI per capita'!BP161&lt;=Thresholds!$D$65,"LM",IF('GNI per capita'!BP161&lt;=Thresholds!$E$65,"UM","H")))</f>
        <v>H</v>
      </c>
      <c r="BQ161" s="42" t="str">
        <f>IF('GNI per capita'!BQ161&lt;=Thresholds!$C$66,"L",IF('GNI per capita'!BQ161&lt;=Thresholds!$D$66,"LM",IF('GNI per capita'!BQ161&lt;=Thresholds!$E$66,"UM","H")))</f>
        <v>H</v>
      </c>
      <c r="BR161" s="42" t="str">
        <f>IF('GNI per capita'!BR161&lt;=Thresholds!$C$67,"L",IF('GNI per capita'!BR161&lt;=Thresholds!$D$67,"LM",IF('GNI per capita'!BR161&lt;=Thresholds!$E$67,"UM","H")))</f>
        <v>H</v>
      </c>
      <c r="BS161" s="42" t="str">
        <f>IF('GNI per capita'!BS161&lt;=Thresholds!$C$68,"L",IF('GNI per capita'!BS161&lt;=Thresholds!$D$68,"LM",IF('GNI per capita'!BS161&lt;=Thresholds!$E$68,"UM","H")))</f>
        <v>H</v>
      </c>
    </row>
    <row r="162" spans="1:71" x14ac:dyDescent="0.2">
      <c r="A162" s="2" t="s">
        <v>544</v>
      </c>
      <c r="B162" s="2" t="s">
        <v>545</v>
      </c>
      <c r="C162" s="11" t="s">
        <v>79</v>
      </c>
      <c r="G162" s="2" t="s">
        <v>162</v>
      </c>
      <c r="H162" s="41" t="s">
        <v>82</v>
      </c>
      <c r="I162" s="41" t="s">
        <v>82</v>
      </c>
      <c r="J162" s="41" t="s">
        <v>79</v>
      </c>
      <c r="K162" s="41" t="s">
        <v>82</v>
      </c>
      <c r="L162" s="41" t="s">
        <v>82</v>
      </c>
      <c r="M162" s="41" t="s">
        <v>82</v>
      </c>
      <c r="N162" s="41" t="s">
        <v>82</v>
      </c>
      <c r="O162" s="41" t="s">
        <v>82</v>
      </c>
      <c r="P162" s="41" t="s">
        <v>82</v>
      </c>
      <c r="Q162" s="41" t="s">
        <v>82</v>
      </c>
      <c r="R162" s="41" t="s">
        <v>82</v>
      </c>
      <c r="S162" s="41" t="s">
        <v>82</v>
      </c>
      <c r="T162" s="41" t="s">
        <v>82</v>
      </c>
      <c r="U162" s="41" t="s">
        <v>82</v>
      </c>
      <c r="V162" s="41" t="s">
        <v>82</v>
      </c>
      <c r="W162" s="41" t="s">
        <v>79</v>
      </c>
      <c r="X162" s="41" t="s">
        <v>79</v>
      </c>
      <c r="Y162" s="41" t="s">
        <v>79</v>
      </c>
      <c r="Z162" s="41" t="s">
        <v>79</v>
      </c>
      <c r="AA162" s="41" t="s">
        <v>79</v>
      </c>
      <c r="AB162" s="41" t="s">
        <v>79</v>
      </c>
      <c r="AC162" s="41" t="s">
        <v>79</v>
      </c>
      <c r="AD162" s="41" t="s">
        <v>79</v>
      </c>
      <c r="AE162" s="41" t="s">
        <v>79</v>
      </c>
      <c r="AF162" s="41" t="s">
        <v>79</v>
      </c>
      <c r="AG162" s="41" t="s">
        <v>79</v>
      </c>
      <c r="AH162" s="41" t="s">
        <v>79</v>
      </c>
      <c r="AI162" s="41" t="s">
        <v>79</v>
      </c>
      <c r="AJ162" s="41" t="s">
        <v>79</v>
      </c>
      <c r="AK162" s="41" t="s">
        <v>79</v>
      </c>
      <c r="AL162" s="41" t="s">
        <v>79</v>
      </c>
      <c r="AM162" s="41" t="s">
        <v>79</v>
      </c>
      <c r="AN162" s="41" t="s">
        <v>79</v>
      </c>
      <c r="AO162" s="41" t="s">
        <v>79</v>
      </c>
      <c r="AP162" s="41" t="s">
        <v>79</v>
      </c>
      <c r="AQ162" s="41" t="s">
        <v>79</v>
      </c>
      <c r="AR162" s="41" t="s">
        <v>79</v>
      </c>
      <c r="AS162" s="41" t="s">
        <v>79</v>
      </c>
      <c r="AT162" s="41" t="s">
        <v>79</v>
      </c>
      <c r="AU162" s="42" t="str">
        <f>IF('GNI per capita'!AU162&lt;=Thresholds!$C$44,"L",IF('GNI per capita'!AU162&lt;=Thresholds!$D$44,"LM",IF('GNI per capita'!AU162&lt;=Thresholds!$E$44,"UM","H")))</f>
        <v>H</v>
      </c>
      <c r="AV162" s="42" t="str">
        <f>IF('GNI per capita'!AV162&lt;=Thresholds!$C$45,"L",IF('GNI per capita'!AV162&lt;=Thresholds!$D$45,"LM",IF('GNI per capita'!AV162&lt;=Thresholds!$E$45,"UM","H")))</f>
        <v>H</v>
      </c>
      <c r="AW162" s="42" t="str">
        <f>IF('GNI per capita'!AW162&lt;=Thresholds!$C$46,"L",IF('GNI per capita'!AW162&lt;=Thresholds!$D$46,"LM",IF('GNI per capita'!AW162&lt;=Thresholds!$E$46,"UM","H")))</f>
        <v>H</v>
      </c>
      <c r="AX162" s="42" t="str">
        <f>IF('GNI per capita'!AX162&lt;=Thresholds!$C$47,"L",IF('GNI per capita'!AX162&lt;=Thresholds!$D$47,"LM",IF('GNI per capita'!AX162&lt;=Thresholds!$E$47,"UM","H")))</f>
        <v>H</v>
      </c>
      <c r="AY162" s="42" t="str">
        <f>IF('GNI per capita'!AY162&lt;=Thresholds!$C$48,"L",IF('GNI per capita'!AY162&lt;=Thresholds!$D$48,"LM",IF('GNI per capita'!AY162&lt;=Thresholds!$E$48,"UM","H")))</f>
        <v>H</v>
      </c>
      <c r="AZ162" s="42" t="str">
        <f>IF('GNI per capita'!AZ162&lt;=Thresholds!$C$49,"L",IF('GNI per capita'!AZ162&lt;=Thresholds!$D$49,"LM",IF('GNI per capita'!AZ162&lt;=Thresholds!$E$49,"UM","H")))</f>
        <v>H</v>
      </c>
      <c r="BA162" s="42" t="str">
        <f>IF('GNI per capita'!BA162&lt;=Thresholds!$C$50,"L",IF('GNI per capita'!BA162&lt;=Thresholds!$D$50,"LM",IF('GNI per capita'!BA162&lt;=Thresholds!$E$50,"UM","H")))</f>
        <v>H</v>
      </c>
      <c r="BB162" s="42" t="str">
        <f>IF('GNI per capita'!BB162&lt;=Thresholds!$C$51,"L",IF('GNI per capita'!BB162&lt;=Thresholds!$D$51,"LM",IF('GNI per capita'!BB162&lt;=Thresholds!$E$51,"UM","H")))</f>
        <v>H</v>
      </c>
      <c r="BC162" s="42" t="str">
        <f>IF('GNI per capita'!BC162&lt;=Thresholds!$C$52,"L",IF('GNI per capita'!BC162&lt;=Thresholds!$D$52,"LM",IF('GNI per capita'!BC162&lt;=Thresholds!$E$52,"UM","H")))</f>
        <v>H</v>
      </c>
      <c r="BD162" s="42" t="str">
        <f>IF('GNI per capita'!BD162&lt;=Thresholds!$C$53,"L",IF('GNI per capita'!BD162&lt;=Thresholds!$D$53,"LM",IF('GNI per capita'!BD162&lt;=Thresholds!$E$53,"UM","H")))</f>
        <v>H</v>
      </c>
      <c r="BE162" s="42" t="str">
        <f>IF('GNI per capita'!BE162&lt;=Thresholds!$C$54,"L",IF('GNI per capita'!BE162&lt;=Thresholds!$D$54,"LM",IF('GNI per capita'!BE162&lt;=Thresholds!$E$54,"UM","H")))</f>
        <v>H</v>
      </c>
      <c r="BF162" s="42" t="str">
        <f>IF('GNI per capita'!BF162&lt;=Thresholds!$C$55,"L",IF('GNI per capita'!BF162&lt;=Thresholds!$D$55,"LM",IF('GNI per capita'!BF162&lt;=Thresholds!$E$55,"UM","H")))</f>
        <v>H</v>
      </c>
      <c r="BG162" s="42" t="str">
        <f>IF('GNI per capita'!BG162&lt;=Thresholds!$C$56,"L",IF('GNI per capita'!BG162&lt;=Thresholds!$D$56,"LM",IF('GNI per capita'!BG162&lt;=Thresholds!$E$56,"UM","H")))</f>
        <v>H</v>
      </c>
      <c r="BH162" s="42" t="str">
        <f>IF('GNI per capita'!BH162&lt;=Thresholds!$C$57,"L",IF('GNI per capita'!BH162&lt;=Thresholds!$D$57,"LM",IF('GNI per capita'!BH162&lt;=Thresholds!$E$57,"UM","H")))</f>
        <v>H</v>
      </c>
      <c r="BI162" s="42" t="str">
        <f>IF('GNI per capita'!BI162&lt;=Thresholds!$C$58,"L",IF('GNI per capita'!BI162&lt;=Thresholds!$D$58,"LM",IF('GNI per capita'!BI162&lt;=Thresholds!$E$58,"UM","H")))</f>
        <v>H</v>
      </c>
      <c r="BJ162" s="42" t="str">
        <f>IF('GNI per capita'!BJ162&lt;=Thresholds!$C$59,"L",IF('GNI per capita'!BJ162&lt;=Thresholds!$D$59,"LM",IF('GNI per capita'!BJ162&lt;=Thresholds!$E$59,"UM","H")))</f>
        <v>H</v>
      </c>
      <c r="BK162" s="42" t="str">
        <f>IF('GNI per capita'!BK162&lt;=Thresholds!$C$60,"L",IF('GNI per capita'!BK162&lt;=Thresholds!$D$60,"LM",IF('GNI per capita'!BK162&lt;=Thresholds!$E$60,"UM","H")))</f>
        <v>H</v>
      </c>
      <c r="BL162" s="42" t="str">
        <f>IF('GNI per capita'!BL162&lt;=Thresholds!$C$61,"L",IF('GNI per capita'!BL162&lt;=Thresholds!$D$61,"LM",IF('GNI per capita'!BL162&lt;=Thresholds!$E$61,"UM","H")))</f>
        <v>H</v>
      </c>
      <c r="BM162" s="42" t="str">
        <f>IF('GNI per capita'!BM162&lt;=Thresholds!$C$62,"L",IF('GNI per capita'!BM162&lt;=Thresholds!$D$62,"LM",IF('GNI per capita'!BM162&lt;=Thresholds!$E$62,"UM","H")))</f>
        <v>H</v>
      </c>
      <c r="BN162" s="42" t="str">
        <f>IF('GNI per capita'!BN162&lt;=Thresholds!$C$63,"L",IF('GNI per capita'!BN162&lt;=Thresholds!$D$63,"LM",IF('GNI per capita'!BN162&lt;=Thresholds!$E$63,"UM","H")))</f>
        <v>H</v>
      </c>
      <c r="BO162" s="42" t="str">
        <f>IF('GNI per capita'!BO162&lt;=Thresholds!$C$64,"L",IF('GNI per capita'!BO162&lt;=Thresholds!$D$64,"LM",IF('GNI per capita'!BO162&lt;=Thresholds!$E$64,"UM","H")))</f>
        <v>H</v>
      </c>
      <c r="BP162" s="42" t="str">
        <f>IF('GNI per capita'!BP162&lt;=Thresholds!$C$65,"L",IF('GNI per capita'!BP162&lt;=Thresholds!$D$65,"LM",IF('GNI per capita'!BP162&lt;=Thresholds!$E$65,"UM","H")))</f>
        <v>H</v>
      </c>
      <c r="BQ162" s="42" t="str">
        <f>IF('GNI per capita'!BQ162&lt;=Thresholds!$C$66,"L",IF('GNI per capita'!BQ162&lt;=Thresholds!$D$66,"LM",IF('GNI per capita'!BQ162&lt;=Thresholds!$E$66,"UM","H")))</f>
        <v>H</v>
      </c>
      <c r="BR162" s="42" t="str">
        <f>IF('GNI per capita'!BR162&lt;=Thresholds!$C$67,"L",IF('GNI per capita'!BR162&lt;=Thresholds!$D$67,"LM",IF('GNI per capita'!BR162&lt;=Thresholds!$E$67,"UM","H")))</f>
        <v>H</v>
      </c>
      <c r="BS162" s="42" t="str">
        <f>IF('GNI per capita'!BS162&lt;=Thresholds!$C$68,"L",IF('GNI per capita'!BS162&lt;=Thresholds!$D$68,"LM",IF('GNI per capita'!BS162&lt;=Thresholds!$E$68,"UM","H")))</f>
        <v>H</v>
      </c>
    </row>
    <row r="163" spans="1:71" x14ac:dyDescent="0.2">
      <c r="A163" s="2" t="s">
        <v>546</v>
      </c>
      <c r="B163" s="2" t="s">
        <v>547</v>
      </c>
      <c r="C163" s="11" t="s">
        <v>79</v>
      </c>
      <c r="G163" s="2" t="s">
        <v>548</v>
      </c>
      <c r="H163" s="41" t="s">
        <v>79</v>
      </c>
      <c r="I163" s="41" t="s">
        <v>79</v>
      </c>
      <c r="J163" s="41" t="s">
        <v>79</v>
      </c>
      <c r="K163" s="41" t="s">
        <v>79</v>
      </c>
      <c r="L163" s="41" t="s">
        <v>79</v>
      </c>
      <c r="M163" s="41" t="s">
        <v>79</v>
      </c>
      <c r="N163" s="41" t="s">
        <v>79</v>
      </c>
      <c r="O163" s="41" t="s">
        <v>79</v>
      </c>
      <c r="P163" s="41" t="s">
        <v>79</v>
      </c>
      <c r="Q163" s="41" t="s">
        <v>79</v>
      </c>
      <c r="R163" s="41" t="s">
        <v>79</v>
      </c>
      <c r="S163" s="41" t="s">
        <v>79</v>
      </c>
      <c r="T163" s="41" t="s">
        <v>79</v>
      </c>
      <c r="U163" s="41" t="s">
        <v>79</v>
      </c>
      <c r="V163" s="41" t="s">
        <v>79</v>
      </c>
      <c r="W163" s="41" t="s">
        <v>79</v>
      </c>
      <c r="X163" s="41" t="s">
        <v>79</v>
      </c>
      <c r="Y163" s="41" t="s">
        <v>79</v>
      </c>
      <c r="Z163" s="41" t="s">
        <v>79</v>
      </c>
      <c r="AA163" s="41" t="s">
        <v>79</v>
      </c>
      <c r="AB163" s="41" t="s">
        <v>79</v>
      </c>
      <c r="AC163" s="41" t="s">
        <v>79</v>
      </c>
      <c r="AD163" s="41" t="s">
        <v>79</v>
      </c>
      <c r="AE163" s="41" t="s">
        <v>79</v>
      </c>
      <c r="AF163" s="41" t="s">
        <v>79</v>
      </c>
      <c r="AG163" s="41" t="s">
        <v>79</v>
      </c>
      <c r="AH163" s="41" t="s">
        <v>79</v>
      </c>
      <c r="AI163" s="41" t="s">
        <v>79</v>
      </c>
      <c r="AJ163" s="41" t="s">
        <v>79</v>
      </c>
      <c r="AK163" s="41" t="s">
        <v>79</v>
      </c>
      <c r="AL163" s="41" t="s">
        <v>79</v>
      </c>
      <c r="AM163" s="41" t="s">
        <v>79</v>
      </c>
      <c r="AN163" s="41" t="s">
        <v>79</v>
      </c>
      <c r="AO163" s="41" t="s">
        <v>79</v>
      </c>
      <c r="AP163" s="41" t="s">
        <v>79</v>
      </c>
      <c r="AQ163" s="41" t="s">
        <v>79</v>
      </c>
      <c r="AR163" s="41" t="s">
        <v>79</v>
      </c>
      <c r="AS163" s="41" t="s">
        <v>79</v>
      </c>
      <c r="AT163" s="41" t="s">
        <v>79</v>
      </c>
      <c r="AU163" s="42" t="str">
        <f>IF('GNI per capita'!AU163&lt;=Thresholds!$C$44,"L",IF('GNI per capita'!AU163&lt;=Thresholds!$D$44,"LM",IF('GNI per capita'!AU163&lt;=Thresholds!$E$44,"UM","H")))</f>
        <v>H</v>
      </c>
      <c r="AV163" s="42" t="str">
        <f>IF('GNI per capita'!AV163&lt;=Thresholds!$C$45,"L",IF('GNI per capita'!AV163&lt;=Thresholds!$D$45,"LM",IF('GNI per capita'!AV163&lt;=Thresholds!$E$45,"UM","H")))</f>
        <v>H</v>
      </c>
      <c r="AW163" s="42" t="str">
        <f>IF('GNI per capita'!AW163&lt;=Thresholds!$C$46,"L",IF('GNI per capita'!AW163&lt;=Thresholds!$D$46,"LM",IF('GNI per capita'!AW163&lt;=Thresholds!$E$46,"UM","H")))</f>
        <v>H</v>
      </c>
      <c r="AX163" s="42" t="str">
        <f>IF('GNI per capita'!AX163&lt;=Thresholds!$C$47,"L",IF('GNI per capita'!AX163&lt;=Thresholds!$D$47,"LM",IF('GNI per capita'!AX163&lt;=Thresholds!$E$47,"UM","H")))</f>
        <v>H</v>
      </c>
      <c r="AY163" s="42" t="str">
        <f>IF('GNI per capita'!AY163&lt;=Thresholds!$C$48,"L",IF('GNI per capita'!AY163&lt;=Thresholds!$D$48,"LM",IF('GNI per capita'!AY163&lt;=Thresholds!$E$48,"UM","H")))</f>
        <v>H</v>
      </c>
      <c r="AZ163" s="42" t="str">
        <f>IF('GNI per capita'!AZ163&lt;=Thresholds!$C$49,"L",IF('GNI per capita'!AZ163&lt;=Thresholds!$D$49,"LM",IF('GNI per capita'!AZ163&lt;=Thresholds!$E$49,"UM","H")))</f>
        <v>H</v>
      </c>
      <c r="BA163" s="42" t="str">
        <f>IF('GNI per capita'!BA163&lt;=Thresholds!$C$50,"L",IF('GNI per capita'!BA163&lt;=Thresholds!$D$50,"LM",IF('GNI per capita'!BA163&lt;=Thresholds!$E$50,"UM","H")))</f>
        <v>H</v>
      </c>
      <c r="BB163" s="42" t="str">
        <f>IF('GNI per capita'!BB163&lt;=Thresholds!$C$51,"L",IF('GNI per capita'!BB163&lt;=Thresholds!$D$51,"LM",IF('GNI per capita'!BB163&lt;=Thresholds!$E$51,"UM","H")))</f>
        <v>H</v>
      </c>
      <c r="BC163" s="42" t="str">
        <f>IF('GNI per capita'!BC163&lt;=Thresholds!$C$52,"L",IF('GNI per capita'!BC163&lt;=Thresholds!$D$52,"LM",IF('GNI per capita'!BC163&lt;=Thresholds!$E$52,"UM","H")))</f>
        <v>H</v>
      </c>
      <c r="BD163" s="42" t="str">
        <f>IF('GNI per capita'!BD163&lt;=Thresholds!$C$53,"L",IF('GNI per capita'!BD163&lt;=Thresholds!$D$53,"LM",IF('GNI per capita'!BD163&lt;=Thresholds!$E$53,"UM","H")))</f>
        <v>H</v>
      </c>
      <c r="BE163" s="42" t="str">
        <f>IF('GNI per capita'!BE163&lt;=Thresholds!$C$54,"L",IF('GNI per capita'!BE163&lt;=Thresholds!$D$54,"LM",IF('GNI per capita'!BE163&lt;=Thresholds!$E$54,"UM","H")))</f>
        <v>H</v>
      </c>
      <c r="BF163" s="42" t="str">
        <f>IF('GNI per capita'!BF163&lt;=Thresholds!$C$55,"L",IF('GNI per capita'!BF163&lt;=Thresholds!$D$55,"LM",IF('GNI per capita'!BF163&lt;=Thresholds!$E$55,"UM","H")))</f>
        <v>H</v>
      </c>
      <c r="BG163" s="42" t="str">
        <f>IF('GNI per capita'!BG163&lt;=Thresholds!$C$56,"L",IF('GNI per capita'!BG163&lt;=Thresholds!$D$56,"LM",IF('GNI per capita'!BG163&lt;=Thresholds!$E$56,"UM","H")))</f>
        <v>H</v>
      </c>
      <c r="BH163" s="42" t="str">
        <f>IF('GNI per capita'!BH163&lt;=Thresholds!$C$57,"L",IF('GNI per capita'!BH163&lt;=Thresholds!$D$57,"LM",IF('GNI per capita'!BH163&lt;=Thresholds!$E$57,"UM","H")))</f>
        <v>H</v>
      </c>
      <c r="BI163" s="42" t="str">
        <f>IF('GNI per capita'!BI163&lt;=Thresholds!$C$58,"L",IF('GNI per capita'!BI163&lt;=Thresholds!$D$58,"LM",IF('GNI per capita'!BI163&lt;=Thresholds!$E$58,"UM","H")))</f>
        <v>H</v>
      </c>
      <c r="BJ163" s="42" t="str">
        <f>IF('GNI per capita'!BJ163&lt;=Thresholds!$C$59,"L",IF('GNI per capita'!BJ163&lt;=Thresholds!$D$59,"LM",IF('GNI per capita'!BJ163&lt;=Thresholds!$E$59,"UM","H")))</f>
        <v>H</v>
      </c>
      <c r="BK163" s="42" t="str">
        <f>IF('GNI per capita'!BK163&lt;=Thresholds!$C$60,"L",IF('GNI per capita'!BK163&lt;=Thresholds!$D$60,"LM",IF('GNI per capita'!BK163&lt;=Thresholds!$E$60,"UM","H")))</f>
        <v>H</v>
      </c>
      <c r="BL163" s="42" t="str">
        <f>IF('GNI per capita'!BL163&lt;=Thresholds!$C$61,"L",IF('GNI per capita'!BL163&lt;=Thresholds!$D$61,"LM",IF('GNI per capita'!BL163&lt;=Thresholds!$E$61,"UM","H")))</f>
        <v>H</v>
      </c>
      <c r="BM163" s="42" t="str">
        <f>IF('GNI per capita'!BM163&lt;=Thresholds!$C$62,"L",IF('GNI per capita'!BM163&lt;=Thresholds!$D$62,"LM",IF('GNI per capita'!BM163&lt;=Thresholds!$E$62,"UM","H")))</f>
        <v>H</v>
      </c>
      <c r="BN163" s="42" t="str">
        <f>IF('GNI per capita'!BN163&lt;=Thresholds!$C$63,"L",IF('GNI per capita'!BN163&lt;=Thresholds!$D$63,"LM",IF('GNI per capita'!BN163&lt;=Thresholds!$E$63,"UM","H")))</f>
        <v>H</v>
      </c>
      <c r="BO163" s="42" t="str">
        <f>IF('GNI per capita'!BO163&lt;=Thresholds!$C$64,"L",IF('GNI per capita'!BO163&lt;=Thresholds!$D$64,"LM",IF('GNI per capita'!BO163&lt;=Thresholds!$E$64,"UM","H")))</f>
        <v>H</v>
      </c>
      <c r="BP163" s="42" t="str">
        <f>IF('GNI per capita'!BP163&lt;=Thresholds!$C$65,"L",IF('GNI per capita'!BP163&lt;=Thresholds!$D$65,"LM",IF('GNI per capita'!BP163&lt;=Thresholds!$E$65,"UM","H")))</f>
        <v>H</v>
      </c>
      <c r="BQ163" s="42" t="str">
        <f>IF('GNI per capita'!BQ163&lt;=Thresholds!$C$66,"L",IF('GNI per capita'!BQ163&lt;=Thresholds!$D$66,"LM",IF('GNI per capita'!BQ163&lt;=Thresholds!$E$66,"UM","H")))</f>
        <v>H</v>
      </c>
      <c r="BR163" s="42" t="str">
        <f>IF('GNI per capita'!BR163&lt;=Thresholds!$C$67,"L",IF('GNI per capita'!BR163&lt;=Thresholds!$D$67,"LM",IF('GNI per capita'!BR163&lt;=Thresholds!$E$67,"UM","H")))</f>
        <v>H</v>
      </c>
      <c r="BS163" s="42" t="str">
        <f>IF('GNI per capita'!BS163&lt;=Thresholds!$C$68,"L",IF('GNI per capita'!BS163&lt;=Thresholds!$D$68,"LM",IF('GNI per capita'!BS163&lt;=Thresholds!$E$68,"UM","H")))</f>
        <v>H</v>
      </c>
    </row>
    <row r="164" spans="1:71" x14ac:dyDescent="0.2">
      <c r="A164" s="2" t="s">
        <v>549</v>
      </c>
      <c r="B164" s="2" t="s">
        <v>550</v>
      </c>
      <c r="C164" s="11" t="s">
        <v>79</v>
      </c>
      <c r="G164" s="2" t="s">
        <v>551</v>
      </c>
      <c r="H164" s="41" t="s">
        <v>82</v>
      </c>
      <c r="I164" s="41" t="s">
        <v>82</v>
      </c>
      <c r="J164" s="41" t="s">
        <v>82</v>
      </c>
      <c r="K164" s="41" t="s">
        <v>210</v>
      </c>
      <c r="L164" s="41" t="s">
        <v>210</v>
      </c>
      <c r="M164" s="41" t="s">
        <v>210</v>
      </c>
      <c r="N164" s="41" t="s">
        <v>210</v>
      </c>
      <c r="O164" s="41" t="s">
        <v>210</v>
      </c>
      <c r="P164" s="41" t="s">
        <v>210</v>
      </c>
      <c r="Q164" s="41" t="s">
        <v>210</v>
      </c>
      <c r="R164" s="41" t="s">
        <v>210</v>
      </c>
      <c r="S164" s="41" t="s">
        <v>210</v>
      </c>
      <c r="T164" s="41" t="s">
        <v>210</v>
      </c>
      <c r="U164" s="41" t="s">
        <v>210</v>
      </c>
      <c r="V164" s="41" t="s">
        <v>210</v>
      </c>
      <c r="W164" s="41" t="s">
        <v>210</v>
      </c>
      <c r="X164" s="41" t="s">
        <v>210</v>
      </c>
      <c r="Y164" s="41" t="s">
        <v>210</v>
      </c>
      <c r="Z164" s="41" t="s">
        <v>82</v>
      </c>
      <c r="AA164" s="41" t="s">
        <v>82</v>
      </c>
      <c r="AB164" s="41" t="s">
        <v>82</v>
      </c>
      <c r="AC164" s="41" t="s">
        <v>82</v>
      </c>
      <c r="AD164" s="41" t="s">
        <v>82</v>
      </c>
      <c r="AE164" s="41" t="s">
        <v>82</v>
      </c>
      <c r="AF164" s="41" t="s">
        <v>82</v>
      </c>
      <c r="AG164" s="41" t="s">
        <v>82</v>
      </c>
      <c r="AH164" s="41" t="s">
        <v>82</v>
      </c>
      <c r="AI164" s="41" t="s">
        <v>82</v>
      </c>
      <c r="AJ164" s="41" t="s">
        <v>82</v>
      </c>
      <c r="AK164" s="41" t="s">
        <v>82</v>
      </c>
      <c r="AL164" s="41" t="s">
        <v>82</v>
      </c>
      <c r="AM164" s="41" t="s">
        <v>82</v>
      </c>
      <c r="AN164" s="41" t="s">
        <v>79</v>
      </c>
      <c r="AO164" s="41" t="s">
        <v>82</v>
      </c>
      <c r="AP164" s="41" t="s">
        <v>79</v>
      </c>
      <c r="AQ164" s="41" t="s">
        <v>79</v>
      </c>
      <c r="AR164" s="41" t="s">
        <v>79</v>
      </c>
      <c r="AS164" s="41" t="s">
        <v>79</v>
      </c>
      <c r="AT164" s="41" t="s">
        <v>79</v>
      </c>
      <c r="AU164" s="42" t="str">
        <f>IF('GNI per capita'!AU164&lt;=Thresholds!$C$44,"L",IF('GNI per capita'!AU164&lt;=Thresholds!$D$44,"LM",IF('GNI per capita'!AU164&lt;=Thresholds!$E$44,"UM","H")))</f>
        <v>H</v>
      </c>
      <c r="AV164" s="42" t="str">
        <f>IF('GNI per capita'!AV164&lt;=Thresholds!$C$45,"L",IF('GNI per capita'!AV164&lt;=Thresholds!$D$45,"LM",IF('GNI per capita'!AV164&lt;=Thresholds!$E$45,"UM","H")))</f>
        <v>H</v>
      </c>
      <c r="AW164" s="42" t="str">
        <f>IF('GNI per capita'!AW164&lt;=Thresholds!$C$46,"L",IF('GNI per capita'!AW164&lt;=Thresholds!$D$46,"LM",IF('GNI per capita'!AW164&lt;=Thresholds!$E$46,"UM","H")))</f>
        <v>H</v>
      </c>
      <c r="AX164" s="42" t="str">
        <f>IF('GNI per capita'!AX164&lt;=Thresholds!$C$47,"L",IF('GNI per capita'!AX164&lt;=Thresholds!$D$47,"LM",IF('GNI per capita'!AX164&lt;=Thresholds!$E$47,"UM","H")))</f>
        <v>H</v>
      </c>
      <c r="AY164" s="42" t="str">
        <f>IF('GNI per capita'!AY164&lt;=Thresholds!$C$48,"L",IF('GNI per capita'!AY164&lt;=Thresholds!$D$48,"LM",IF('GNI per capita'!AY164&lt;=Thresholds!$E$48,"UM","H")))</f>
        <v>H</v>
      </c>
      <c r="AZ164" s="42" t="str">
        <f>IF('GNI per capita'!AZ164&lt;=Thresholds!$C$49,"L",IF('GNI per capita'!AZ164&lt;=Thresholds!$D$49,"LM",IF('GNI per capita'!AZ164&lt;=Thresholds!$E$49,"UM","H")))</f>
        <v>H</v>
      </c>
      <c r="BA164" s="42" t="str">
        <f>IF('GNI per capita'!BA164&lt;=Thresholds!$C$50,"L",IF('GNI per capita'!BA164&lt;=Thresholds!$D$50,"LM",IF('GNI per capita'!BA164&lt;=Thresholds!$E$50,"UM","H")))</f>
        <v>H</v>
      </c>
      <c r="BB164" s="42" t="str">
        <f>IF('GNI per capita'!BB164&lt;=Thresholds!$C$51,"L",IF('GNI per capita'!BB164&lt;=Thresholds!$D$51,"LM",IF('GNI per capita'!BB164&lt;=Thresholds!$E$51,"UM","H")))</f>
        <v>H</v>
      </c>
      <c r="BC164" s="42" t="str">
        <f>IF('GNI per capita'!BC164&lt;=Thresholds!$C$52,"L",IF('GNI per capita'!BC164&lt;=Thresholds!$D$52,"LM",IF('GNI per capita'!BC164&lt;=Thresholds!$E$52,"UM","H")))</f>
        <v>H</v>
      </c>
      <c r="BD164" s="42" t="str">
        <f>IF('GNI per capita'!BD164&lt;=Thresholds!$C$53,"L",IF('GNI per capita'!BD164&lt;=Thresholds!$D$53,"LM",IF('GNI per capita'!BD164&lt;=Thresholds!$E$53,"UM","H")))</f>
        <v>H</v>
      </c>
      <c r="BE164" s="42" t="str">
        <f>IF('GNI per capita'!BE164&lt;=Thresholds!$C$54,"L",IF('GNI per capita'!BE164&lt;=Thresholds!$D$54,"LM",IF('GNI per capita'!BE164&lt;=Thresholds!$E$54,"UM","H")))</f>
        <v>H</v>
      </c>
      <c r="BF164" s="42" t="str">
        <f>IF('GNI per capita'!BF164&lt;=Thresholds!$C$55,"L",IF('GNI per capita'!BF164&lt;=Thresholds!$D$55,"LM",IF('GNI per capita'!BF164&lt;=Thresholds!$E$55,"UM","H")))</f>
        <v>H</v>
      </c>
      <c r="BG164" s="42" t="str">
        <f>IF('GNI per capita'!BG164&lt;=Thresholds!$C$56,"L",IF('GNI per capita'!BG164&lt;=Thresholds!$D$56,"LM",IF('GNI per capita'!BG164&lt;=Thresholds!$E$56,"UM","H")))</f>
        <v>H</v>
      </c>
      <c r="BH164" s="42" t="str">
        <f>IF('GNI per capita'!BH164&lt;=Thresholds!$C$57,"L",IF('GNI per capita'!BH164&lt;=Thresholds!$D$57,"LM",IF('GNI per capita'!BH164&lt;=Thresholds!$E$57,"UM","H")))</f>
        <v>H</v>
      </c>
      <c r="BI164" s="42" t="str">
        <f>IF('GNI per capita'!BI164&lt;=Thresholds!$C$58,"L",IF('GNI per capita'!BI164&lt;=Thresholds!$D$58,"LM",IF('GNI per capita'!BI164&lt;=Thresholds!$E$58,"UM","H")))</f>
        <v>H</v>
      </c>
      <c r="BJ164" s="42" t="str">
        <f>IF('GNI per capita'!BJ164&lt;=Thresholds!$C$59,"L",IF('GNI per capita'!BJ164&lt;=Thresholds!$D$59,"LM",IF('GNI per capita'!BJ164&lt;=Thresholds!$E$59,"UM","H")))</f>
        <v>H</v>
      </c>
      <c r="BK164" s="42" t="str">
        <f>IF('GNI per capita'!BK164&lt;=Thresholds!$C$60,"L",IF('GNI per capita'!BK164&lt;=Thresholds!$D$60,"LM",IF('GNI per capita'!BK164&lt;=Thresholds!$E$60,"UM","H")))</f>
        <v>H</v>
      </c>
      <c r="BL164" s="42" t="str">
        <f>IF('GNI per capita'!BL164&lt;=Thresholds!$C$61,"L",IF('GNI per capita'!BL164&lt;=Thresholds!$D$61,"LM",IF('GNI per capita'!BL164&lt;=Thresholds!$E$61,"UM","H")))</f>
        <v>H</v>
      </c>
      <c r="BM164" s="42" t="str">
        <f>IF('GNI per capita'!BM164&lt;=Thresholds!$C$62,"L",IF('GNI per capita'!BM164&lt;=Thresholds!$D$62,"LM",IF('GNI per capita'!BM164&lt;=Thresholds!$E$62,"UM","H")))</f>
        <v>H</v>
      </c>
      <c r="BN164" s="42" t="str">
        <f>IF('GNI per capita'!BN164&lt;=Thresholds!$C$63,"L",IF('GNI per capita'!BN164&lt;=Thresholds!$D$63,"LM",IF('GNI per capita'!BN164&lt;=Thresholds!$E$63,"UM","H")))</f>
        <v>H</v>
      </c>
      <c r="BO164" s="42" t="str">
        <f>IF('GNI per capita'!BO164&lt;=Thresholds!$C$64,"L",IF('GNI per capita'!BO164&lt;=Thresholds!$D$64,"LM",IF('GNI per capita'!BO164&lt;=Thresholds!$E$64,"UM","H")))</f>
        <v>H</v>
      </c>
      <c r="BP164" s="42" t="str">
        <f>IF('GNI per capita'!BP164&lt;=Thresholds!$C$65,"L",IF('GNI per capita'!BP164&lt;=Thresholds!$D$65,"LM",IF('GNI per capita'!BP164&lt;=Thresholds!$E$65,"UM","H")))</f>
        <v>H</v>
      </c>
      <c r="BQ164" s="42" t="str">
        <f>IF('GNI per capita'!BQ164&lt;=Thresholds!$C$66,"L",IF('GNI per capita'!BQ164&lt;=Thresholds!$D$66,"LM",IF('GNI per capita'!BQ164&lt;=Thresholds!$E$66,"UM","H")))</f>
        <v>H</v>
      </c>
      <c r="BR164" s="42" t="str">
        <f>IF('GNI per capita'!BR164&lt;=Thresholds!$C$67,"L",IF('GNI per capita'!BR164&lt;=Thresholds!$D$67,"LM",IF('GNI per capita'!BR164&lt;=Thresholds!$E$67,"UM","H")))</f>
        <v>H</v>
      </c>
      <c r="BS164" s="42" t="str">
        <f>IF('GNI per capita'!BS164&lt;=Thresholds!$C$68,"L",IF('GNI per capita'!BS164&lt;=Thresholds!$D$68,"LM",IF('GNI per capita'!BS164&lt;=Thresholds!$E$68,"UM","H")))</f>
        <v>H</v>
      </c>
    </row>
    <row r="165" spans="1:71" x14ac:dyDescent="0.2">
      <c r="A165" s="2" t="s">
        <v>552</v>
      </c>
      <c r="B165" s="2" t="s">
        <v>553</v>
      </c>
      <c r="C165" s="11" t="s">
        <v>79</v>
      </c>
      <c r="G165" s="2" t="s">
        <v>551</v>
      </c>
      <c r="H165" s="41"/>
      <c r="I165" s="41"/>
      <c r="J165" s="41"/>
      <c r="K165" s="41"/>
      <c r="L165" s="41" t="s">
        <v>82</v>
      </c>
      <c r="M165" s="41" t="s">
        <v>210</v>
      </c>
      <c r="N165" s="41" t="s">
        <v>210</v>
      </c>
      <c r="O165" s="41" t="s">
        <v>210</v>
      </c>
      <c r="P165" s="41" t="s">
        <v>210</v>
      </c>
      <c r="Q165" s="41" t="s">
        <v>210</v>
      </c>
      <c r="R165" s="41" t="s">
        <v>210</v>
      </c>
      <c r="S165" s="41" t="s">
        <v>210</v>
      </c>
      <c r="T165" s="41" t="s">
        <v>210</v>
      </c>
      <c r="U165" s="41" t="s">
        <v>210</v>
      </c>
      <c r="V165" s="41" t="s">
        <v>210</v>
      </c>
      <c r="W165" s="41" t="s">
        <v>210</v>
      </c>
      <c r="X165" s="41" t="s">
        <v>210</v>
      </c>
      <c r="Y165" s="41" t="s">
        <v>82</v>
      </c>
      <c r="Z165" s="41" t="s">
        <v>82</v>
      </c>
      <c r="AA165" s="41" t="s">
        <v>82</v>
      </c>
      <c r="AB165" s="41" t="s">
        <v>82</v>
      </c>
      <c r="AC165" s="41" t="s">
        <v>82</v>
      </c>
      <c r="AD165" s="41" t="s">
        <v>82</v>
      </c>
      <c r="AE165" s="41" t="s">
        <v>82</v>
      </c>
      <c r="AF165" s="41" t="s">
        <v>82</v>
      </c>
      <c r="AG165" s="41" t="s">
        <v>79</v>
      </c>
      <c r="AH165" s="41" t="s">
        <v>79</v>
      </c>
      <c r="AI165" s="41" t="s">
        <v>79</v>
      </c>
      <c r="AJ165" s="41" t="s">
        <v>82</v>
      </c>
      <c r="AK165" s="41" t="s">
        <v>82</v>
      </c>
      <c r="AL165" s="41" t="s">
        <v>82</v>
      </c>
      <c r="AM165" s="41" t="s">
        <v>82</v>
      </c>
      <c r="AN165" s="41" t="s">
        <v>82</v>
      </c>
      <c r="AO165" s="41" t="s">
        <v>82</v>
      </c>
      <c r="AP165" s="41" t="s">
        <v>82</v>
      </c>
      <c r="AQ165" s="41" t="s">
        <v>82</v>
      </c>
      <c r="AR165" s="41" t="s">
        <v>79</v>
      </c>
      <c r="AS165" s="41" t="s">
        <v>79</v>
      </c>
      <c r="AT165" s="41" t="s">
        <v>79</v>
      </c>
      <c r="AU165" s="42" t="str">
        <f>IF('GNI per capita'!AU165&lt;=Thresholds!$C$44,"L",IF('GNI per capita'!AU165&lt;=Thresholds!$D$44,"LM",IF('GNI per capita'!AU165&lt;=Thresholds!$E$44,"UM","H")))</f>
        <v>H</v>
      </c>
      <c r="AV165" s="42" t="str">
        <f>IF('GNI per capita'!AV165&lt;=Thresholds!$C$45,"L",IF('GNI per capita'!AV165&lt;=Thresholds!$D$45,"LM",IF('GNI per capita'!AV165&lt;=Thresholds!$E$45,"UM","H")))</f>
        <v>H</v>
      </c>
      <c r="AW165" s="42" t="str">
        <f>IF('GNI per capita'!AW165&lt;=Thresholds!$C$46,"L",IF('GNI per capita'!AW165&lt;=Thresholds!$D$46,"LM",IF('GNI per capita'!AW165&lt;=Thresholds!$E$46,"UM","H")))</f>
        <v>H</v>
      </c>
      <c r="AX165" s="42" t="str">
        <f>IF('GNI per capita'!AX165&lt;=Thresholds!$C$47,"L",IF('GNI per capita'!AX165&lt;=Thresholds!$D$47,"LM",IF('GNI per capita'!AX165&lt;=Thresholds!$E$47,"UM","H")))</f>
        <v>H</v>
      </c>
      <c r="AY165" s="42" t="str">
        <f>IF('GNI per capita'!AY165&lt;=Thresholds!$C$48,"L",IF('GNI per capita'!AY165&lt;=Thresholds!$D$48,"LM",IF('GNI per capita'!AY165&lt;=Thresholds!$E$48,"UM","H")))</f>
        <v>H</v>
      </c>
      <c r="AZ165" s="42" t="str">
        <f>IF('GNI per capita'!AZ165&lt;=Thresholds!$C$49,"L",IF('GNI per capita'!AZ165&lt;=Thresholds!$D$49,"LM",IF('GNI per capita'!AZ165&lt;=Thresholds!$E$49,"UM","H")))</f>
        <v>H</v>
      </c>
      <c r="BA165" s="42" t="str">
        <f>IF('GNI per capita'!BA165&lt;=Thresholds!$C$50,"L",IF('GNI per capita'!BA165&lt;=Thresholds!$D$50,"LM",IF('GNI per capita'!BA165&lt;=Thresholds!$E$50,"UM","H")))</f>
        <v>H</v>
      </c>
      <c r="BB165" s="42" t="str">
        <f>IF('GNI per capita'!BB165&lt;=Thresholds!$C$51,"L",IF('GNI per capita'!BB165&lt;=Thresholds!$D$51,"LM",IF('GNI per capita'!BB165&lt;=Thresholds!$E$51,"UM","H")))</f>
        <v>H</v>
      </c>
      <c r="BC165" s="42" t="str">
        <f>IF('GNI per capita'!BC165&lt;=Thresholds!$C$52,"L",IF('GNI per capita'!BC165&lt;=Thresholds!$D$52,"LM",IF('GNI per capita'!BC165&lt;=Thresholds!$E$52,"UM","H")))</f>
        <v>H</v>
      </c>
      <c r="BD165" s="42" t="str">
        <f>IF('GNI per capita'!BD165&lt;=Thresholds!$C$53,"L",IF('GNI per capita'!BD165&lt;=Thresholds!$D$53,"LM",IF('GNI per capita'!BD165&lt;=Thresholds!$E$53,"UM","H")))</f>
        <v>H</v>
      </c>
      <c r="BE165" s="42" t="str">
        <f>IF('GNI per capita'!BE165&lt;=Thresholds!$C$54,"L",IF('GNI per capita'!BE165&lt;=Thresholds!$D$54,"LM",IF('GNI per capita'!BE165&lt;=Thresholds!$E$54,"UM","H")))</f>
        <v>H</v>
      </c>
      <c r="BF165" s="42" t="str">
        <f>IF('GNI per capita'!BF165&lt;=Thresholds!$C$55,"L",IF('GNI per capita'!BF165&lt;=Thresholds!$D$55,"LM",IF('GNI per capita'!BF165&lt;=Thresholds!$E$55,"UM","H")))</f>
        <v>H</v>
      </c>
      <c r="BG165" s="42" t="str">
        <f>IF('GNI per capita'!BG165&lt;=Thresholds!$C$56,"L",IF('GNI per capita'!BG165&lt;=Thresholds!$D$56,"LM",IF('GNI per capita'!BG165&lt;=Thresholds!$E$56,"UM","H")))</f>
        <v>H</v>
      </c>
      <c r="BH165" s="42" t="str">
        <f>IF('GNI per capita'!BH165&lt;=Thresholds!$C$57,"L",IF('GNI per capita'!BH165&lt;=Thresholds!$D$57,"LM",IF('GNI per capita'!BH165&lt;=Thresholds!$E$57,"UM","H")))</f>
        <v>H</v>
      </c>
      <c r="BI165" s="42" t="str">
        <f>IF('GNI per capita'!BI165&lt;=Thresholds!$C$58,"L",IF('GNI per capita'!BI165&lt;=Thresholds!$D$58,"LM",IF('GNI per capita'!BI165&lt;=Thresholds!$E$58,"UM","H")))</f>
        <v>H</v>
      </c>
      <c r="BJ165" s="42" t="str">
        <f>IF('GNI per capita'!BJ165&lt;=Thresholds!$C$59,"L",IF('GNI per capita'!BJ165&lt;=Thresholds!$D$59,"LM",IF('GNI per capita'!BJ165&lt;=Thresholds!$E$59,"UM","H")))</f>
        <v>H</v>
      </c>
      <c r="BK165" s="42" t="str">
        <f>IF('GNI per capita'!BK165&lt;=Thresholds!$C$60,"L",IF('GNI per capita'!BK165&lt;=Thresholds!$D$60,"LM",IF('GNI per capita'!BK165&lt;=Thresholds!$E$60,"UM","H")))</f>
        <v>H</v>
      </c>
      <c r="BL165" s="42" t="str">
        <f>IF('GNI per capita'!BL165&lt;=Thresholds!$C$61,"L",IF('GNI per capita'!BL165&lt;=Thresholds!$D$61,"LM",IF('GNI per capita'!BL165&lt;=Thresholds!$E$61,"UM","H")))</f>
        <v>H</v>
      </c>
      <c r="BM165" s="42" t="str">
        <f>IF('GNI per capita'!BM165&lt;=Thresholds!$C$62,"L",IF('GNI per capita'!BM165&lt;=Thresholds!$D$62,"LM",IF('GNI per capita'!BM165&lt;=Thresholds!$E$62,"UM","H")))</f>
        <v>H</v>
      </c>
      <c r="BN165" s="42" t="str">
        <f>IF('GNI per capita'!BN165&lt;=Thresholds!$C$63,"L",IF('GNI per capita'!BN165&lt;=Thresholds!$D$63,"LM",IF('GNI per capita'!BN165&lt;=Thresholds!$E$63,"UM","H")))</f>
        <v>H</v>
      </c>
      <c r="BO165" s="42" t="str">
        <f>IF('GNI per capita'!BO165&lt;=Thresholds!$C$64,"L",IF('GNI per capita'!BO165&lt;=Thresholds!$D$64,"LM",IF('GNI per capita'!BO165&lt;=Thresholds!$E$64,"UM","H")))</f>
        <v>H</v>
      </c>
      <c r="BP165" s="42" t="str">
        <f>IF('GNI per capita'!BP165&lt;=Thresholds!$C$65,"L",IF('GNI per capita'!BP165&lt;=Thresholds!$D$65,"LM",IF('GNI per capita'!BP165&lt;=Thresholds!$E$65,"UM","H")))</f>
        <v>H</v>
      </c>
      <c r="BQ165" s="42" t="str">
        <f>IF('GNI per capita'!BQ165&lt;=Thresholds!$C$66,"L",IF('GNI per capita'!BQ165&lt;=Thresholds!$D$66,"LM",IF('GNI per capita'!BQ165&lt;=Thresholds!$E$66,"UM","H")))</f>
        <v>H</v>
      </c>
      <c r="BR165" s="42" t="str">
        <f>IF('GNI per capita'!BR165&lt;=Thresholds!$C$67,"L",IF('GNI per capita'!BR165&lt;=Thresholds!$D$67,"LM",IF('GNI per capita'!BR165&lt;=Thresholds!$E$67,"UM","H")))</f>
        <v>H</v>
      </c>
      <c r="BS165" s="42" t="str">
        <f>IF('GNI per capita'!BS165&lt;=Thresholds!$C$68,"L",IF('GNI per capita'!BS165&lt;=Thresholds!$D$68,"LM",IF('GNI per capita'!BS165&lt;=Thresholds!$E$68,"UM","H")))</f>
        <v>H</v>
      </c>
    </row>
    <row r="166" spans="1:71" x14ac:dyDescent="0.2">
      <c r="A166" s="2" t="s">
        <v>554</v>
      </c>
      <c r="B166" s="2" t="s">
        <v>555</v>
      </c>
      <c r="C166" s="11" t="s">
        <v>75</v>
      </c>
      <c r="G166" s="2" t="s">
        <v>556</v>
      </c>
      <c r="H166" s="41" t="s">
        <v>75</v>
      </c>
      <c r="I166" s="41" t="s">
        <v>75</v>
      </c>
      <c r="J166" s="41" t="s">
        <v>75</v>
      </c>
      <c r="K166" s="41" t="s">
        <v>75</v>
      </c>
      <c r="L166" s="41" t="s">
        <v>75</v>
      </c>
      <c r="M166" s="41" t="s">
        <v>75</v>
      </c>
      <c r="N166" s="41" t="s">
        <v>75</v>
      </c>
      <c r="O166" s="41" t="s">
        <v>75</v>
      </c>
      <c r="P166" s="41" t="s">
        <v>75</v>
      </c>
      <c r="Q166" s="41" t="s">
        <v>75</v>
      </c>
      <c r="R166" s="41" t="s">
        <v>75</v>
      </c>
      <c r="S166" s="41" t="s">
        <v>75</v>
      </c>
      <c r="T166" s="41" t="s">
        <v>75</v>
      </c>
      <c r="U166" s="41" t="s">
        <v>75</v>
      </c>
      <c r="V166" s="41" t="s">
        <v>75</v>
      </c>
      <c r="W166" s="41" t="s">
        <v>75</v>
      </c>
      <c r="X166" s="41" t="s">
        <v>75</v>
      </c>
      <c r="Y166" s="41" t="s">
        <v>75</v>
      </c>
      <c r="Z166" s="41" t="s">
        <v>75</v>
      </c>
      <c r="AA166" s="41" t="s">
        <v>75</v>
      </c>
      <c r="AB166" s="41" t="s">
        <v>75</v>
      </c>
      <c r="AC166" s="41" t="s">
        <v>75</v>
      </c>
      <c r="AD166" s="41" t="s">
        <v>75</v>
      </c>
      <c r="AE166" s="41" t="s">
        <v>75</v>
      </c>
      <c r="AF166" s="41" t="s">
        <v>75</v>
      </c>
      <c r="AG166" s="41" t="s">
        <v>75</v>
      </c>
      <c r="AH166" s="41" t="s">
        <v>75</v>
      </c>
      <c r="AI166" s="41" t="s">
        <v>75</v>
      </c>
      <c r="AJ166" s="41" t="s">
        <v>75</v>
      </c>
      <c r="AK166" s="41" t="s">
        <v>75</v>
      </c>
      <c r="AL166" s="41" t="s">
        <v>75</v>
      </c>
      <c r="AM166" s="41" t="s">
        <v>75</v>
      </c>
      <c r="AN166" s="41" t="s">
        <v>75</v>
      </c>
      <c r="AO166" s="41" t="s">
        <v>75</v>
      </c>
      <c r="AP166" s="41" t="s">
        <v>75</v>
      </c>
      <c r="AQ166" s="41" t="s">
        <v>75</v>
      </c>
      <c r="AR166" s="41" t="s">
        <v>75</v>
      </c>
      <c r="AS166" s="41" t="s">
        <v>75</v>
      </c>
      <c r="AT166" s="41" t="s">
        <v>75</v>
      </c>
      <c r="AU166" s="42" t="str">
        <f>IF('GNI per capita'!AU166&lt;=Thresholds!$C$44,"L",IF('GNI per capita'!AU166&lt;=Thresholds!$D$44,"LM",IF('GNI per capita'!AU166&lt;=Thresholds!$E$44,"UM","H")))</f>
        <v>LM</v>
      </c>
      <c r="AV166" s="42" t="str">
        <f>IF('GNI per capita'!AV166&lt;=Thresholds!$C$45,"L",IF('GNI per capita'!AV166&lt;=Thresholds!$D$45,"LM",IF('GNI per capita'!AV166&lt;=Thresholds!$E$45,"UM","H")))</f>
        <v>LM</v>
      </c>
      <c r="AW166" s="42" t="str">
        <f>IF('GNI per capita'!AW166&lt;=Thresholds!$C$46,"L",IF('GNI per capita'!AW166&lt;=Thresholds!$D$46,"LM",IF('GNI per capita'!AW166&lt;=Thresholds!$E$46,"UM","H")))</f>
        <v>LM</v>
      </c>
      <c r="AX166" s="42" t="str">
        <f>IF('GNI per capita'!AX166&lt;=Thresholds!$C$47,"L",IF('GNI per capita'!AX166&lt;=Thresholds!$D$47,"LM",IF('GNI per capita'!AX166&lt;=Thresholds!$E$47,"UM","H")))</f>
        <v>LM</v>
      </c>
      <c r="AY166" s="42" t="str">
        <f>IF('GNI per capita'!AY166&lt;=Thresholds!$C$48,"L",IF('GNI per capita'!AY166&lt;=Thresholds!$D$48,"LM",IF('GNI per capita'!AY166&lt;=Thresholds!$E$48,"UM","H")))</f>
        <v>LM</v>
      </c>
      <c r="AZ166" s="42" t="str">
        <f>IF('GNI per capita'!AZ166&lt;=Thresholds!$C$49,"L",IF('GNI per capita'!AZ166&lt;=Thresholds!$D$49,"LM",IF('GNI per capita'!AZ166&lt;=Thresholds!$E$49,"UM","H")))</f>
        <v>LM</v>
      </c>
      <c r="BA166" s="42" t="str">
        <f>IF('GNI per capita'!BA166&lt;=Thresholds!$C$50,"L",IF('GNI per capita'!BA166&lt;=Thresholds!$D$50,"LM",IF('GNI per capita'!BA166&lt;=Thresholds!$E$50,"UM","H")))</f>
        <v>LM</v>
      </c>
      <c r="BB166" s="42" t="str">
        <f>IF('GNI per capita'!BB166&lt;=Thresholds!$C$51,"L",IF('GNI per capita'!BB166&lt;=Thresholds!$D$51,"LM",IF('GNI per capita'!BB166&lt;=Thresholds!$E$51,"UM","H")))</f>
        <v>LM</v>
      </c>
      <c r="BC166" s="42" t="str">
        <f>IF('GNI per capita'!BC166&lt;=Thresholds!$C$52,"L",IF('GNI per capita'!BC166&lt;=Thresholds!$D$52,"LM",IF('GNI per capita'!BC166&lt;=Thresholds!$E$52,"UM","H")))</f>
        <v>LM</v>
      </c>
      <c r="BD166" s="42" t="str">
        <f>IF('GNI per capita'!BD166&lt;=Thresholds!$C$53,"L",IF('GNI per capita'!BD166&lt;=Thresholds!$D$53,"LM",IF('GNI per capita'!BD166&lt;=Thresholds!$E$53,"UM","H")))</f>
        <v>LM</v>
      </c>
      <c r="BE166" s="42" t="str">
        <f>IF('GNI per capita'!BE166&lt;=Thresholds!$C$54,"L",IF('GNI per capita'!BE166&lt;=Thresholds!$D$54,"LM",IF('GNI per capita'!BE166&lt;=Thresholds!$E$54,"UM","H")))</f>
        <v>LM</v>
      </c>
      <c r="BF166" s="42" t="str">
        <f>IF('GNI per capita'!BF166&lt;=Thresholds!$C$55,"L",IF('GNI per capita'!BF166&lt;=Thresholds!$D$55,"LM",IF('GNI per capita'!BF166&lt;=Thresholds!$E$55,"UM","H")))</f>
        <v>LM</v>
      </c>
      <c r="BG166" s="42" t="str">
        <f>IF('GNI per capita'!BG166&lt;=Thresholds!$C$56,"L",IF('GNI per capita'!BG166&lt;=Thresholds!$D$56,"LM",IF('GNI per capita'!BG166&lt;=Thresholds!$E$56,"UM","H")))</f>
        <v>LM</v>
      </c>
      <c r="BH166" s="42" t="str">
        <f>IF('GNI per capita'!BH166&lt;=Thresholds!$C$57,"L",IF('GNI per capita'!BH166&lt;=Thresholds!$D$57,"LM",IF('GNI per capita'!BH166&lt;=Thresholds!$E$57,"UM","H")))</f>
        <v>LM</v>
      </c>
      <c r="BI166" s="42" t="str">
        <f>IF('GNI per capita'!BI166&lt;=Thresholds!$C$58,"L",IF('GNI per capita'!BI166&lt;=Thresholds!$D$58,"LM",IF('GNI per capita'!BI166&lt;=Thresholds!$E$58,"UM","H")))</f>
        <v>LM</v>
      </c>
      <c r="BJ166" s="42" t="str">
        <f>IF('GNI per capita'!BJ166&lt;=Thresholds!$C$59,"L",IF('GNI per capita'!BJ166&lt;=Thresholds!$D$59,"LM",IF('GNI per capita'!BJ166&lt;=Thresholds!$E$59,"UM","H")))</f>
        <v>LM</v>
      </c>
      <c r="BK166" s="42" t="str">
        <f>IF('GNI per capita'!BK166&lt;=Thresholds!$C$60,"L",IF('GNI per capita'!BK166&lt;=Thresholds!$D$60,"LM",IF('GNI per capita'!BK166&lt;=Thresholds!$E$60,"UM","H")))</f>
        <v>LM</v>
      </c>
      <c r="BL166" s="42" t="str">
        <f>IF('GNI per capita'!BL166&lt;=Thresholds!$C$61,"L",IF('GNI per capita'!BL166&lt;=Thresholds!$D$61,"LM",IF('GNI per capita'!BL166&lt;=Thresholds!$E$61,"UM","H")))</f>
        <v>LM</v>
      </c>
      <c r="BM166" s="42" t="str">
        <f>IF('GNI per capita'!BM166&lt;=Thresholds!$C$62,"L",IF('GNI per capita'!BM166&lt;=Thresholds!$D$62,"LM",IF('GNI per capita'!BM166&lt;=Thresholds!$E$62,"UM","H")))</f>
        <v>LM</v>
      </c>
      <c r="BN166" s="42" t="str">
        <f>IF('GNI per capita'!BN166&lt;=Thresholds!$C$63,"L",IF('GNI per capita'!BN166&lt;=Thresholds!$D$63,"LM",IF('GNI per capita'!BN166&lt;=Thresholds!$E$63,"UM","H")))</f>
        <v>LM</v>
      </c>
      <c r="BO166" s="42" t="str">
        <f>IF('GNI per capita'!BO166&lt;=Thresholds!$C$64,"L",IF('GNI per capita'!BO166&lt;=Thresholds!$D$64,"LM",IF('GNI per capita'!BO166&lt;=Thresholds!$E$64,"UM","H")))</f>
        <v>LM</v>
      </c>
      <c r="BP166" s="42" t="str">
        <f>IF('GNI per capita'!BP166&lt;=Thresholds!$C$65,"L",IF('GNI per capita'!BP166&lt;=Thresholds!$D$65,"LM",IF('GNI per capita'!BP166&lt;=Thresholds!$E$65,"UM","H")))</f>
        <v>LM</v>
      </c>
      <c r="BQ166" s="42" t="str">
        <f>IF('GNI per capita'!BQ166&lt;=Thresholds!$C$66,"L",IF('GNI per capita'!BQ166&lt;=Thresholds!$D$66,"LM",IF('GNI per capita'!BQ166&lt;=Thresholds!$E$66,"UM","H")))</f>
        <v>LM</v>
      </c>
      <c r="BR166" s="42" t="str">
        <f>IF('GNI per capita'!BR166&lt;=Thresholds!$C$67,"L",IF('GNI per capita'!BR166&lt;=Thresholds!$D$67,"LM",IF('GNI per capita'!BR166&lt;=Thresholds!$E$67,"UM","H")))</f>
        <v>LM</v>
      </c>
      <c r="BS166" s="42" t="str">
        <f>IF('GNI per capita'!BS166&lt;=Thresholds!$C$68,"L",IF('GNI per capita'!BS166&lt;=Thresholds!$D$68,"LM",IF('GNI per capita'!BS166&lt;=Thresholds!$E$68,"UM","H")))</f>
        <v>LM</v>
      </c>
    </row>
    <row r="167" spans="1:71" x14ac:dyDescent="0.2">
      <c r="A167" s="2" t="s">
        <v>557</v>
      </c>
      <c r="B167" s="2" t="s">
        <v>558</v>
      </c>
      <c r="C167" s="11" t="s">
        <v>82</v>
      </c>
      <c r="G167" s="2" t="s">
        <v>162</v>
      </c>
      <c r="H167" s="41" t="s">
        <v>210</v>
      </c>
      <c r="I167" s="41" t="s">
        <v>210</v>
      </c>
      <c r="J167" s="41" t="s">
        <v>210</v>
      </c>
      <c r="K167" s="41" t="s">
        <v>210</v>
      </c>
      <c r="L167" s="41" t="s">
        <v>210</v>
      </c>
      <c r="M167" s="41" t="s">
        <v>210</v>
      </c>
      <c r="N167" s="41" t="s">
        <v>210</v>
      </c>
      <c r="O167" s="41" t="s">
        <v>210</v>
      </c>
      <c r="P167" s="41" t="s">
        <v>210</v>
      </c>
      <c r="Q167" s="41" t="s">
        <v>210</v>
      </c>
      <c r="R167" s="41" t="s">
        <v>210</v>
      </c>
      <c r="S167" s="41" t="s">
        <v>210</v>
      </c>
      <c r="T167" s="41" t="s">
        <v>210</v>
      </c>
      <c r="U167" s="41" t="s">
        <v>210</v>
      </c>
      <c r="V167" s="41" t="s">
        <v>210</v>
      </c>
      <c r="W167" s="41" t="s">
        <v>210</v>
      </c>
      <c r="X167" s="41" t="s">
        <v>210</v>
      </c>
      <c r="Y167" s="41" t="s">
        <v>210</v>
      </c>
      <c r="Z167" s="41" t="s">
        <v>210</v>
      </c>
      <c r="AA167" s="41" t="s">
        <v>210</v>
      </c>
      <c r="AB167" s="41" t="s">
        <v>210</v>
      </c>
      <c r="AC167" s="41" t="s">
        <v>210</v>
      </c>
      <c r="AD167" s="41" t="s">
        <v>210</v>
      </c>
      <c r="AE167" s="41" t="s">
        <v>210</v>
      </c>
      <c r="AF167" s="41" t="s">
        <v>210</v>
      </c>
      <c r="AG167" s="41" t="s">
        <v>210</v>
      </c>
      <c r="AH167" s="41" t="s">
        <v>210</v>
      </c>
      <c r="AI167" s="41" t="s">
        <v>210</v>
      </c>
      <c r="AJ167" s="41" t="s">
        <v>210</v>
      </c>
      <c r="AK167" s="41" t="s">
        <v>82</v>
      </c>
      <c r="AL167" s="41" t="s">
        <v>82</v>
      </c>
      <c r="AM167" s="41" t="s">
        <v>82</v>
      </c>
      <c r="AN167" s="41" t="s">
        <v>82</v>
      </c>
      <c r="AO167" s="41" t="s">
        <v>210</v>
      </c>
      <c r="AP167" s="41" t="s">
        <v>210</v>
      </c>
      <c r="AQ167" s="41" t="s">
        <v>210</v>
      </c>
      <c r="AR167" s="41" t="s">
        <v>210</v>
      </c>
      <c r="AS167" s="41" t="s">
        <v>82</v>
      </c>
      <c r="AT167" s="41" t="s">
        <v>82</v>
      </c>
      <c r="AU167" s="42" t="str">
        <f>IF('GNI per capita'!AU167&lt;=Thresholds!$C$44,"L",IF('GNI per capita'!AU167&lt;=Thresholds!$D$44,"LM",IF('GNI per capita'!AU167&lt;=Thresholds!$E$44,"UM","H")))</f>
        <v>UM</v>
      </c>
      <c r="AV167" s="42" t="str">
        <f>IF('GNI per capita'!AV167&lt;=Thresholds!$C$45,"L",IF('GNI per capita'!AV167&lt;=Thresholds!$D$45,"LM",IF('GNI per capita'!AV167&lt;=Thresholds!$E$45,"UM","H")))</f>
        <v>UM</v>
      </c>
      <c r="AW167" s="42" t="str">
        <f>IF('GNI per capita'!AW167&lt;=Thresholds!$C$46,"L",IF('GNI per capita'!AW167&lt;=Thresholds!$D$46,"LM",IF('GNI per capita'!AW167&lt;=Thresholds!$E$46,"UM","H")))</f>
        <v>UM</v>
      </c>
      <c r="AX167" s="42" t="str">
        <f>IF('GNI per capita'!AX167&lt;=Thresholds!$C$47,"L",IF('GNI per capita'!AX167&lt;=Thresholds!$D$47,"LM",IF('GNI per capita'!AX167&lt;=Thresholds!$E$47,"UM","H")))</f>
        <v>UM</v>
      </c>
      <c r="AY167" s="42" t="str">
        <f>IF('GNI per capita'!AY167&lt;=Thresholds!$C$48,"L",IF('GNI per capita'!AY167&lt;=Thresholds!$D$48,"LM",IF('GNI per capita'!AY167&lt;=Thresholds!$E$48,"UM","H")))</f>
        <v>UM</v>
      </c>
      <c r="AZ167" s="42" t="str">
        <f>IF('GNI per capita'!AZ167&lt;=Thresholds!$C$49,"L",IF('GNI per capita'!AZ167&lt;=Thresholds!$D$49,"LM",IF('GNI per capita'!AZ167&lt;=Thresholds!$E$49,"UM","H")))</f>
        <v>UM</v>
      </c>
      <c r="BA167" s="42" t="str">
        <f>IF('GNI per capita'!BA167&lt;=Thresholds!$C$50,"L",IF('GNI per capita'!BA167&lt;=Thresholds!$D$50,"LM",IF('GNI per capita'!BA167&lt;=Thresholds!$E$50,"UM","H")))</f>
        <v>UM</v>
      </c>
      <c r="BB167" s="42" t="str">
        <f>IF('GNI per capita'!BB167&lt;=Thresholds!$C$51,"L",IF('GNI per capita'!BB167&lt;=Thresholds!$D$51,"LM",IF('GNI per capita'!BB167&lt;=Thresholds!$E$51,"UM","H")))</f>
        <v>UM</v>
      </c>
      <c r="BC167" s="42" t="str">
        <f>IF('GNI per capita'!BC167&lt;=Thresholds!$C$52,"L",IF('GNI per capita'!BC167&lt;=Thresholds!$D$52,"LM",IF('GNI per capita'!BC167&lt;=Thresholds!$E$52,"UM","H")))</f>
        <v>UM</v>
      </c>
      <c r="BD167" s="42" t="str">
        <f>IF('GNI per capita'!BD167&lt;=Thresholds!$C$53,"L",IF('GNI per capita'!BD167&lt;=Thresholds!$D$53,"LM",IF('GNI per capita'!BD167&lt;=Thresholds!$E$53,"UM","H")))</f>
        <v>UM</v>
      </c>
      <c r="BE167" s="42" t="str">
        <f>IF('GNI per capita'!BE167&lt;=Thresholds!$C$54,"L",IF('GNI per capita'!BE167&lt;=Thresholds!$D$54,"LM",IF('GNI per capita'!BE167&lt;=Thresholds!$E$54,"UM","H")))</f>
        <v>UM</v>
      </c>
      <c r="BF167" s="42" t="str">
        <f>IF('GNI per capita'!BF167&lt;=Thresholds!$C$55,"L",IF('GNI per capita'!BF167&lt;=Thresholds!$D$55,"LM",IF('GNI per capita'!BF167&lt;=Thresholds!$E$55,"UM","H")))</f>
        <v>UM</v>
      </c>
      <c r="BG167" s="42" t="str">
        <f>IF('GNI per capita'!BG167&lt;=Thresholds!$C$56,"L",IF('GNI per capita'!BG167&lt;=Thresholds!$D$56,"LM",IF('GNI per capita'!BG167&lt;=Thresholds!$E$56,"UM","H")))</f>
        <v>UM</v>
      </c>
      <c r="BH167" s="42" t="str">
        <f>IF('GNI per capita'!BH167&lt;=Thresholds!$C$57,"L",IF('GNI per capita'!BH167&lt;=Thresholds!$D$57,"LM",IF('GNI per capita'!BH167&lt;=Thresholds!$E$57,"UM","H")))</f>
        <v>UM</v>
      </c>
      <c r="BI167" s="42" t="str">
        <f>IF('GNI per capita'!BI167&lt;=Thresholds!$C$58,"L",IF('GNI per capita'!BI167&lt;=Thresholds!$D$58,"LM",IF('GNI per capita'!BI167&lt;=Thresholds!$E$58,"UM","H")))</f>
        <v>UM</v>
      </c>
      <c r="BJ167" s="42" t="str">
        <f>IF('GNI per capita'!BJ167&lt;=Thresholds!$C$59,"L",IF('GNI per capita'!BJ167&lt;=Thresholds!$D$59,"LM",IF('GNI per capita'!BJ167&lt;=Thresholds!$E$59,"UM","H")))</f>
        <v>UM</v>
      </c>
      <c r="BK167" s="42" t="str">
        <f>IF('GNI per capita'!BK167&lt;=Thresholds!$C$60,"L",IF('GNI per capita'!BK167&lt;=Thresholds!$D$60,"LM",IF('GNI per capita'!BK167&lt;=Thresholds!$E$60,"UM","H")))</f>
        <v>UM</v>
      </c>
      <c r="BL167" s="42" t="str">
        <f>IF('GNI per capita'!BL167&lt;=Thresholds!$C$61,"L",IF('GNI per capita'!BL167&lt;=Thresholds!$D$61,"LM",IF('GNI per capita'!BL167&lt;=Thresholds!$E$61,"UM","H")))</f>
        <v>UM</v>
      </c>
      <c r="BM167" s="42" t="str">
        <f>IF('GNI per capita'!BM167&lt;=Thresholds!$C$62,"L",IF('GNI per capita'!BM167&lt;=Thresholds!$D$62,"LM",IF('GNI per capita'!BM167&lt;=Thresholds!$E$62,"UM","H")))</f>
        <v>UM</v>
      </c>
      <c r="BN167" s="42" t="str">
        <f>IF('GNI per capita'!BN167&lt;=Thresholds!$C$63,"L",IF('GNI per capita'!BN167&lt;=Thresholds!$D$63,"LM",IF('GNI per capita'!BN167&lt;=Thresholds!$E$63,"UM","H")))</f>
        <v>UM</v>
      </c>
      <c r="BO167" s="42" t="str">
        <f>IF('GNI per capita'!BO167&lt;=Thresholds!$C$64,"L",IF('GNI per capita'!BO167&lt;=Thresholds!$D$64,"LM",IF('GNI per capita'!BO167&lt;=Thresholds!$E$64,"UM","H")))</f>
        <v>UM</v>
      </c>
      <c r="BP167" s="42" t="str">
        <f>IF('GNI per capita'!BP167&lt;=Thresholds!$C$65,"L",IF('GNI per capita'!BP167&lt;=Thresholds!$D$65,"LM",IF('GNI per capita'!BP167&lt;=Thresholds!$E$65,"UM","H")))</f>
        <v>UM</v>
      </c>
      <c r="BQ167" s="42" t="str">
        <f>IF('GNI per capita'!BQ167&lt;=Thresholds!$C$66,"L",IF('GNI per capita'!BQ167&lt;=Thresholds!$D$66,"LM",IF('GNI per capita'!BQ167&lt;=Thresholds!$E$66,"UM","H")))</f>
        <v>UM</v>
      </c>
      <c r="BR167" s="42" t="str">
        <f>IF('GNI per capita'!BR167&lt;=Thresholds!$C$67,"L",IF('GNI per capita'!BR167&lt;=Thresholds!$D$67,"LM",IF('GNI per capita'!BR167&lt;=Thresholds!$E$67,"UM","H")))</f>
        <v>UM</v>
      </c>
      <c r="BS167" s="42" t="str">
        <f>IF('GNI per capita'!BS167&lt;=Thresholds!$C$68,"L",IF('GNI per capita'!BS167&lt;=Thresholds!$D$68,"LM",IF('GNI per capita'!BS167&lt;=Thresholds!$E$68,"UM","H")))</f>
        <v>UM</v>
      </c>
    </row>
    <row r="168" spans="1:71" x14ac:dyDescent="0.2">
      <c r="A168" s="2" t="s">
        <v>559</v>
      </c>
      <c r="B168" s="2" t="s">
        <v>560</v>
      </c>
      <c r="C168" s="11" t="s">
        <v>79</v>
      </c>
      <c r="G168" s="28" t="s">
        <v>207</v>
      </c>
      <c r="H168" s="41"/>
      <c r="I168" s="41"/>
      <c r="J168" s="41"/>
      <c r="K168" s="41"/>
      <c r="L168" s="41" t="s">
        <v>79</v>
      </c>
      <c r="M168" s="41" t="s">
        <v>79</v>
      </c>
      <c r="N168" s="41" t="s">
        <v>79</v>
      </c>
      <c r="O168" s="41"/>
      <c r="P168" s="41"/>
      <c r="Q168" s="41"/>
      <c r="R168" s="41"/>
      <c r="S168" s="41"/>
      <c r="T168" s="41"/>
      <c r="U168" s="41" t="s">
        <v>79</v>
      </c>
      <c r="V168" s="41" t="s">
        <v>79</v>
      </c>
      <c r="W168" s="41" t="s">
        <v>79</v>
      </c>
      <c r="X168" s="41" t="s">
        <v>79</v>
      </c>
      <c r="Y168" s="41" t="s">
        <v>79</v>
      </c>
      <c r="Z168" s="41" t="s">
        <v>79</v>
      </c>
      <c r="AA168" s="41" t="s">
        <v>79</v>
      </c>
      <c r="AB168" s="41" t="s">
        <v>79</v>
      </c>
      <c r="AC168" s="41" t="s">
        <v>79</v>
      </c>
      <c r="AD168" s="41" t="s">
        <v>79</v>
      </c>
      <c r="AE168" s="41" t="s">
        <v>79</v>
      </c>
      <c r="AF168" s="41" t="s">
        <v>79</v>
      </c>
      <c r="AG168" s="41" t="s">
        <v>79</v>
      </c>
      <c r="AH168" s="41" t="s">
        <v>79</v>
      </c>
      <c r="AI168" s="41" t="s">
        <v>79</v>
      </c>
      <c r="AJ168" s="41" t="s">
        <v>79</v>
      </c>
      <c r="AK168" s="41" t="s">
        <v>79</v>
      </c>
      <c r="AL168" s="41" t="s">
        <v>79</v>
      </c>
      <c r="AM168" s="41" t="s">
        <v>79</v>
      </c>
      <c r="AN168" s="41" t="s">
        <v>79</v>
      </c>
      <c r="AO168" s="41" t="s">
        <v>79</v>
      </c>
      <c r="AP168" s="41" t="s">
        <v>79</v>
      </c>
      <c r="AQ168" s="41" t="s">
        <v>79</v>
      </c>
      <c r="AR168" s="41" t="s">
        <v>79</v>
      </c>
      <c r="AS168" s="41" t="s">
        <v>79</v>
      </c>
      <c r="AT168" s="41" t="s">
        <v>79</v>
      </c>
      <c r="AU168" s="42" t="str">
        <f t="shared" ref="AU168:BS168" si="14">$C168</f>
        <v>H</v>
      </c>
      <c r="AV168" s="42" t="str">
        <f t="shared" si="14"/>
        <v>H</v>
      </c>
      <c r="AW168" s="42" t="str">
        <f t="shared" si="14"/>
        <v>H</v>
      </c>
      <c r="AX168" s="42" t="str">
        <f t="shared" si="14"/>
        <v>H</v>
      </c>
      <c r="AY168" s="42" t="str">
        <f t="shared" si="14"/>
        <v>H</v>
      </c>
      <c r="AZ168" s="42" t="str">
        <f t="shared" si="14"/>
        <v>H</v>
      </c>
      <c r="BA168" s="42" t="str">
        <f t="shared" si="14"/>
        <v>H</v>
      </c>
      <c r="BB168" s="42" t="str">
        <f t="shared" si="14"/>
        <v>H</v>
      </c>
      <c r="BC168" s="42" t="str">
        <f t="shared" si="14"/>
        <v>H</v>
      </c>
      <c r="BD168" s="42" t="str">
        <f t="shared" si="14"/>
        <v>H</v>
      </c>
      <c r="BE168" s="42" t="str">
        <f t="shared" si="14"/>
        <v>H</v>
      </c>
      <c r="BF168" s="42" t="str">
        <f t="shared" si="14"/>
        <v>H</v>
      </c>
      <c r="BG168" s="42" t="str">
        <f t="shared" si="14"/>
        <v>H</v>
      </c>
      <c r="BH168" s="42" t="str">
        <f t="shared" si="14"/>
        <v>H</v>
      </c>
      <c r="BI168" s="42" t="str">
        <f t="shared" si="14"/>
        <v>H</v>
      </c>
      <c r="BJ168" s="42" t="str">
        <f t="shared" si="14"/>
        <v>H</v>
      </c>
      <c r="BK168" s="42" t="str">
        <f t="shared" si="14"/>
        <v>H</v>
      </c>
      <c r="BL168" s="42" t="str">
        <f t="shared" si="14"/>
        <v>H</v>
      </c>
      <c r="BM168" s="42" t="str">
        <f t="shared" si="14"/>
        <v>H</v>
      </c>
      <c r="BN168" s="42" t="str">
        <f t="shared" si="14"/>
        <v>H</v>
      </c>
      <c r="BO168" s="42" t="str">
        <f t="shared" si="14"/>
        <v>H</v>
      </c>
      <c r="BP168" s="42" t="str">
        <f t="shared" si="14"/>
        <v>H</v>
      </c>
      <c r="BQ168" s="42" t="str">
        <f t="shared" si="14"/>
        <v>H</v>
      </c>
      <c r="BR168" s="42" t="str">
        <f t="shared" si="14"/>
        <v>H</v>
      </c>
      <c r="BS168" s="42" t="str">
        <f t="shared" si="14"/>
        <v>H</v>
      </c>
    </row>
    <row r="169" spans="1:71" x14ac:dyDescent="0.2">
      <c r="A169" s="2" t="s">
        <v>561</v>
      </c>
      <c r="B169" s="2" t="s">
        <v>562</v>
      </c>
      <c r="C169" s="11" t="s">
        <v>79</v>
      </c>
      <c r="G169" s="2" t="s">
        <v>162</v>
      </c>
      <c r="H169" s="41" t="s">
        <v>79</v>
      </c>
      <c r="I169" s="41" t="s">
        <v>79</v>
      </c>
      <c r="J169" s="41" t="s">
        <v>79</v>
      </c>
      <c r="K169" s="41" t="s">
        <v>82</v>
      </c>
      <c r="L169" s="41" t="s">
        <v>82</v>
      </c>
      <c r="M169" s="41" t="s">
        <v>82</v>
      </c>
      <c r="N169" s="41" t="s">
        <v>82</v>
      </c>
      <c r="O169" s="41" t="s">
        <v>82</v>
      </c>
      <c r="P169" s="41" t="s">
        <v>82</v>
      </c>
      <c r="Q169" s="41" t="s">
        <v>82</v>
      </c>
      <c r="R169" s="41" t="s">
        <v>82</v>
      </c>
      <c r="S169" s="41" t="s">
        <v>82</v>
      </c>
      <c r="T169" s="41" t="s">
        <v>82</v>
      </c>
      <c r="U169" s="41" t="s">
        <v>82</v>
      </c>
      <c r="V169" s="41" t="s">
        <v>82</v>
      </c>
      <c r="W169" s="41" t="s">
        <v>82</v>
      </c>
      <c r="X169" s="41" t="s">
        <v>82</v>
      </c>
      <c r="Y169" s="41" t="s">
        <v>79</v>
      </c>
      <c r="Z169" s="41" t="s">
        <v>79</v>
      </c>
      <c r="AA169" s="41" t="s">
        <v>79</v>
      </c>
      <c r="AB169" s="41" t="s">
        <v>79</v>
      </c>
      <c r="AC169" s="41" t="s">
        <v>79</v>
      </c>
      <c r="AD169" s="41" t="s">
        <v>79</v>
      </c>
      <c r="AE169" s="41" t="s">
        <v>79</v>
      </c>
      <c r="AF169" s="41" t="s">
        <v>79</v>
      </c>
      <c r="AG169" s="41" t="s">
        <v>79</v>
      </c>
      <c r="AH169" s="41" t="s">
        <v>79</v>
      </c>
      <c r="AI169" s="41" t="s">
        <v>79</v>
      </c>
      <c r="AJ169" s="41" t="s">
        <v>79</v>
      </c>
      <c r="AK169" s="41" t="s">
        <v>79</v>
      </c>
      <c r="AL169" s="41" t="s">
        <v>79</v>
      </c>
      <c r="AM169" s="41" t="s">
        <v>79</v>
      </c>
      <c r="AN169" s="41" t="s">
        <v>79</v>
      </c>
      <c r="AO169" s="41" t="s">
        <v>79</v>
      </c>
      <c r="AP169" s="41" t="s">
        <v>79</v>
      </c>
      <c r="AQ169" s="41" t="s">
        <v>79</v>
      </c>
      <c r="AR169" s="41" t="s">
        <v>79</v>
      </c>
      <c r="AS169" s="41" t="s">
        <v>79</v>
      </c>
      <c r="AT169" s="41" t="s">
        <v>79</v>
      </c>
      <c r="AU169" s="42" t="str">
        <f>IF('GNI per capita'!AU169&lt;=Thresholds!$C$44,"L",IF('GNI per capita'!AU169&lt;=Thresholds!$D$44,"LM",IF('GNI per capita'!AU169&lt;=Thresholds!$E$44,"UM","H")))</f>
        <v>H</v>
      </c>
      <c r="AV169" s="42" t="str">
        <f>IF('GNI per capita'!AV169&lt;=Thresholds!$C$45,"L",IF('GNI per capita'!AV169&lt;=Thresholds!$D$45,"LM",IF('GNI per capita'!AV169&lt;=Thresholds!$E$45,"UM","H")))</f>
        <v>H</v>
      </c>
      <c r="AW169" s="42" t="str">
        <f>IF('GNI per capita'!AW169&lt;=Thresholds!$C$46,"L",IF('GNI per capita'!AW169&lt;=Thresholds!$D$46,"LM",IF('GNI per capita'!AW169&lt;=Thresholds!$E$46,"UM","H")))</f>
        <v>H</v>
      </c>
      <c r="AX169" s="42" t="str">
        <f>IF('GNI per capita'!AX169&lt;=Thresholds!$C$47,"L",IF('GNI per capita'!AX169&lt;=Thresholds!$D$47,"LM",IF('GNI per capita'!AX169&lt;=Thresholds!$E$47,"UM","H")))</f>
        <v>H</v>
      </c>
      <c r="AY169" s="42" t="str">
        <f>IF('GNI per capita'!AY169&lt;=Thresholds!$C$48,"L",IF('GNI per capita'!AY169&lt;=Thresholds!$D$48,"LM",IF('GNI per capita'!AY169&lt;=Thresholds!$E$48,"UM","H")))</f>
        <v>H</v>
      </c>
      <c r="AZ169" s="42" t="str">
        <f>IF('GNI per capita'!AZ169&lt;=Thresholds!$C$49,"L",IF('GNI per capita'!AZ169&lt;=Thresholds!$D$49,"LM",IF('GNI per capita'!AZ169&lt;=Thresholds!$E$49,"UM","H")))</f>
        <v>H</v>
      </c>
      <c r="BA169" s="42" t="str">
        <f>IF('GNI per capita'!BA169&lt;=Thresholds!$C$50,"L",IF('GNI per capita'!BA169&lt;=Thresholds!$D$50,"LM",IF('GNI per capita'!BA169&lt;=Thresholds!$E$50,"UM","H")))</f>
        <v>H</v>
      </c>
      <c r="BB169" s="42" t="str">
        <f>IF('GNI per capita'!BB169&lt;=Thresholds!$C$51,"L",IF('GNI per capita'!BB169&lt;=Thresholds!$D$51,"LM",IF('GNI per capita'!BB169&lt;=Thresholds!$E$51,"UM","H")))</f>
        <v>H</v>
      </c>
      <c r="BC169" s="42" t="str">
        <f>IF('GNI per capita'!BC169&lt;=Thresholds!$C$52,"L",IF('GNI per capita'!BC169&lt;=Thresholds!$D$52,"LM",IF('GNI per capita'!BC169&lt;=Thresholds!$E$52,"UM","H")))</f>
        <v>H</v>
      </c>
      <c r="BD169" s="42" t="str">
        <f>IF('GNI per capita'!BD169&lt;=Thresholds!$C$53,"L",IF('GNI per capita'!BD169&lt;=Thresholds!$D$53,"LM",IF('GNI per capita'!BD169&lt;=Thresholds!$E$53,"UM","H")))</f>
        <v>H</v>
      </c>
      <c r="BE169" s="42" t="str">
        <f>IF('GNI per capita'!BE169&lt;=Thresholds!$C$54,"L",IF('GNI per capita'!BE169&lt;=Thresholds!$D$54,"LM",IF('GNI per capita'!BE169&lt;=Thresholds!$E$54,"UM","H")))</f>
        <v>H</v>
      </c>
      <c r="BF169" s="42" t="str">
        <f>IF('GNI per capita'!BF169&lt;=Thresholds!$C$55,"L",IF('GNI per capita'!BF169&lt;=Thresholds!$D$55,"LM",IF('GNI per capita'!BF169&lt;=Thresholds!$E$55,"UM","H")))</f>
        <v>H</v>
      </c>
      <c r="BG169" s="42" t="str">
        <f>IF('GNI per capita'!BG169&lt;=Thresholds!$C$56,"L",IF('GNI per capita'!BG169&lt;=Thresholds!$D$56,"LM",IF('GNI per capita'!BG169&lt;=Thresholds!$E$56,"UM","H")))</f>
        <v>H</v>
      </c>
      <c r="BH169" s="42" t="str">
        <f>IF('GNI per capita'!BH169&lt;=Thresholds!$C$57,"L",IF('GNI per capita'!BH169&lt;=Thresholds!$D$57,"LM",IF('GNI per capita'!BH169&lt;=Thresholds!$E$57,"UM","H")))</f>
        <v>H</v>
      </c>
      <c r="BI169" s="42" t="str">
        <f>IF('GNI per capita'!BI169&lt;=Thresholds!$C$58,"L",IF('GNI per capita'!BI169&lt;=Thresholds!$D$58,"LM",IF('GNI per capita'!BI169&lt;=Thresholds!$E$58,"UM","H")))</f>
        <v>H</v>
      </c>
      <c r="BJ169" s="42" t="str">
        <f>IF('GNI per capita'!BJ169&lt;=Thresholds!$C$59,"L",IF('GNI per capita'!BJ169&lt;=Thresholds!$D$59,"LM",IF('GNI per capita'!BJ169&lt;=Thresholds!$E$59,"UM","H")))</f>
        <v>H</v>
      </c>
      <c r="BK169" s="42" t="str">
        <f>IF('GNI per capita'!BK169&lt;=Thresholds!$C$60,"L",IF('GNI per capita'!BK169&lt;=Thresholds!$D$60,"LM",IF('GNI per capita'!BK169&lt;=Thresholds!$E$60,"UM","H")))</f>
        <v>H</v>
      </c>
      <c r="BL169" s="42" t="str">
        <f>IF('GNI per capita'!BL169&lt;=Thresholds!$C$61,"L",IF('GNI per capita'!BL169&lt;=Thresholds!$D$61,"LM",IF('GNI per capita'!BL169&lt;=Thresholds!$E$61,"UM","H")))</f>
        <v>H</v>
      </c>
      <c r="BM169" s="42" t="str">
        <f>IF('GNI per capita'!BM169&lt;=Thresholds!$C$62,"L",IF('GNI per capita'!BM169&lt;=Thresholds!$D$62,"LM",IF('GNI per capita'!BM169&lt;=Thresholds!$E$62,"UM","H")))</f>
        <v>H</v>
      </c>
      <c r="BN169" s="42" t="str">
        <f>IF('GNI per capita'!BN169&lt;=Thresholds!$C$63,"L",IF('GNI per capita'!BN169&lt;=Thresholds!$D$63,"LM",IF('GNI per capita'!BN169&lt;=Thresholds!$E$63,"UM","H")))</f>
        <v>H</v>
      </c>
      <c r="BO169" s="42" t="str">
        <f>IF('GNI per capita'!BO169&lt;=Thresholds!$C$64,"L",IF('GNI per capita'!BO169&lt;=Thresholds!$D$64,"LM",IF('GNI per capita'!BO169&lt;=Thresholds!$E$64,"UM","H")))</f>
        <v>H</v>
      </c>
      <c r="BP169" s="42" t="str">
        <f>IF('GNI per capita'!BP169&lt;=Thresholds!$C$65,"L",IF('GNI per capita'!BP169&lt;=Thresholds!$D$65,"LM",IF('GNI per capita'!BP169&lt;=Thresholds!$E$65,"UM","H")))</f>
        <v>H</v>
      </c>
      <c r="BQ169" s="42" t="str">
        <f>IF('GNI per capita'!BQ169&lt;=Thresholds!$C$66,"L",IF('GNI per capita'!BQ169&lt;=Thresholds!$D$66,"LM",IF('GNI per capita'!BQ169&lt;=Thresholds!$E$66,"UM","H")))</f>
        <v>H</v>
      </c>
      <c r="BR169" s="42" t="str">
        <f>IF('GNI per capita'!BR169&lt;=Thresholds!$C$67,"L",IF('GNI per capita'!BR169&lt;=Thresholds!$D$67,"LM",IF('GNI per capita'!BR169&lt;=Thresholds!$E$67,"UM","H")))</f>
        <v>H</v>
      </c>
      <c r="BS169" s="42" t="str">
        <f>IF('GNI per capita'!BS169&lt;=Thresholds!$C$68,"L",IF('GNI per capita'!BS169&lt;=Thresholds!$D$68,"LM",IF('GNI per capita'!BS169&lt;=Thresholds!$E$68,"UM","H")))</f>
        <v>H</v>
      </c>
    </row>
    <row r="170" spans="1:71" x14ac:dyDescent="0.2">
      <c r="A170" s="2" t="s">
        <v>563</v>
      </c>
      <c r="B170" s="2" t="s">
        <v>564</v>
      </c>
      <c r="C170" s="11" t="s">
        <v>210</v>
      </c>
      <c r="G170" s="2" t="s">
        <v>162</v>
      </c>
      <c r="H170" s="41" t="s">
        <v>210</v>
      </c>
      <c r="I170" s="41" t="s">
        <v>210</v>
      </c>
      <c r="J170" s="41" t="s">
        <v>210</v>
      </c>
      <c r="K170" s="41" t="s">
        <v>210</v>
      </c>
      <c r="L170" s="41" t="s">
        <v>210</v>
      </c>
      <c r="M170" s="41" t="s">
        <v>210</v>
      </c>
      <c r="N170" s="41" t="s">
        <v>210</v>
      </c>
      <c r="O170" s="41" t="s">
        <v>75</v>
      </c>
      <c r="P170" s="41" t="s">
        <v>75</v>
      </c>
      <c r="Q170" s="41" t="s">
        <v>75</v>
      </c>
      <c r="R170" s="41" t="s">
        <v>75</v>
      </c>
      <c r="S170" s="41" t="s">
        <v>75</v>
      </c>
      <c r="T170" s="41" t="s">
        <v>75</v>
      </c>
      <c r="U170" s="41" t="s">
        <v>75</v>
      </c>
      <c r="V170" s="41" t="s">
        <v>75</v>
      </c>
      <c r="W170" s="41" t="s">
        <v>75</v>
      </c>
      <c r="X170" s="41" t="s">
        <v>75</v>
      </c>
      <c r="Y170" s="41" t="s">
        <v>75</v>
      </c>
      <c r="Z170" s="41" t="s">
        <v>75</v>
      </c>
      <c r="AA170" s="41" t="s">
        <v>75</v>
      </c>
      <c r="AB170" s="41" t="s">
        <v>75</v>
      </c>
      <c r="AC170" s="41" t="s">
        <v>75</v>
      </c>
      <c r="AD170" s="41" t="s">
        <v>210</v>
      </c>
      <c r="AE170" s="41" t="s">
        <v>210</v>
      </c>
      <c r="AF170" s="41" t="s">
        <v>210</v>
      </c>
      <c r="AG170" s="41" t="s">
        <v>210</v>
      </c>
      <c r="AH170" s="41" t="s">
        <v>210</v>
      </c>
      <c r="AI170" s="41" t="s">
        <v>210</v>
      </c>
      <c r="AJ170" s="41" t="s">
        <v>75</v>
      </c>
      <c r="AK170" s="41" t="s">
        <v>75</v>
      </c>
      <c r="AL170" s="41" t="s">
        <v>75</v>
      </c>
      <c r="AM170" s="41" t="s">
        <v>210</v>
      </c>
      <c r="AN170" s="41" t="s">
        <v>210</v>
      </c>
      <c r="AO170" s="41" t="s">
        <v>210</v>
      </c>
      <c r="AP170" s="41" t="s">
        <v>210</v>
      </c>
      <c r="AQ170" s="41" t="s">
        <v>210</v>
      </c>
      <c r="AR170" s="41" t="s">
        <v>210</v>
      </c>
      <c r="AS170" s="41" t="s">
        <v>210</v>
      </c>
      <c r="AT170" s="41" t="s">
        <v>210</v>
      </c>
      <c r="AU170" s="42" t="str">
        <f>IF('GNI per capita'!AU170&lt;=Thresholds!$C$44,"L",IF('GNI per capita'!AU170&lt;=Thresholds!$D$44,"LM",IF('GNI per capita'!AU170&lt;=Thresholds!$E$44,"UM","H")))</f>
        <v>LM</v>
      </c>
      <c r="AV170" s="42" t="str">
        <f>IF('GNI per capita'!AV170&lt;=Thresholds!$C$45,"L",IF('GNI per capita'!AV170&lt;=Thresholds!$D$45,"LM",IF('GNI per capita'!AV170&lt;=Thresholds!$E$45,"UM","H")))</f>
        <v>LM</v>
      </c>
      <c r="AW170" s="42" t="str">
        <f>IF('GNI per capita'!AW170&lt;=Thresholds!$C$46,"L",IF('GNI per capita'!AW170&lt;=Thresholds!$D$46,"LM",IF('GNI per capita'!AW170&lt;=Thresholds!$E$46,"UM","H")))</f>
        <v>LM</v>
      </c>
      <c r="AX170" s="42" t="str">
        <f>IF('GNI per capita'!AX170&lt;=Thresholds!$C$47,"L",IF('GNI per capita'!AX170&lt;=Thresholds!$D$47,"LM",IF('GNI per capita'!AX170&lt;=Thresholds!$E$47,"UM","H")))</f>
        <v>LM</v>
      </c>
      <c r="AY170" s="42" t="str">
        <f>IF('GNI per capita'!AY170&lt;=Thresholds!$C$48,"L",IF('GNI per capita'!AY170&lt;=Thresholds!$D$48,"LM",IF('GNI per capita'!AY170&lt;=Thresholds!$E$48,"UM","H")))</f>
        <v>LM</v>
      </c>
      <c r="AZ170" s="42" t="str">
        <f>IF('GNI per capita'!AZ170&lt;=Thresholds!$C$49,"L",IF('GNI per capita'!AZ170&lt;=Thresholds!$D$49,"LM",IF('GNI per capita'!AZ170&lt;=Thresholds!$E$49,"UM","H")))</f>
        <v>LM</v>
      </c>
      <c r="BA170" s="42" t="str">
        <f>IF('GNI per capita'!BA170&lt;=Thresholds!$C$50,"L",IF('GNI per capita'!BA170&lt;=Thresholds!$D$50,"LM",IF('GNI per capita'!BA170&lt;=Thresholds!$E$50,"UM","H")))</f>
        <v>LM</v>
      </c>
      <c r="BB170" s="42" t="str">
        <f>IF('GNI per capita'!BB170&lt;=Thresholds!$C$51,"L",IF('GNI per capita'!BB170&lt;=Thresholds!$D$51,"LM",IF('GNI per capita'!BB170&lt;=Thresholds!$E$51,"UM","H")))</f>
        <v>LM</v>
      </c>
      <c r="BC170" s="42" t="str">
        <f>IF('GNI per capita'!BC170&lt;=Thresholds!$C$52,"L",IF('GNI per capita'!BC170&lt;=Thresholds!$D$52,"LM",IF('GNI per capita'!BC170&lt;=Thresholds!$E$52,"UM","H")))</f>
        <v>LM</v>
      </c>
      <c r="BD170" s="42" t="str">
        <f>IF('GNI per capita'!BD170&lt;=Thresholds!$C$53,"L",IF('GNI per capita'!BD170&lt;=Thresholds!$D$53,"LM",IF('GNI per capita'!BD170&lt;=Thresholds!$E$53,"UM","H")))</f>
        <v>LM</v>
      </c>
      <c r="BE170" s="42" t="str">
        <f>IF('GNI per capita'!BE170&lt;=Thresholds!$C$54,"L",IF('GNI per capita'!BE170&lt;=Thresholds!$D$54,"LM",IF('GNI per capita'!BE170&lt;=Thresholds!$E$54,"UM","H")))</f>
        <v>LM</v>
      </c>
      <c r="BF170" s="42" t="str">
        <f>IF('GNI per capita'!BF170&lt;=Thresholds!$C$55,"L",IF('GNI per capita'!BF170&lt;=Thresholds!$D$55,"LM",IF('GNI per capita'!BF170&lt;=Thresholds!$E$55,"UM","H")))</f>
        <v>LM</v>
      </c>
      <c r="BG170" s="42" t="str">
        <f>IF('GNI per capita'!BG170&lt;=Thresholds!$C$56,"L",IF('GNI per capita'!BG170&lt;=Thresholds!$D$56,"LM",IF('GNI per capita'!BG170&lt;=Thresholds!$E$56,"UM","H")))</f>
        <v>LM</v>
      </c>
      <c r="BH170" s="42" t="str">
        <f>IF('GNI per capita'!BH170&lt;=Thresholds!$C$57,"L",IF('GNI per capita'!BH170&lt;=Thresholds!$D$57,"LM",IF('GNI per capita'!BH170&lt;=Thresholds!$E$57,"UM","H")))</f>
        <v>LM</v>
      </c>
      <c r="BI170" s="42" t="str">
        <f>IF('GNI per capita'!BI170&lt;=Thresholds!$C$58,"L",IF('GNI per capita'!BI170&lt;=Thresholds!$D$58,"LM",IF('GNI per capita'!BI170&lt;=Thresholds!$E$58,"UM","H")))</f>
        <v>LM</v>
      </c>
      <c r="BJ170" s="42" t="str">
        <f>IF('GNI per capita'!BJ170&lt;=Thresholds!$C$59,"L",IF('GNI per capita'!BJ170&lt;=Thresholds!$D$59,"LM",IF('GNI per capita'!BJ170&lt;=Thresholds!$E$59,"UM","H")))</f>
        <v>LM</v>
      </c>
      <c r="BK170" s="42" t="str">
        <f>IF('GNI per capita'!BK170&lt;=Thresholds!$C$60,"L",IF('GNI per capita'!BK170&lt;=Thresholds!$D$60,"LM",IF('GNI per capita'!BK170&lt;=Thresholds!$E$60,"UM","H")))</f>
        <v>LM</v>
      </c>
      <c r="BL170" s="42" t="str">
        <f>IF('GNI per capita'!BL170&lt;=Thresholds!$C$61,"L",IF('GNI per capita'!BL170&lt;=Thresholds!$D$61,"LM",IF('GNI per capita'!BL170&lt;=Thresholds!$E$61,"UM","H")))</f>
        <v>LM</v>
      </c>
      <c r="BM170" s="42" t="str">
        <f>IF('GNI per capita'!BM170&lt;=Thresholds!$C$62,"L",IF('GNI per capita'!BM170&lt;=Thresholds!$D$62,"LM",IF('GNI per capita'!BM170&lt;=Thresholds!$E$62,"UM","H")))</f>
        <v>LM</v>
      </c>
      <c r="BN170" s="42" t="str">
        <f>IF('GNI per capita'!BN170&lt;=Thresholds!$C$63,"L",IF('GNI per capita'!BN170&lt;=Thresholds!$D$63,"LM",IF('GNI per capita'!BN170&lt;=Thresholds!$E$63,"UM","H")))</f>
        <v>LM</v>
      </c>
      <c r="BO170" s="42" t="str">
        <f>IF('GNI per capita'!BO170&lt;=Thresholds!$C$64,"L",IF('GNI per capita'!BO170&lt;=Thresholds!$D$64,"LM",IF('GNI per capita'!BO170&lt;=Thresholds!$E$64,"UM","H")))</f>
        <v>LM</v>
      </c>
      <c r="BP170" s="42" t="str">
        <f>IF('GNI per capita'!BP170&lt;=Thresholds!$C$65,"L",IF('GNI per capita'!BP170&lt;=Thresholds!$D$65,"LM",IF('GNI per capita'!BP170&lt;=Thresholds!$E$65,"UM","H")))</f>
        <v>LM</v>
      </c>
      <c r="BQ170" s="42" t="str">
        <f>IF('GNI per capita'!BQ170&lt;=Thresholds!$C$66,"L",IF('GNI per capita'!BQ170&lt;=Thresholds!$D$66,"LM",IF('GNI per capita'!BQ170&lt;=Thresholds!$E$66,"UM","H")))</f>
        <v>LM</v>
      </c>
      <c r="BR170" s="42" t="str">
        <f>IF('GNI per capita'!BR170&lt;=Thresholds!$C$67,"L",IF('GNI per capita'!BR170&lt;=Thresholds!$D$67,"LM",IF('GNI per capita'!BR170&lt;=Thresholds!$E$67,"UM","H")))</f>
        <v>LM</v>
      </c>
      <c r="BS170" s="42" t="str">
        <f>IF('GNI per capita'!BS170&lt;=Thresholds!$C$68,"L",IF('GNI per capita'!BS170&lt;=Thresholds!$D$68,"LM",IF('GNI per capita'!BS170&lt;=Thresholds!$E$68,"UM","H")))</f>
        <v>LM</v>
      </c>
    </row>
    <row r="171" spans="1:71" x14ac:dyDescent="0.2">
      <c r="A171" s="2" t="s">
        <v>565</v>
      </c>
      <c r="B171" s="2" t="s">
        <v>566</v>
      </c>
      <c r="C171" s="11" t="s">
        <v>82</v>
      </c>
      <c r="G171" s="2" t="s">
        <v>567</v>
      </c>
      <c r="H171" s="41"/>
      <c r="I171" s="41"/>
      <c r="J171" s="41"/>
      <c r="K171" s="41"/>
      <c r="L171" s="41"/>
      <c r="M171" s="41"/>
      <c r="N171" s="41"/>
      <c r="O171" s="41"/>
      <c r="P171" s="41"/>
      <c r="Q171" s="41"/>
      <c r="R171" s="41"/>
      <c r="S171" s="41"/>
      <c r="T171" s="41"/>
      <c r="U171" s="41"/>
      <c r="V171" s="41"/>
      <c r="W171" s="41"/>
      <c r="X171" s="41"/>
      <c r="Y171" s="41"/>
      <c r="Z171" s="41"/>
      <c r="AA171" s="41" t="s">
        <v>82</v>
      </c>
      <c r="AB171" s="41" t="s">
        <v>82</v>
      </c>
      <c r="AC171" s="41" t="s">
        <v>82</v>
      </c>
      <c r="AD171" s="41" t="s">
        <v>82</v>
      </c>
      <c r="AE171" s="41" t="s">
        <v>82</v>
      </c>
      <c r="AF171" s="41" t="s">
        <v>82</v>
      </c>
      <c r="AG171" s="41" t="s">
        <v>82</v>
      </c>
      <c r="AH171" s="41" t="s">
        <v>82</v>
      </c>
      <c r="AI171" s="41" t="s">
        <v>82</v>
      </c>
      <c r="AJ171" s="41" t="s">
        <v>82</v>
      </c>
      <c r="AK171" s="41" t="s">
        <v>82</v>
      </c>
      <c r="AL171" s="41" t="s">
        <v>82</v>
      </c>
      <c r="AM171" s="41" t="s">
        <v>82</v>
      </c>
      <c r="AN171" s="41" t="s">
        <v>82</v>
      </c>
      <c r="AO171" s="41" t="s">
        <v>82</v>
      </c>
      <c r="AP171" s="41" t="s">
        <v>82</v>
      </c>
      <c r="AQ171" s="41" t="s">
        <v>82</v>
      </c>
      <c r="AR171" s="41" t="s">
        <v>82</v>
      </c>
      <c r="AS171" s="41" t="s">
        <v>82</v>
      </c>
      <c r="AT171" s="41" t="s">
        <v>82</v>
      </c>
      <c r="AU171" s="42" t="str">
        <f>IF('GNI per capita'!AU171&lt;=Thresholds!$C$44,"L",IF('GNI per capita'!AU171&lt;=Thresholds!$D$44,"LM",IF('GNI per capita'!AU171&lt;=Thresholds!$E$44,"UM","H")))</f>
        <v>H</v>
      </c>
      <c r="AV171" s="42" t="str">
        <f>IF('GNI per capita'!AV171&lt;=Thresholds!$C$45,"L",IF('GNI per capita'!AV171&lt;=Thresholds!$D$45,"LM",IF('GNI per capita'!AV171&lt;=Thresholds!$E$45,"UM","H")))</f>
        <v>H</v>
      </c>
      <c r="AW171" s="42" t="str">
        <f>IF('GNI per capita'!AW171&lt;=Thresholds!$C$46,"L",IF('GNI per capita'!AW171&lt;=Thresholds!$D$46,"LM",IF('GNI per capita'!AW171&lt;=Thresholds!$E$46,"UM","H")))</f>
        <v>H</v>
      </c>
      <c r="AX171" s="42" t="str">
        <f>IF('GNI per capita'!AX171&lt;=Thresholds!$C$47,"L",IF('GNI per capita'!AX171&lt;=Thresholds!$D$47,"LM",IF('GNI per capita'!AX171&lt;=Thresholds!$E$47,"UM","H")))</f>
        <v>H</v>
      </c>
      <c r="AY171" s="42" t="str">
        <f>IF('GNI per capita'!AY171&lt;=Thresholds!$C$48,"L",IF('GNI per capita'!AY171&lt;=Thresholds!$D$48,"LM",IF('GNI per capita'!AY171&lt;=Thresholds!$E$48,"UM","H")))</f>
        <v>H</v>
      </c>
      <c r="AZ171" s="42" t="str">
        <f>IF('GNI per capita'!AZ171&lt;=Thresholds!$C$49,"L",IF('GNI per capita'!AZ171&lt;=Thresholds!$D$49,"LM",IF('GNI per capita'!AZ171&lt;=Thresholds!$E$49,"UM","H")))</f>
        <v>H</v>
      </c>
      <c r="BA171" s="42" t="str">
        <f>IF('GNI per capita'!BA171&lt;=Thresholds!$C$50,"L",IF('GNI per capita'!BA171&lt;=Thresholds!$D$50,"LM",IF('GNI per capita'!BA171&lt;=Thresholds!$E$50,"UM","H")))</f>
        <v>H</v>
      </c>
      <c r="BB171" s="42" t="str">
        <f>IF('GNI per capita'!BB171&lt;=Thresholds!$C$51,"L",IF('GNI per capita'!BB171&lt;=Thresholds!$D$51,"LM",IF('GNI per capita'!BB171&lt;=Thresholds!$E$51,"UM","H")))</f>
        <v>H</v>
      </c>
      <c r="BC171" s="42" t="str">
        <f>IF('GNI per capita'!BC171&lt;=Thresholds!$C$52,"L",IF('GNI per capita'!BC171&lt;=Thresholds!$D$52,"LM",IF('GNI per capita'!BC171&lt;=Thresholds!$E$52,"UM","H")))</f>
        <v>H</v>
      </c>
      <c r="BD171" s="42" t="str">
        <f>IF('GNI per capita'!BD171&lt;=Thresholds!$C$53,"L",IF('GNI per capita'!BD171&lt;=Thresholds!$D$53,"LM",IF('GNI per capita'!BD171&lt;=Thresholds!$E$53,"UM","H")))</f>
        <v>H</v>
      </c>
      <c r="BE171" s="42" t="str">
        <f>IF('GNI per capita'!BE171&lt;=Thresholds!$C$54,"L",IF('GNI per capita'!BE171&lt;=Thresholds!$D$54,"LM",IF('GNI per capita'!BE171&lt;=Thresholds!$E$54,"UM","H")))</f>
        <v>H</v>
      </c>
      <c r="BF171" s="42" t="str">
        <f>IF('GNI per capita'!BF171&lt;=Thresholds!$C$55,"L",IF('GNI per capita'!BF171&lt;=Thresholds!$D$55,"LM",IF('GNI per capita'!BF171&lt;=Thresholds!$E$55,"UM","H")))</f>
        <v>H</v>
      </c>
      <c r="BG171" s="42" t="str">
        <f>IF('GNI per capita'!BG171&lt;=Thresholds!$C$56,"L",IF('GNI per capita'!BG171&lt;=Thresholds!$D$56,"LM",IF('GNI per capita'!BG171&lt;=Thresholds!$E$56,"UM","H")))</f>
        <v>H</v>
      </c>
      <c r="BH171" s="42" t="str">
        <f>IF('GNI per capita'!BH171&lt;=Thresholds!$C$57,"L",IF('GNI per capita'!BH171&lt;=Thresholds!$D$57,"LM",IF('GNI per capita'!BH171&lt;=Thresholds!$E$57,"UM","H")))</f>
        <v>H</v>
      </c>
      <c r="BI171" s="42" t="str">
        <f>IF('GNI per capita'!BI171&lt;=Thresholds!$C$58,"L",IF('GNI per capita'!BI171&lt;=Thresholds!$D$58,"LM",IF('GNI per capita'!BI171&lt;=Thresholds!$E$58,"UM","H")))</f>
        <v>H</v>
      </c>
      <c r="BJ171" s="42" t="str">
        <f>IF('GNI per capita'!BJ171&lt;=Thresholds!$C$59,"L",IF('GNI per capita'!BJ171&lt;=Thresholds!$D$59,"LM",IF('GNI per capita'!BJ171&lt;=Thresholds!$E$59,"UM","H")))</f>
        <v>H</v>
      </c>
      <c r="BK171" s="42" t="str">
        <f>IF('GNI per capita'!BK171&lt;=Thresholds!$C$60,"L",IF('GNI per capita'!BK171&lt;=Thresholds!$D$60,"LM",IF('GNI per capita'!BK171&lt;=Thresholds!$E$60,"UM","H")))</f>
        <v>H</v>
      </c>
      <c r="BL171" s="42" t="str">
        <f>IF('GNI per capita'!BL171&lt;=Thresholds!$C$61,"L",IF('GNI per capita'!BL171&lt;=Thresholds!$D$61,"LM",IF('GNI per capita'!BL171&lt;=Thresholds!$E$61,"UM","H")))</f>
        <v>H</v>
      </c>
      <c r="BM171" s="42" t="str">
        <f>IF('GNI per capita'!BM171&lt;=Thresholds!$C$62,"L",IF('GNI per capita'!BM171&lt;=Thresholds!$D$62,"LM",IF('GNI per capita'!BM171&lt;=Thresholds!$E$62,"UM","H")))</f>
        <v>H</v>
      </c>
      <c r="BN171" s="42" t="str">
        <f>IF('GNI per capita'!BN171&lt;=Thresholds!$C$63,"L",IF('GNI per capita'!BN171&lt;=Thresholds!$D$63,"LM",IF('GNI per capita'!BN171&lt;=Thresholds!$E$63,"UM","H")))</f>
        <v>H</v>
      </c>
      <c r="BO171" s="42" t="str">
        <f>IF('GNI per capita'!BO171&lt;=Thresholds!$C$64,"L",IF('GNI per capita'!BO171&lt;=Thresholds!$D$64,"LM",IF('GNI per capita'!BO171&lt;=Thresholds!$E$64,"UM","H")))</f>
        <v>H</v>
      </c>
      <c r="BP171" s="42" t="str">
        <f>IF('GNI per capita'!BP171&lt;=Thresholds!$C$65,"L",IF('GNI per capita'!BP171&lt;=Thresholds!$D$65,"LM",IF('GNI per capita'!BP171&lt;=Thresholds!$E$65,"UM","H")))</f>
        <v>H</v>
      </c>
      <c r="BQ171" s="42" t="str">
        <f>IF('GNI per capita'!BQ171&lt;=Thresholds!$C$66,"L",IF('GNI per capita'!BQ171&lt;=Thresholds!$D$66,"LM",IF('GNI per capita'!BQ171&lt;=Thresholds!$E$66,"UM","H")))</f>
        <v>H</v>
      </c>
      <c r="BR171" s="42" t="str">
        <f>IF('GNI per capita'!BR171&lt;=Thresholds!$C$67,"L",IF('GNI per capita'!BR171&lt;=Thresholds!$D$67,"LM",IF('GNI per capita'!BR171&lt;=Thresholds!$E$67,"UM","H")))</f>
        <v>H</v>
      </c>
      <c r="BS171" s="42" t="str">
        <f>IF('GNI per capita'!BS171&lt;=Thresholds!$C$68,"L",IF('GNI per capita'!BS171&lt;=Thresholds!$D$68,"LM",IF('GNI per capita'!BS171&lt;=Thresholds!$E$68,"UM","H")))</f>
        <v>H</v>
      </c>
    </row>
    <row r="172" spans="1:71" x14ac:dyDescent="0.2">
      <c r="A172" s="2" t="s">
        <v>568</v>
      </c>
      <c r="B172" s="2" t="s">
        <v>569</v>
      </c>
      <c r="C172" s="11" t="s">
        <v>79</v>
      </c>
      <c r="G172" s="2" t="s">
        <v>162</v>
      </c>
      <c r="H172" s="41" t="s">
        <v>82</v>
      </c>
      <c r="I172" s="41" t="s">
        <v>82</v>
      </c>
      <c r="J172" s="41" t="s">
        <v>82</v>
      </c>
      <c r="K172" s="41" t="s">
        <v>82</v>
      </c>
      <c r="L172" s="41" t="s">
        <v>82</v>
      </c>
      <c r="M172" s="41" t="s">
        <v>82</v>
      </c>
      <c r="N172" s="41" t="s">
        <v>82</v>
      </c>
      <c r="O172" s="41" t="s">
        <v>82</v>
      </c>
      <c r="P172" s="41" t="s">
        <v>82</v>
      </c>
      <c r="Q172" s="41" t="s">
        <v>82</v>
      </c>
      <c r="R172" s="41" t="s">
        <v>82</v>
      </c>
      <c r="S172" s="41" t="s">
        <v>82</v>
      </c>
      <c r="T172" s="41" t="s">
        <v>82</v>
      </c>
      <c r="U172" s="41" t="s">
        <v>82</v>
      </c>
      <c r="V172" s="41" t="s">
        <v>82</v>
      </c>
      <c r="W172" s="41" t="s">
        <v>82</v>
      </c>
      <c r="X172" s="41" t="s">
        <v>82</v>
      </c>
      <c r="Y172" s="41" t="s">
        <v>82</v>
      </c>
      <c r="Z172" s="41" t="s">
        <v>82</v>
      </c>
      <c r="AA172" s="41" t="s">
        <v>82</v>
      </c>
      <c r="AB172" s="41" t="s">
        <v>82</v>
      </c>
      <c r="AC172" s="41" t="s">
        <v>82</v>
      </c>
      <c r="AD172" s="41" t="s">
        <v>82</v>
      </c>
      <c r="AE172" s="41" t="s">
        <v>82</v>
      </c>
      <c r="AF172" s="41" t="s">
        <v>82</v>
      </c>
      <c r="AG172" s="41" t="s">
        <v>82</v>
      </c>
      <c r="AH172" s="41" t="s">
        <v>82</v>
      </c>
      <c r="AI172" s="41" t="s">
        <v>79</v>
      </c>
      <c r="AJ172" s="41" t="s">
        <v>79</v>
      </c>
      <c r="AK172" s="41" t="s">
        <v>79</v>
      </c>
      <c r="AL172" s="41" t="s">
        <v>79</v>
      </c>
      <c r="AM172" s="41" t="s">
        <v>79</v>
      </c>
      <c r="AN172" s="41" t="s">
        <v>79</v>
      </c>
      <c r="AO172" s="41" t="s">
        <v>79</v>
      </c>
      <c r="AP172" s="41" t="s">
        <v>79</v>
      </c>
      <c r="AQ172" s="41" t="s">
        <v>79</v>
      </c>
      <c r="AR172" s="41" t="s">
        <v>79</v>
      </c>
      <c r="AS172" s="41" t="s">
        <v>79</v>
      </c>
      <c r="AT172" s="41" t="s">
        <v>79</v>
      </c>
      <c r="AU172" s="42" t="str">
        <f>IF('GNI per capita'!AU172&lt;=Thresholds!$C$44,"L",IF('GNI per capita'!AU172&lt;=Thresholds!$D$44,"LM",IF('GNI per capita'!AU172&lt;=Thresholds!$E$44,"UM","H")))</f>
        <v>H</v>
      </c>
      <c r="AV172" s="42" t="str">
        <f>IF('GNI per capita'!AV172&lt;=Thresholds!$C$45,"L",IF('GNI per capita'!AV172&lt;=Thresholds!$D$45,"LM",IF('GNI per capita'!AV172&lt;=Thresholds!$E$45,"UM","H")))</f>
        <v>H</v>
      </c>
      <c r="AW172" s="42" t="str">
        <f>IF('GNI per capita'!AW172&lt;=Thresholds!$C$46,"L",IF('GNI per capita'!AW172&lt;=Thresholds!$D$46,"LM",IF('GNI per capita'!AW172&lt;=Thresholds!$E$46,"UM","H")))</f>
        <v>H</v>
      </c>
      <c r="AX172" s="42" t="str">
        <f>IF('GNI per capita'!AX172&lt;=Thresholds!$C$47,"L",IF('GNI per capita'!AX172&lt;=Thresholds!$D$47,"LM",IF('GNI per capita'!AX172&lt;=Thresholds!$E$47,"UM","H")))</f>
        <v>H</v>
      </c>
      <c r="AY172" s="42" t="str">
        <f>IF('GNI per capita'!AY172&lt;=Thresholds!$C$48,"L",IF('GNI per capita'!AY172&lt;=Thresholds!$D$48,"LM",IF('GNI per capita'!AY172&lt;=Thresholds!$E$48,"UM","H")))</f>
        <v>H</v>
      </c>
      <c r="AZ172" s="42" t="str">
        <f>IF('GNI per capita'!AZ172&lt;=Thresholds!$C$49,"L",IF('GNI per capita'!AZ172&lt;=Thresholds!$D$49,"LM",IF('GNI per capita'!AZ172&lt;=Thresholds!$E$49,"UM","H")))</f>
        <v>H</v>
      </c>
      <c r="BA172" s="42" t="str">
        <f>IF('GNI per capita'!BA172&lt;=Thresholds!$C$50,"L",IF('GNI per capita'!BA172&lt;=Thresholds!$D$50,"LM",IF('GNI per capita'!BA172&lt;=Thresholds!$E$50,"UM","H")))</f>
        <v>H</v>
      </c>
      <c r="BB172" s="42" t="str">
        <f>IF('GNI per capita'!BB172&lt;=Thresholds!$C$51,"L",IF('GNI per capita'!BB172&lt;=Thresholds!$D$51,"LM",IF('GNI per capita'!BB172&lt;=Thresholds!$E$51,"UM","H")))</f>
        <v>H</v>
      </c>
      <c r="BC172" s="42" t="str">
        <f>IF('GNI per capita'!BC172&lt;=Thresholds!$C$52,"L",IF('GNI per capita'!BC172&lt;=Thresholds!$D$52,"LM",IF('GNI per capita'!BC172&lt;=Thresholds!$E$52,"UM","H")))</f>
        <v>H</v>
      </c>
      <c r="BD172" s="42" t="str">
        <f>IF('GNI per capita'!BD172&lt;=Thresholds!$C$53,"L",IF('GNI per capita'!BD172&lt;=Thresholds!$D$53,"LM",IF('GNI per capita'!BD172&lt;=Thresholds!$E$53,"UM","H")))</f>
        <v>H</v>
      </c>
      <c r="BE172" s="42" t="str">
        <f>IF('GNI per capita'!BE172&lt;=Thresholds!$C$54,"L",IF('GNI per capita'!BE172&lt;=Thresholds!$D$54,"LM",IF('GNI per capita'!BE172&lt;=Thresholds!$E$54,"UM","H")))</f>
        <v>H</v>
      </c>
      <c r="BF172" s="42" t="str">
        <f>IF('GNI per capita'!BF172&lt;=Thresholds!$C$55,"L",IF('GNI per capita'!BF172&lt;=Thresholds!$D$55,"LM",IF('GNI per capita'!BF172&lt;=Thresholds!$E$55,"UM","H")))</f>
        <v>H</v>
      </c>
      <c r="BG172" s="42" t="str">
        <f>IF('GNI per capita'!BG172&lt;=Thresholds!$C$56,"L",IF('GNI per capita'!BG172&lt;=Thresholds!$D$56,"LM",IF('GNI per capita'!BG172&lt;=Thresholds!$E$56,"UM","H")))</f>
        <v>H</v>
      </c>
      <c r="BH172" s="42" t="str">
        <f>IF('GNI per capita'!BH172&lt;=Thresholds!$C$57,"L",IF('GNI per capita'!BH172&lt;=Thresholds!$D$57,"LM",IF('GNI per capita'!BH172&lt;=Thresholds!$E$57,"UM","H")))</f>
        <v>H</v>
      </c>
      <c r="BI172" s="42" t="str">
        <f>IF('GNI per capita'!BI172&lt;=Thresholds!$C$58,"L",IF('GNI per capita'!BI172&lt;=Thresholds!$D$58,"LM",IF('GNI per capita'!BI172&lt;=Thresholds!$E$58,"UM","H")))</f>
        <v>H</v>
      </c>
      <c r="BJ172" s="42" t="str">
        <f>IF('GNI per capita'!BJ172&lt;=Thresholds!$C$59,"L",IF('GNI per capita'!BJ172&lt;=Thresholds!$D$59,"LM",IF('GNI per capita'!BJ172&lt;=Thresholds!$E$59,"UM","H")))</f>
        <v>H</v>
      </c>
      <c r="BK172" s="42" t="str">
        <f>IF('GNI per capita'!BK172&lt;=Thresholds!$C$60,"L",IF('GNI per capita'!BK172&lt;=Thresholds!$D$60,"LM",IF('GNI per capita'!BK172&lt;=Thresholds!$E$60,"UM","H")))</f>
        <v>H</v>
      </c>
      <c r="BL172" s="42" t="str">
        <f>IF('GNI per capita'!BL172&lt;=Thresholds!$C$61,"L",IF('GNI per capita'!BL172&lt;=Thresholds!$D$61,"LM",IF('GNI per capita'!BL172&lt;=Thresholds!$E$61,"UM","H")))</f>
        <v>H</v>
      </c>
      <c r="BM172" s="42" t="str">
        <f>IF('GNI per capita'!BM172&lt;=Thresholds!$C$62,"L",IF('GNI per capita'!BM172&lt;=Thresholds!$D$62,"LM",IF('GNI per capita'!BM172&lt;=Thresholds!$E$62,"UM","H")))</f>
        <v>H</v>
      </c>
      <c r="BN172" s="42" t="str">
        <f>IF('GNI per capita'!BN172&lt;=Thresholds!$C$63,"L",IF('GNI per capita'!BN172&lt;=Thresholds!$D$63,"LM",IF('GNI per capita'!BN172&lt;=Thresholds!$E$63,"UM","H")))</f>
        <v>H</v>
      </c>
      <c r="BO172" s="42" t="str">
        <f>IF('GNI per capita'!BO172&lt;=Thresholds!$C$64,"L",IF('GNI per capita'!BO172&lt;=Thresholds!$D$64,"LM",IF('GNI per capita'!BO172&lt;=Thresholds!$E$64,"UM","H")))</f>
        <v>H</v>
      </c>
      <c r="BP172" s="42" t="str">
        <f>IF('GNI per capita'!BP172&lt;=Thresholds!$C$65,"L",IF('GNI per capita'!BP172&lt;=Thresholds!$D$65,"LM",IF('GNI per capita'!BP172&lt;=Thresholds!$E$65,"UM","H")))</f>
        <v>H</v>
      </c>
      <c r="BQ172" s="42" t="str">
        <f>IF('GNI per capita'!BQ172&lt;=Thresholds!$C$66,"L",IF('GNI per capita'!BQ172&lt;=Thresholds!$D$66,"LM",IF('GNI per capita'!BQ172&lt;=Thresholds!$E$66,"UM","H")))</f>
        <v>H</v>
      </c>
      <c r="BR172" s="42" t="str">
        <f>IF('GNI per capita'!BR172&lt;=Thresholds!$C$67,"L",IF('GNI per capita'!BR172&lt;=Thresholds!$D$67,"LM",IF('GNI per capita'!BR172&lt;=Thresholds!$E$67,"UM","H")))</f>
        <v>H</v>
      </c>
      <c r="BS172" s="42" t="str">
        <f>IF('GNI per capita'!BS172&lt;=Thresholds!$C$68,"L",IF('GNI per capita'!BS172&lt;=Thresholds!$D$68,"LM",IF('GNI per capita'!BS172&lt;=Thresholds!$E$68,"UM","H")))</f>
        <v>H</v>
      </c>
    </row>
    <row r="173" spans="1:71" x14ac:dyDescent="0.2">
      <c r="A173" s="2" t="s">
        <v>570</v>
      </c>
      <c r="B173" s="2" t="s">
        <v>571</v>
      </c>
      <c r="C173" s="11" t="s">
        <v>75</v>
      </c>
      <c r="G173" s="2" t="s">
        <v>572</v>
      </c>
      <c r="H173" s="41" t="s">
        <v>75</v>
      </c>
      <c r="I173" s="41" t="s">
        <v>75</v>
      </c>
      <c r="J173" s="41" t="s">
        <v>75</v>
      </c>
      <c r="K173" s="41" t="s">
        <v>75</v>
      </c>
      <c r="L173" s="41" t="s">
        <v>75</v>
      </c>
      <c r="M173" s="41" t="s">
        <v>75</v>
      </c>
      <c r="N173" s="41" t="s">
        <v>75</v>
      </c>
      <c r="O173" s="41" t="s">
        <v>75</v>
      </c>
      <c r="P173" s="41" t="s">
        <v>75</v>
      </c>
      <c r="Q173" s="41" t="s">
        <v>75</v>
      </c>
      <c r="R173" s="41" t="s">
        <v>75</v>
      </c>
      <c r="S173" s="41" t="s">
        <v>75</v>
      </c>
      <c r="T173" s="41" t="s">
        <v>75</v>
      </c>
      <c r="U173" s="41" t="s">
        <v>75</v>
      </c>
      <c r="V173" s="41" t="s">
        <v>75</v>
      </c>
      <c r="W173" s="41" t="s">
        <v>75</v>
      </c>
      <c r="X173" s="41" t="s">
        <v>75</v>
      </c>
      <c r="Y173" s="41" t="s">
        <v>75</v>
      </c>
      <c r="Z173" s="41" t="s">
        <v>75</v>
      </c>
      <c r="AA173" s="41" t="s">
        <v>75</v>
      </c>
      <c r="AB173" s="41" t="s">
        <v>75</v>
      </c>
      <c r="AC173" s="41" t="s">
        <v>75</v>
      </c>
      <c r="AD173" s="41" t="s">
        <v>75</v>
      </c>
      <c r="AE173" s="41" t="s">
        <v>75</v>
      </c>
      <c r="AF173" s="41" t="s">
        <v>75</v>
      </c>
      <c r="AG173" s="41" t="s">
        <v>75</v>
      </c>
      <c r="AH173" s="41" t="s">
        <v>75</v>
      </c>
      <c r="AI173" s="41" t="s">
        <v>75</v>
      </c>
      <c r="AJ173" s="41" t="s">
        <v>75</v>
      </c>
      <c r="AK173" s="41" t="s">
        <v>75</v>
      </c>
      <c r="AL173" s="41" t="s">
        <v>75</v>
      </c>
      <c r="AM173" s="41" t="s">
        <v>75</v>
      </c>
      <c r="AN173" s="41" t="s">
        <v>75</v>
      </c>
      <c r="AO173" s="41" t="s">
        <v>75</v>
      </c>
      <c r="AP173" s="41" t="s">
        <v>75</v>
      </c>
      <c r="AQ173" s="41" t="s">
        <v>75</v>
      </c>
      <c r="AR173" s="41" t="s">
        <v>75</v>
      </c>
      <c r="AS173" s="41" t="s">
        <v>75</v>
      </c>
      <c r="AT173" s="41" t="s">
        <v>75</v>
      </c>
      <c r="AU173" s="42" t="str">
        <f>IF('GNI per capita'!AU173&lt;=Thresholds!$C$44,"L",IF('GNI per capita'!AU173&lt;=Thresholds!$D$44,"LM",IF('GNI per capita'!AU173&lt;=Thresholds!$E$44,"UM","H")))</f>
        <v>L</v>
      </c>
      <c r="AV173" s="42" t="str">
        <f>IF('GNI per capita'!AV173&lt;=Thresholds!$C$45,"L",IF('GNI per capita'!AV173&lt;=Thresholds!$D$45,"LM",IF('GNI per capita'!AV173&lt;=Thresholds!$E$45,"UM","H")))</f>
        <v>L</v>
      </c>
      <c r="AW173" s="42" t="str">
        <f>IF('GNI per capita'!AW173&lt;=Thresholds!$C$46,"L",IF('GNI per capita'!AW173&lt;=Thresholds!$D$46,"LM",IF('GNI per capita'!AW173&lt;=Thresholds!$E$46,"UM","H")))</f>
        <v>L</v>
      </c>
      <c r="AX173" s="42" t="str">
        <f>IF('GNI per capita'!AX173&lt;=Thresholds!$C$47,"L",IF('GNI per capita'!AX173&lt;=Thresholds!$D$47,"LM",IF('GNI per capita'!AX173&lt;=Thresholds!$E$47,"UM","H")))</f>
        <v>L</v>
      </c>
      <c r="AY173" s="42" t="str">
        <f>IF('GNI per capita'!AY173&lt;=Thresholds!$C$48,"L",IF('GNI per capita'!AY173&lt;=Thresholds!$D$48,"LM",IF('GNI per capita'!AY173&lt;=Thresholds!$E$48,"UM","H")))</f>
        <v>L</v>
      </c>
      <c r="AZ173" s="42" t="str">
        <f>IF('GNI per capita'!AZ173&lt;=Thresholds!$C$49,"L",IF('GNI per capita'!AZ173&lt;=Thresholds!$D$49,"LM",IF('GNI per capita'!AZ173&lt;=Thresholds!$E$49,"UM","H")))</f>
        <v>L</v>
      </c>
      <c r="BA173" s="42" t="str">
        <f>IF('GNI per capita'!BA173&lt;=Thresholds!$C$50,"L",IF('GNI per capita'!BA173&lt;=Thresholds!$D$50,"LM",IF('GNI per capita'!BA173&lt;=Thresholds!$E$50,"UM","H")))</f>
        <v>L</v>
      </c>
      <c r="BB173" s="42" t="str">
        <f>IF('GNI per capita'!BB173&lt;=Thresholds!$C$51,"L",IF('GNI per capita'!BB173&lt;=Thresholds!$D$51,"LM",IF('GNI per capita'!BB173&lt;=Thresholds!$E$51,"UM","H")))</f>
        <v>L</v>
      </c>
      <c r="BC173" s="42" t="str">
        <f>IF('GNI per capita'!BC173&lt;=Thresholds!$C$52,"L",IF('GNI per capita'!BC173&lt;=Thresholds!$D$52,"LM",IF('GNI per capita'!BC173&lt;=Thresholds!$E$52,"UM","H")))</f>
        <v>L</v>
      </c>
      <c r="BD173" s="42" t="str">
        <f>IF('GNI per capita'!BD173&lt;=Thresholds!$C$53,"L",IF('GNI per capita'!BD173&lt;=Thresholds!$D$53,"LM",IF('GNI per capita'!BD173&lt;=Thresholds!$E$53,"UM","H")))</f>
        <v>L</v>
      </c>
      <c r="BE173" s="42" t="str">
        <f>IF('GNI per capita'!BE173&lt;=Thresholds!$C$54,"L",IF('GNI per capita'!BE173&lt;=Thresholds!$D$54,"LM",IF('GNI per capita'!BE173&lt;=Thresholds!$E$54,"UM","H")))</f>
        <v>L</v>
      </c>
      <c r="BF173" s="42" t="str">
        <f>IF('GNI per capita'!BF173&lt;=Thresholds!$C$55,"L",IF('GNI per capita'!BF173&lt;=Thresholds!$D$55,"LM",IF('GNI per capita'!BF173&lt;=Thresholds!$E$55,"UM","H")))</f>
        <v>L</v>
      </c>
      <c r="BG173" s="42" t="str">
        <f>IF('GNI per capita'!BG173&lt;=Thresholds!$C$56,"L",IF('GNI per capita'!BG173&lt;=Thresholds!$D$56,"LM",IF('GNI per capita'!BG173&lt;=Thresholds!$E$56,"UM","H")))</f>
        <v>L</v>
      </c>
      <c r="BH173" s="42" t="str">
        <f>IF('GNI per capita'!BH173&lt;=Thresholds!$C$57,"L",IF('GNI per capita'!BH173&lt;=Thresholds!$D$57,"LM",IF('GNI per capita'!BH173&lt;=Thresholds!$E$57,"UM","H")))</f>
        <v>L</v>
      </c>
      <c r="BI173" s="42" t="str">
        <f>IF('GNI per capita'!BI173&lt;=Thresholds!$C$58,"L",IF('GNI per capita'!BI173&lt;=Thresholds!$D$58,"LM",IF('GNI per capita'!BI173&lt;=Thresholds!$E$58,"UM","H")))</f>
        <v>L</v>
      </c>
      <c r="BJ173" s="42" t="str">
        <f>IF('GNI per capita'!BJ173&lt;=Thresholds!$C$59,"L",IF('GNI per capita'!BJ173&lt;=Thresholds!$D$59,"LM",IF('GNI per capita'!BJ173&lt;=Thresholds!$E$59,"UM","H")))</f>
        <v>L</v>
      </c>
      <c r="BK173" s="42" t="str">
        <f>IF('GNI per capita'!BK173&lt;=Thresholds!$C$60,"L",IF('GNI per capita'!BK173&lt;=Thresholds!$D$60,"LM",IF('GNI per capita'!BK173&lt;=Thresholds!$E$60,"UM","H")))</f>
        <v>L</v>
      </c>
      <c r="BL173" s="42" t="str">
        <f>IF('GNI per capita'!BL173&lt;=Thresholds!$C$61,"L",IF('GNI per capita'!BL173&lt;=Thresholds!$D$61,"LM",IF('GNI per capita'!BL173&lt;=Thresholds!$E$61,"UM","H")))</f>
        <v>L</v>
      </c>
      <c r="BM173" s="42" t="str">
        <f>IF('GNI per capita'!BM173&lt;=Thresholds!$C$62,"L",IF('GNI per capita'!BM173&lt;=Thresholds!$D$62,"LM",IF('GNI per capita'!BM173&lt;=Thresholds!$E$62,"UM","H")))</f>
        <v>L</v>
      </c>
      <c r="BN173" s="42" t="str">
        <f>IF('GNI per capita'!BN173&lt;=Thresholds!$C$63,"L",IF('GNI per capita'!BN173&lt;=Thresholds!$D$63,"LM",IF('GNI per capita'!BN173&lt;=Thresholds!$E$63,"UM","H")))</f>
        <v>L</v>
      </c>
      <c r="BO173" s="42" t="str">
        <f>IF('GNI per capita'!BO173&lt;=Thresholds!$C$64,"L",IF('GNI per capita'!BO173&lt;=Thresholds!$D$64,"LM",IF('GNI per capita'!BO173&lt;=Thresholds!$E$64,"UM","H")))</f>
        <v>L</v>
      </c>
      <c r="BP173" s="42" t="str">
        <f>IF('GNI per capita'!BP173&lt;=Thresholds!$C$65,"L",IF('GNI per capita'!BP173&lt;=Thresholds!$D$65,"LM",IF('GNI per capita'!BP173&lt;=Thresholds!$E$65,"UM","H")))</f>
        <v>L</v>
      </c>
      <c r="BQ173" s="42" t="str">
        <f>IF('GNI per capita'!BQ173&lt;=Thresholds!$C$66,"L",IF('GNI per capita'!BQ173&lt;=Thresholds!$D$66,"LM",IF('GNI per capita'!BQ173&lt;=Thresholds!$E$66,"UM","H")))</f>
        <v>L</v>
      </c>
      <c r="BR173" s="42" t="str">
        <f>IF('GNI per capita'!BR173&lt;=Thresholds!$C$67,"L",IF('GNI per capita'!BR173&lt;=Thresholds!$D$67,"LM",IF('GNI per capita'!BR173&lt;=Thresholds!$E$67,"UM","H")))</f>
        <v>L</v>
      </c>
      <c r="BS173" s="42" t="str">
        <f>IF('GNI per capita'!BS173&lt;=Thresholds!$C$68,"L",IF('GNI per capita'!BS173&lt;=Thresholds!$D$68,"LM",IF('GNI per capita'!BS173&lt;=Thresholds!$E$68,"UM","H")))</f>
        <v>L</v>
      </c>
    </row>
    <row r="174" spans="1:71" x14ac:dyDescent="0.2">
      <c r="A174" s="2" t="s">
        <v>573</v>
      </c>
      <c r="B174" s="2" t="s">
        <v>574</v>
      </c>
      <c r="C174" s="11" t="s">
        <v>79</v>
      </c>
      <c r="G174" s="2" t="s">
        <v>162</v>
      </c>
      <c r="H174" s="41" t="s">
        <v>79</v>
      </c>
      <c r="I174" s="41" t="s">
        <v>79</v>
      </c>
      <c r="J174" s="41" t="s">
        <v>79</v>
      </c>
      <c r="K174" s="41" t="s">
        <v>79</v>
      </c>
      <c r="L174" s="41" t="s">
        <v>79</v>
      </c>
      <c r="M174" s="41" t="s">
        <v>79</v>
      </c>
      <c r="N174" s="41" t="s">
        <v>79</v>
      </c>
      <c r="O174" s="41" t="s">
        <v>79</v>
      </c>
      <c r="P174" s="41" t="s">
        <v>79</v>
      </c>
      <c r="Q174" s="41" t="s">
        <v>79</v>
      </c>
      <c r="R174" s="41" t="s">
        <v>79</v>
      </c>
      <c r="S174" s="41" t="s">
        <v>79</v>
      </c>
      <c r="T174" s="41" t="s">
        <v>79</v>
      </c>
      <c r="U174" s="41" t="s">
        <v>79</v>
      </c>
      <c r="V174" s="41" t="s">
        <v>79</v>
      </c>
      <c r="W174" s="41" t="s">
        <v>79</v>
      </c>
      <c r="X174" s="41" t="s">
        <v>79</v>
      </c>
      <c r="Y174" s="41" t="s">
        <v>79</v>
      </c>
      <c r="Z174" s="41" t="s">
        <v>79</v>
      </c>
      <c r="AA174" s="41" t="s">
        <v>79</v>
      </c>
      <c r="AB174" s="41" t="s">
        <v>79</v>
      </c>
      <c r="AC174" s="41" t="s">
        <v>79</v>
      </c>
      <c r="AD174" s="41" t="s">
        <v>79</v>
      </c>
      <c r="AE174" s="41" t="s">
        <v>79</v>
      </c>
      <c r="AF174" s="41" t="s">
        <v>79</v>
      </c>
      <c r="AG174" s="41" t="s">
        <v>79</v>
      </c>
      <c r="AH174" s="41" t="s">
        <v>79</v>
      </c>
      <c r="AI174" s="41" t="s">
        <v>79</v>
      </c>
      <c r="AJ174" s="41" t="s">
        <v>79</v>
      </c>
      <c r="AK174" s="41" t="s">
        <v>79</v>
      </c>
      <c r="AL174" s="41" t="s">
        <v>79</v>
      </c>
      <c r="AM174" s="41" t="s">
        <v>79</v>
      </c>
      <c r="AN174" s="41" t="s">
        <v>79</v>
      </c>
      <c r="AO174" s="41" t="s">
        <v>79</v>
      </c>
      <c r="AP174" s="41" t="s">
        <v>79</v>
      </c>
      <c r="AQ174" s="41" t="s">
        <v>79</v>
      </c>
      <c r="AR174" s="41" t="s">
        <v>79</v>
      </c>
      <c r="AS174" s="41" t="s">
        <v>79</v>
      </c>
      <c r="AT174" s="41" t="s">
        <v>79</v>
      </c>
      <c r="AU174" s="42" t="str">
        <f>IF('GNI per capita'!AU174&lt;=Thresholds!$C$44,"L",IF('GNI per capita'!AU174&lt;=Thresholds!$D$44,"LM",IF('GNI per capita'!AU174&lt;=Thresholds!$E$44,"UM","H")))</f>
        <v>H</v>
      </c>
      <c r="AV174" s="42" t="str">
        <f>IF('GNI per capita'!AV174&lt;=Thresholds!$C$45,"L",IF('GNI per capita'!AV174&lt;=Thresholds!$D$45,"LM",IF('GNI per capita'!AV174&lt;=Thresholds!$E$45,"UM","H")))</f>
        <v>H</v>
      </c>
      <c r="AW174" s="42" t="str">
        <f>IF('GNI per capita'!AW174&lt;=Thresholds!$C$46,"L",IF('GNI per capita'!AW174&lt;=Thresholds!$D$46,"LM",IF('GNI per capita'!AW174&lt;=Thresholds!$E$46,"UM","H")))</f>
        <v>H</v>
      </c>
      <c r="AX174" s="42" t="str">
        <f>IF('GNI per capita'!AX174&lt;=Thresholds!$C$47,"L",IF('GNI per capita'!AX174&lt;=Thresholds!$D$47,"LM",IF('GNI per capita'!AX174&lt;=Thresholds!$E$47,"UM","H")))</f>
        <v>H</v>
      </c>
      <c r="AY174" s="42" t="str">
        <f>IF('GNI per capita'!AY174&lt;=Thresholds!$C$48,"L",IF('GNI per capita'!AY174&lt;=Thresholds!$D$48,"LM",IF('GNI per capita'!AY174&lt;=Thresholds!$E$48,"UM","H")))</f>
        <v>H</v>
      </c>
      <c r="AZ174" s="42" t="str">
        <f>IF('GNI per capita'!AZ174&lt;=Thresholds!$C$49,"L",IF('GNI per capita'!AZ174&lt;=Thresholds!$D$49,"LM",IF('GNI per capita'!AZ174&lt;=Thresholds!$E$49,"UM","H")))</f>
        <v>H</v>
      </c>
      <c r="BA174" s="42" t="str">
        <f>IF('GNI per capita'!BA174&lt;=Thresholds!$C$50,"L",IF('GNI per capita'!BA174&lt;=Thresholds!$D$50,"LM",IF('GNI per capita'!BA174&lt;=Thresholds!$E$50,"UM","H")))</f>
        <v>H</v>
      </c>
      <c r="BB174" s="42" t="str">
        <f>IF('GNI per capita'!BB174&lt;=Thresholds!$C$51,"L",IF('GNI per capita'!BB174&lt;=Thresholds!$D$51,"LM",IF('GNI per capita'!BB174&lt;=Thresholds!$E$51,"UM","H")))</f>
        <v>H</v>
      </c>
      <c r="BC174" s="42" t="str">
        <f>IF('GNI per capita'!BC174&lt;=Thresholds!$C$52,"L",IF('GNI per capita'!BC174&lt;=Thresholds!$D$52,"LM",IF('GNI per capita'!BC174&lt;=Thresholds!$E$52,"UM","H")))</f>
        <v>H</v>
      </c>
      <c r="BD174" s="42" t="str">
        <f>IF('GNI per capita'!BD174&lt;=Thresholds!$C$53,"L",IF('GNI per capita'!BD174&lt;=Thresholds!$D$53,"LM",IF('GNI per capita'!BD174&lt;=Thresholds!$E$53,"UM","H")))</f>
        <v>H</v>
      </c>
      <c r="BE174" s="42" t="str">
        <f>IF('GNI per capita'!BE174&lt;=Thresholds!$C$54,"L",IF('GNI per capita'!BE174&lt;=Thresholds!$D$54,"LM",IF('GNI per capita'!BE174&lt;=Thresholds!$E$54,"UM","H")))</f>
        <v>H</v>
      </c>
      <c r="BF174" s="42" t="str">
        <f>IF('GNI per capita'!BF174&lt;=Thresholds!$C$55,"L",IF('GNI per capita'!BF174&lt;=Thresholds!$D$55,"LM",IF('GNI per capita'!BF174&lt;=Thresholds!$E$55,"UM","H")))</f>
        <v>H</v>
      </c>
      <c r="BG174" s="42" t="str">
        <f>IF('GNI per capita'!BG174&lt;=Thresholds!$C$56,"L",IF('GNI per capita'!BG174&lt;=Thresholds!$D$56,"LM",IF('GNI per capita'!BG174&lt;=Thresholds!$E$56,"UM","H")))</f>
        <v>H</v>
      </c>
      <c r="BH174" s="42" t="str">
        <f>IF('GNI per capita'!BH174&lt;=Thresholds!$C$57,"L",IF('GNI per capita'!BH174&lt;=Thresholds!$D$57,"LM",IF('GNI per capita'!BH174&lt;=Thresholds!$E$57,"UM","H")))</f>
        <v>H</v>
      </c>
      <c r="BI174" s="42" t="str">
        <f>IF('GNI per capita'!BI174&lt;=Thresholds!$C$58,"L",IF('GNI per capita'!BI174&lt;=Thresholds!$D$58,"LM",IF('GNI per capita'!BI174&lt;=Thresholds!$E$58,"UM","H")))</f>
        <v>H</v>
      </c>
      <c r="BJ174" s="42" t="str">
        <f>IF('GNI per capita'!BJ174&lt;=Thresholds!$C$59,"L",IF('GNI per capita'!BJ174&lt;=Thresholds!$D$59,"LM",IF('GNI per capita'!BJ174&lt;=Thresholds!$E$59,"UM","H")))</f>
        <v>H</v>
      </c>
      <c r="BK174" s="42" t="str">
        <f>IF('GNI per capita'!BK174&lt;=Thresholds!$C$60,"L",IF('GNI per capita'!BK174&lt;=Thresholds!$D$60,"LM",IF('GNI per capita'!BK174&lt;=Thresholds!$E$60,"UM","H")))</f>
        <v>H</v>
      </c>
      <c r="BL174" s="42" t="str">
        <f>IF('GNI per capita'!BL174&lt;=Thresholds!$C$61,"L",IF('GNI per capita'!BL174&lt;=Thresholds!$D$61,"LM",IF('GNI per capita'!BL174&lt;=Thresholds!$E$61,"UM","H")))</f>
        <v>H</v>
      </c>
      <c r="BM174" s="42" t="str">
        <f>IF('GNI per capita'!BM174&lt;=Thresholds!$C$62,"L",IF('GNI per capita'!BM174&lt;=Thresholds!$D$62,"LM",IF('GNI per capita'!BM174&lt;=Thresholds!$E$62,"UM","H")))</f>
        <v>H</v>
      </c>
      <c r="BN174" s="42" t="str">
        <f>IF('GNI per capita'!BN174&lt;=Thresholds!$C$63,"L",IF('GNI per capita'!BN174&lt;=Thresholds!$D$63,"LM",IF('GNI per capita'!BN174&lt;=Thresholds!$E$63,"UM","H")))</f>
        <v>H</v>
      </c>
      <c r="BO174" s="42" t="str">
        <f>IF('GNI per capita'!BO174&lt;=Thresholds!$C$64,"L",IF('GNI per capita'!BO174&lt;=Thresholds!$D$64,"LM",IF('GNI per capita'!BO174&lt;=Thresholds!$E$64,"UM","H")))</f>
        <v>H</v>
      </c>
      <c r="BP174" s="42" t="str">
        <f>IF('GNI per capita'!BP174&lt;=Thresholds!$C$65,"L",IF('GNI per capita'!BP174&lt;=Thresholds!$D$65,"LM",IF('GNI per capita'!BP174&lt;=Thresholds!$E$65,"UM","H")))</f>
        <v>H</v>
      </c>
      <c r="BQ174" s="42" t="str">
        <f>IF('GNI per capita'!BQ174&lt;=Thresholds!$C$66,"L",IF('GNI per capita'!BQ174&lt;=Thresholds!$D$66,"LM",IF('GNI per capita'!BQ174&lt;=Thresholds!$E$66,"UM","H")))</f>
        <v>H</v>
      </c>
      <c r="BR174" s="42" t="str">
        <f>IF('GNI per capita'!BR174&lt;=Thresholds!$C$67,"L",IF('GNI per capita'!BR174&lt;=Thresholds!$D$67,"LM",IF('GNI per capita'!BR174&lt;=Thresholds!$E$67,"UM","H")))</f>
        <v>H</v>
      </c>
      <c r="BS174" s="42" t="str">
        <f>IF('GNI per capita'!BS174&lt;=Thresholds!$C$68,"L",IF('GNI per capita'!BS174&lt;=Thresholds!$D$68,"LM",IF('GNI per capita'!BS174&lt;=Thresholds!$E$68,"UM","H")))</f>
        <v>H</v>
      </c>
    </row>
    <row r="175" spans="1:71" x14ac:dyDescent="0.2">
      <c r="A175" s="2" t="s">
        <v>575</v>
      </c>
      <c r="B175" s="2" t="s">
        <v>576</v>
      </c>
      <c r="C175" s="11" t="s">
        <v>79</v>
      </c>
      <c r="G175" s="2" t="s">
        <v>162</v>
      </c>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t="s">
        <v>79</v>
      </c>
      <c r="AF175" s="41" t="s">
        <v>79</v>
      </c>
      <c r="AG175" s="41" t="s">
        <v>79</v>
      </c>
      <c r="AH175" s="41" t="s">
        <v>79</v>
      </c>
      <c r="AI175" s="41" t="s">
        <v>79</v>
      </c>
      <c r="AJ175" s="41" t="s">
        <v>79</v>
      </c>
      <c r="AK175" s="41" t="s">
        <v>79</v>
      </c>
      <c r="AL175" s="41" t="s">
        <v>79</v>
      </c>
      <c r="AM175" s="41" t="s">
        <v>79</v>
      </c>
      <c r="AN175" s="41" t="s">
        <v>79</v>
      </c>
      <c r="AO175" s="41" t="s">
        <v>79</v>
      </c>
      <c r="AP175" s="41" t="s">
        <v>79</v>
      </c>
      <c r="AQ175" s="41" t="s">
        <v>79</v>
      </c>
      <c r="AR175" s="41" t="s">
        <v>79</v>
      </c>
      <c r="AS175" s="41" t="s">
        <v>79</v>
      </c>
      <c r="AT175" s="41" t="s">
        <v>79</v>
      </c>
      <c r="AU175" s="42" t="str">
        <f>IF('GNI per capita'!AU175&lt;=Thresholds!$C$44,"L",IF('GNI per capita'!AU175&lt;=Thresholds!$D$44,"LM",IF('GNI per capita'!AU175&lt;=Thresholds!$E$44,"UM","H")))</f>
        <v>H</v>
      </c>
      <c r="AV175" s="42" t="str">
        <f>IF('GNI per capita'!AV175&lt;=Thresholds!$C$45,"L",IF('GNI per capita'!AV175&lt;=Thresholds!$D$45,"LM",IF('GNI per capita'!AV175&lt;=Thresholds!$E$45,"UM","H")))</f>
        <v>H</v>
      </c>
      <c r="AW175" s="42" t="str">
        <f>IF('GNI per capita'!AW175&lt;=Thresholds!$C$46,"L",IF('GNI per capita'!AW175&lt;=Thresholds!$D$46,"LM",IF('GNI per capita'!AW175&lt;=Thresholds!$E$46,"UM","H")))</f>
        <v>H</v>
      </c>
      <c r="AX175" s="42" t="str">
        <f>IF('GNI per capita'!AX175&lt;=Thresholds!$C$47,"L",IF('GNI per capita'!AX175&lt;=Thresholds!$D$47,"LM",IF('GNI per capita'!AX175&lt;=Thresholds!$E$47,"UM","H")))</f>
        <v>H</v>
      </c>
      <c r="AY175" s="42" t="str">
        <f>IF('GNI per capita'!AY175&lt;=Thresholds!$C$48,"L",IF('GNI per capita'!AY175&lt;=Thresholds!$D$48,"LM",IF('GNI per capita'!AY175&lt;=Thresholds!$E$48,"UM","H")))</f>
        <v>H</v>
      </c>
      <c r="AZ175" s="42" t="str">
        <f>IF('GNI per capita'!AZ175&lt;=Thresholds!$C$49,"L",IF('GNI per capita'!AZ175&lt;=Thresholds!$D$49,"LM",IF('GNI per capita'!AZ175&lt;=Thresholds!$E$49,"UM","H")))</f>
        <v>H</v>
      </c>
      <c r="BA175" s="42" t="str">
        <f>IF('GNI per capita'!BA175&lt;=Thresholds!$C$50,"L",IF('GNI per capita'!BA175&lt;=Thresholds!$D$50,"LM",IF('GNI per capita'!BA175&lt;=Thresholds!$E$50,"UM","H")))</f>
        <v>H</v>
      </c>
      <c r="BB175" s="42" t="str">
        <f>IF('GNI per capita'!BB175&lt;=Thresholds!$C$51,"L",IF('GNI per capita'!BB175&lt;=Thresholds!$D$51,"LM",IF('GNI per capita'!BB175&lt;=Thresholds!$E$51,"UM","H")))</f>
        <v>H</v>
      </c>
      <c r="BC175" s="42" t="str">
        <f>IF('GNI per capita'!BC175&lt;=Thresholds!$C$52,"L",IF('GNI per capita'!BC175&lt;=Thresholds!$D$52,"LM",IF('GNI per capita'!BC175&lt;=Thresholds!$E$52,"UM","H")))</f>
        <v>H</v>
      </c>
      <c r="BD175" s="42" t="str">
        <f>IF('GNI per capita'!BD175&lt;=Thresholds!$C$53,"L",IF('GNI per capita'!BD175&lt;=Thresholds!$D$53,"LM",IF('GNI per capita'!BD175&lt;=Thresholds!$E$53,"UM","H")))</f>
        <v>H</v>
      </c>
      <c r="BE175" s="42" t="str">
        <f>IF('GNI per capita'!BE175&lt;=Thresholds!$C$54,"L",IF('GNI per capita'!BE175&lt;=Thresholds!$D$54,"LM",IF('GNI per capita'!BE175&lt;=Thresholds!$E$54,"UM","H")))</f>
        <v>H</v>
      </c>
      <c r="BF175" s="42" t="str">
        <f>IF('GNI per capita'!BF175&lt;=Thresholds!$C$55,"L",IF('GNI per capita'!BF175&lt;=Thresholds!$D$55,"LM",IF('GNI per capita'!BF175&lt;=Thresholds!$E$55,"UM","H")))</f>
        <v>H</v>
      </c>
      <c r="BG175" s="42" t="str">
        <f>IF('GNI per capita'!BG175&lt;=Thresholds!$C$56,"L",IF('GNI per capita'!BG175&lt;=Thresholds!$D$56,"LM",IF('GNI per capita'!BG175&lt;=Thresholds!$E$56,"UM","H")))</f>
        <v>H</v>
      </c>
      <c r="BH175" s="42" t="str">
        <f>IF('GNI per capita'!BH175&lt;=Thresholds!$C$57,"L",IF('GNI per capita'!BH175&lt;=Thresholds!$D$57,"LM",IF('GNI per capita'!BH175&lt;=Thresholds!$E$57,"UM","H")))</f>
        <v>H</v>
      </c>
      <c r="BI175" s="42" t="str">
        <f>IF('GNI per capita'!BI175&lt;=Thresholds!$C$58,"L",IF('GNI per capita'!BI175&lt;=Thresholds!$D$58,"LM",IF('GNI per capita'!BI175&lt;=Thresholds!$E$58,"UM","H")))</f>
        <v>H</v>
      </c>
      <c r="BJ175" s="42" t="str">
        <f>IF('GNI per capita'!BJ175&lt;=Thresholds!$C$59,"L",IF('GNI per capita'!BJ175&lt;=Thresholds!$D$59,"LM",IF('GNI per capita'!BJ175&lt;=Thresholds!$E$59,"UM","H")))</f>
        <v>H</v>
      </c>
      <c r="BK175" s="42" t="str">
        <f>IF('GNI per capita'!BK175&lt;=Thresholds!$C$60,"L",IF('GNI per capita'!BK175&lt;=Thresholds!$D$60,"LM",IF('GNI per capita'!BK175&lt;=Thresholds!$E$60,"UM","H")))</f>
        <v>H</v>
      </c>
      <c r="BL175" s="42" t="str">
        <f>IF('GNI per capita'!BL175&lt;=Thresholds!$C$61,"L",IF('GNI per capita'!BL175&lt;=Thresholds!$D$61,"LM",IF('GNI per capita'!BL175&lt;=Thresholds!$E$61,"UM","H")))</f>
        <v>H</v>
      </c>
      <c r="BM175" s="42" t="str">
        <f>IF('GNI per capita'!BM175&lt;=Thresholds!$C$62,"L",IF('GNI per capita'!BM175&lt;=Thresholds!$D$62,"LM",IF('GNI per capita'!BM175&lt;=Thresholds!$E$62,"UM","H")))</f>
        <v>H</v>
      </c>
      <c r="BN175" s="42" t="str">
        <f>IF('GNI per capita'!BN175&lt;=Thresholds!$C$63,"L",IF('GNI per capita'!BN175&lt;=Thresholds!$D$63,"LM",IF('GNI per capita'!BN175&lt;=Thresholds!$E$63,"UM","H")))</f>
        <v>H</v>
      </c>
      <c r="BO175" s="42" t="str">
        <f>IF('GNI per capita'!BO175&lt;=Thresholds!$C$64,"L",IF('GNI per capita'!BO175&lt;=Thresholds!$D$64,"LM",IF('GNI per capita'!BO175&lt;=Thresholds!$E$64,"UM","H")))</f>
        <v>H</v>
      </c>
      <c r="BP175" s="42" t="str">
        <f>IF('GNI per capita'!BP175&lt;=Thresholds!$C$65,"L",IF('GNI per capita'!BP175&lt;=Thresholds!$D$65,"LM",IF('GNI per capita'!BP175&lt;=Thresholds!$E$65,"UM","H")))</f>
        <v>H</v>
      </c>
      <c r="BQ175" s="42" t="str">
        <f>IF('GNI per capita'!BQ175&lt;=Thresholds!$C$66,"L",IF('GNI per capita'!BQ175&lt;=Thresholds!$D$66,"LM",IF('GNI per capita'!BQ175&lt;=Thresholds!$E$66,"UM","H")))</f>
        <v>H</v>
      </c>
      <c r="BR175" s="42" t="str">
        <f>IF('GNI per capita'!BR175&lt;=Thresholds!$C$67,"L",IF('GNI per capita'!BR175&lt;=Thresholds!$D$67,"LM",IF('GNI per capita'!BR175&lt;=Thresholds!$E$67,"UM","H")))</f>
        <v>H</v>
      </c>
      <c r="BS175" s="42" t="str">
        <f>IF('GNI per capita'!BS175&lt;=Thresholds!$C$68,"L",IF('GNI per capita'!BS175&lt;=Thresholds!$D$68,"LM",IF('GNI per capita'!BS175&lt;=Thresholds!$E$68,"UM","H")))</f>
        <v>H</v>
      </c>
    </row>
    <row r="176" spans="1:71" x14ac:dyDescent="0.2">
      <c r="A176" s="2" t="s">
        <v>577</v>
      </c>
      <c r="B176" s="2" t="s">
        <v>578</v>
      </c>
      <c r="C176" s="11" t="s">
        <v>79</v>
      </c>
      <c r="G176" s="2" t="s">
        <v>162</v>
      </c>
      <c r="H176" s="41"/>
      <c r="I176" s="41"/>
      <c r="J176" s="41"/>
      <c r="K176" s="41"/>
      <c r="L176" s="41"/>
      <c r="M176" s="41" t="s">
        <v>210</v>
      </c>
      <c r="N176" s="41" t="s">
        <v>210</v>
      </c>
      <c r="O176" s="41" t="s">
        <v>210</v>
      </c>
      <c r="P176" s="41" t="s">
        <v>210</v>
      </c>
      <c r="Q176" s="41" t="s">
        <v>82</v>
      </c>
      <c r="R176" s="41" t="s">
        <v>82</v>
      </c>
      <c r="S176" s="41" t="s">
        <v>82</v>
      </c>
      <c r="T176" s="41" t="s">
        <v>82</v>
      </c>
      <c r="U176" s="41" t="s">
        <v>82</v>
      </c>
      <c r="V176" s="41" t="s">
        <v>82</v>
      </c>
      <c r="W176" s="41" t="s">
        <v>82</v>
      </c>
      <c r="X176" s="41" t="s">
        <v>82</v>
      </c>
      <c r="Y176" s="41" t="s">
        <v>82</v>
      </c>
      <c r="Z176" s="41" t="s">
        <v>82</v>
      </c>
      <c r="AA176" s="41" t="s">
        <v>82</v>
      </c>
      <c r="AB176" s="41" t="s">
        <v>79</v>
      </c>
      <c r="AC176" s="41" t="s">
        <v>79</v>
      </c>
      <c r="AD176" s="41" t="s">
        <v>79</v>
      </c>
      <c r="AE176" s="41" t="s">
        <v>79</v>
      </c>
      <c r="AF176" s="41" t="s">
        <v>79</v>
      </c>
      <c r="AG176" s="41" t="s">
        <v>79</v>
      </c>
      <c r="AH176" s="41" t="s">
        <v>79</v>
      </c>
      <c r="AI176" s="41" t="s">
        <v>79</v>
      </c>
      <c r="AJ176" s="41" t="s">
        <v>79</v>
      </c>
      <c r="AK176" s="41" t="s">
        <v>79</v>
      </c>
      <c r="AL176" s="41" t="s">
        <v>79</v>
      </c>
      <c r="AM176" s="41" t="s">
        <v>79</v>
      </c>
      <c r="AN176" s="41" t="s">
        <v>79</v>
      </c>
      <c r="AO176" s="41" t="s">
        <v>79</v>
      </c>
      <c r="AP176" s="41" t="s">
        <v>79</v>
      </c>
      <c r="AQ176" s="41" t="s">
        <v>79</v>
      </c>
      <c r="AR176" s="41" t="s">
        <v>79</v>
      </c>
      <c r="AS176" s="41" t="s">
        <v>79</v>
      </c>
      <c r="AT176" s="41" t="s">
        <v>79</v>
      </c>
      <c r="AU176" s="42" t="str">
        <f>IF('GNI per capita'!AU176&lt;=Thresholds!$C$44,"L",IF('GNI per capita'!AU176&lt;=Thresholds!$D$44,"LM",IF('GNI per capita'!AU176&lt;=Thresholds!$E$44,"UM","H")))</f>
        <v>H</v>
      </c>
      <c r="AV176" s="42" t="str">
        <f>IF('GNI per capita'!AV176&lt;=Thresholds!$C$45,"L",IF('GNI per capita'!AV176&lt;=Thresholds!$D$45,"LM",IF('GNI per capita'!AV176&lt;=Thresholds!$E$45,"UM","H")))</f>
        <v>H</v>
      </c>
      <c r="AW176" s="42" t="str">
        <f>IF('GNI per capita'!AW176&lt;=Thresholds!$C$46,"L",IF('GNI per capita'!AW176&lt;=Thresholds!$D$46,"LM",IF('GNI per capita'!AW176&lt;=Thresholds!$E$46,"UM","H")))</f>
        <v>H</v>
      </c>
      <c r="AX176" s="42" t="str">
        <f>IF('GNI per capita'!AX176&lt;=Thresholds!$C$47,"L",IF('GNI per capita'!AX176&lt;=Thresholds!$D$47,"LM",IF('GNI per capita'!AX176&lt;=Thresholds!$E$47,"UM","H")))</f>
        <v>H</v>
      </c>
      <c r="AY176" s="42" t="str">
        <f>IF('GNI per capita'!AY176&lt;=Thresholds!$C$48,"L",IF('GNI per capita'!AY176&lt;=Thresholds!$D$48,"LM",IF('GNI per capita'!AY176&lt;=Thresholds!$E$48,"UM","H")))</f>
        <v>H</v>
      </c>
      <c r="AZ176" s="42" t="str">
        <f>IF('GNI per capita'!AZ176&lt;=Thresholds!$C$49,"L",IF('GNI per capita'!AZ176&lt;=Thresholds!$D$49,"LM",IF('GNI per capita'!AZ176&lt;=Thresholds!$E$49,"UM","H")))</f>
        <v>H</v>
      </c>
      <c r="BA176" s="42" t="str">
        <f>IF('GNI per capita'!BA176&lt;=Thresholds!$C$50,"L",IF('GNI per capita'!BA176&lt;=Thresholds!$D$50,"LM",IF('GNI per capita'!BA176&lt;=Thresholds!$E$50,"UM","H")))</f>
        <v>H</v>
      </c>
      <c r="BB176" s="42" t="str">
        <f>IF('GNI per capita'!BB176&lt;=Thresholds!$C$51,"L",IF('GNI per capita'!BB176&lt;=Thresholds!$D$51,"LM",IF('GNI per capita'!BB176&lt;=Thresholds!$E$51,"UM","H")))</f>
        <v>H</v>
      </c>
      <c r="BC176" s="42" t="str">
        <f>IF('GNI per capita'!BC176&lt;=Thresholds!$C$52,"L",IF('GNI per capita'!BC176&lt;=Thresholds!$D$52,"LM",IF('GNI per capita'!BC176&lt;=Thresholds!$E$52,"UM","H")))</f>
        <v>H</v>
      </c>
      <c r="BD176" s="42" t="str">
        <f>IF('GNI per capita'!BD176&lt;=Thresholds!$C$53,"L",IF('GNI per capita'!BD176&lt;=Thresholds!$D$53,"LM",IF('GNI per capita'!BD176&lt;=Thresholds!$E$53,"UM","H")))</f>
        <v>H</v>
      </c>
      <c r="BE176" s="42" t="str">
        <f>IF('GNI per capita'!BE176&lt;=Thresholds!$C$54,"L",IF('GNI per capita'!BE176&lt;=Thresholds!$D$54,"LM",IF('GNI per capita'!BE176&lt;=Thresholds!$E$54,"UM","H")))</f>
        <v>H</v>
      </c>
      <c r="BF176" s="42" t="str">
        <f>IF('GNI per capita'!BF176&lt;=Thresholds!$C$55,"L",IF('GNI per capita'!BF176&lt;=Thresholds!$D$55,"LM",IF('GNI per capita'!BF176&lt;=Thresholds!$E$55,"UM","H")))</f>
        <v>H</v>
      </c>
      <c r="BG176" s="42" t="str">
        <f>IF('GNI per capita'!BG176&lt;=Thresholds!$C$56,"L",IF('GNI per capita'!BG176&lt;=Thresholds!$D$56,"LM",IF('GNI per capita'!BG176&lt;=Thresholds!$E$56,"UM","H")))</f>
        <v>H</v>
      </c>
      <c r="BH176" s="42" t="str">
        <f>IF('GNI per capita'!BH176&lt;=Thresholds!$C$57,"L",IF('GNI per capita'!BH176&lt;=Thresholds!$D$57,"LM",IF('GNI per capita'!BH176&lt;=Thresholds!$E$57,"UM","H")))</f>
        <v>H</v>
      </c>
      <c r="BI176" s="42" t="str">
        <f>IF('GNI per capita'!BI176&lt;=Thresholds!$C$58,"L",IF('GNI per capita'!BI176&lt;=Thresholds!$D$58,"LM",IF('GNI per capita'!BI176&lt;=Thresholds!$E$58,"UM","H")))</f>
        <v>H</v>
      </c>
      <c r="BJ176" s="42" t="str">
        <f>IF('GNI per capita'!BJ176&lt;=Thresholds!$C$59,"L",IF('GNI per capita'!BJ176&lt;=Thresholds!$D$59,"LM",IF('GNI per capita'!BJ176&lt;=Thresholds!$E$59,"UM","H")))</f>
        <v>H</v>
      </c>
      <c r="BK176" s="42" t="str">
        <f>IF('GNI per capita'!BK176&lt;=Thresholds!$C$60,"L",IF('GNI per capita'!BK176&lt;=Thresholds!$D$60,"LM",IF('GNI per capita'!BK176&lt;=Thresholds!$E$60,"UM","H")))</f>
        <v>H</v>
      </c>
      <c r="BL176" s="42" t="str">
        <f>IF('GNI per capita'!BL176&lt;=Thresholds!$C$61,"L",IF('GNI per capita'!BL176&lt;=Thresholds!$D$61,"LM",IF('GNI per capita'!BL176&lt;=Thresholds!$E$61,"UM","H")))</f>
        <v>H</v>
      </c>
      <c r="BM176" s="42" t="str">
        <f>IF('GNI per capita'!BM176&lt;=Thresholds!$C$62,"L",IF('GNI per capita'!BM176&lt;=Thresholds!$D$62,"LM",IF('GNI per capita'!BM176&lt;=Thresholds!$E$62,"UM","H")))</f>
        <v>H</v>
      </c>
      <c r="BN176" s="42" t="str">
        <f>IF('GNI per capita'!BN176&lt;=Thresholds!$C$63,"L",IF('GNI per capita'!BN176&lt;=Thresholds!$D$63,"LM",IF('GNI per capita'!BN176&lt;=Thresholds!$E$63,"UM","H")))</f>
        <v>H</v>
      </c>
      <c r="BO176" s="42" t="str">
        <f>IF('GNI per capita'!BO176&lt;=Thresholds!$C$64,"L",IF('GNI per capita'!BO176&lt;=Thresholds!$D$64,"LM",IF('GNI per capita'!BO176&lt;=Thresholds!$E$64,"UM","H")))</f>
        <v>H</v>
      </c>
      <c r="BP176" s="42" t="str">
        <f>IF('GNI per capita'!BP176&lt;=Thresholds!$C$65,"L",IF('GNI per capita'!BP176&lt;=Thresholds!$D$65,"LM",IF('GNI per capita'!BP176&lt;=Thresholds!$E$65,"UM","H")))</f>
        <v>H</v>
      </c>
      <c r="BQ176" s="42" t="str">
        <f>IF('GNI per capita'!BQ176&lt;=Thresholds!$C$66,"L",IF('GNI per capita'!BQ176&lt;=Thresholds!$D$66,"LM",IF('GNI per capita'!BQ176&lt;=Thresholds!$E$66,"UM","H")))</f>
        <v>H</v>
      </c>
      <c r="BR176" s="42" t="str">
        <f>IF('GNI per capita'!BR176&lt;=Thresholds!$C$67,"L",IF('GNI per capita'!BR176&lt;=Thresholds!$D$67,"LM",IF('GNI per capita'!BR176&lt;=Thresholds!$E$67,"UM","H")))</f>
        <v>H</v>
      </c>
      <c r="BS176" s="42" t="str">
        <f>IF('GNI per capita'!BS176&lt;=Thresholds!$C$68,"L",IF('GNI per capita'!BS176&lt;=Thresholds!$D$68,"LM",IF('GNI per capita'!BS176&lt;=Thresholds!$E$68,"UM","H")))</f>
        <v>H</v>
      </c>
    </row>
    <row r="177" spans="1:71" x14ac:dyDescent="0.2">
      <c r="A177" s="2" t="s">
        <v>579</v>
      </c>
      <c r="B177" s="2" t="s">
        <v>580</v>
      </c>
      <c r="C177" s="11" t="s">
        <v>79</v>
      </c>
      <c r="G177" s="2" t="s">
        <v>162</v>
      </c>
      <c r="H177" s="41"/>
      <c r="I177" s="41"/>
      <c r="J177" s="41"/>
      <c r="K177" s="41"/>
      <c r="L177" s="41"/>
      <c r="M177" s="41" t="s">
        <v>82</v>
      </c>
      <c r="N177" s="41" t="s">
        <v>82</v>
      </c>
      <c r="O177" s="41" t="s">
        <v>82</v>
      </c>
      <c r="P177" s="41" t="s">
        <v>82</v>
      </c>
      <c r="Q177" s="41" t="s">
        <v>82</v>
      </c>
      <c r="R177" s="41" t="s">
        <v>79</v>
      </c>
      <c r="S177" s="41" t="s">
        <v>79</v>
      </c>
      <c r="T177" s="41" t="s">
        <v>79</v>
      </c>
      <c r="U177" s="41" t="s">
        <v>79</v>
      </c>
      <c r="V177" s="41" t="s">
        <v>79</v>
      </c>
      <c r="W177" s="41" t="s">
        <v>79</v>
      </c>
      <c r="X177" s="41" t="s">
        <v>79</v>
      </c>
      <c r="Y177" s="41" t="s">
        <v>79</v>
      </c>
      <c r="Z177" s="41" t="s">
        <v>79</v>
      </c>
      <c r="AA177" s="41" t="s">
        <v>79</v>
      </c>
      <c r="AB177" s="41" t="s">
        <v>79</v>
      </c>
      <c r="AC177" s="41" t="s">
        <v>79</v>
      </c>
      <c r="AD177" s="41" t="s">
        <v>79</v>
      </c>
      <c r="AE177" s="41" t="s">
        <v>79</v>
      </c>
      <c r="AF177" s="41" t="s">
        <v>79</v>
      </c>
      <c r="AG177" s="41" t="s">
        <v>79</v>
      </c>
      <c r="AH177" s="41" t="s">
        <v>79</v>
      </c>
      <c r="AI177" s="41" t="s">
        <v>79</v>
      </c>
      <c r="AJ177" s="41" t="s">
        <v>79</v>
      </c>
      <c r="AK177" s="41" t="s">
        <v>79</v>
      </c>
      <c r="AL177" s="41" t="s">
        <v>79</v>
      </c>
      <c r="AM177" s="41" t="s">
        <v>79</v>
      </c>
      <c r="AN177" s="41" t="s">
        <v>79</v>
      </c>
      <c r="AO177" s="41" t="s">
        <v>79</v>
      </c>
      <c r="AP177" s="41" t="s">
        <v>79</v>
      </c>
      <c r="AQ177" s="41" t="s">
        <v>79</v>
      </c>
      <c r="AR177" s="41" t="s">
        <v>79</v>
      </c>
      <c r="AS177" s="41" t="s">
        <v>79</v>
      </c>
      <c r="AT177" s="41" t="s">
        <v>79</v>
      </c>
      <c r="AU177" s="42" t="str">
        <f>IF('GNI per capita'!AU177&lt;=Thresholds!$C$44,"L",IF('GNI per capita'!AU177&lt;=Thresholds!$D$44,"LM",IF('GNI per capita'!AU177&lt;=Thresholds!$E$44,"UM","H")))</f>
        <v>H</v>
      </c>
      <c r="AV177" s="42" t="str">
        <f>IF('GNI per capita'!AV177&lt;=Thresholds!$C$45,"L",IF('GNI per capita'!AV177&lt;=Thresholds!$D$45,"LM",IF('GNI per capita'!AV177&lt;=Thresholds!$E$45,"UM","H")))</f>
        <v>H</v>
      </c>
      <c r="AW177" s="42" t="str">
        <f>IF('GNI per capita'!AW177&lt;=Thresholds!$C$46,"L",IF('GNI per capita'!AW177&lt;=Thresholds!$D$46,"LM",IF('GNI per capita'!AW177&lt;=Thresholds!$E$46,"UM","H")))</f>
        <v>H</v>
      </c>
      <c r="AX177" s="42" t="str">
        <f>IF('GNI per capita'!AX177&lt;=Thresholds!$C$47,"L",IF('GNI per capita'!AX177&lt;=Thresholds!$D$47,"LM",IF('GNI per capita'!AX177&lt;=Thresholds!$E$47,"UM","H")))</f>
        <v>H</v>
      </c>
      <c r="AY177" s="42" t="str">
        <f>IF('GNI per capita'!AY177&lt;=Thresholds!$C$48,"L",IF('GNI per capita'!AY177&lt;=Thresholds!$D$48,"LM",IF('GNI per capita'!AY177&lt;=Thresholds!$E$48,"UM","H")))</f>
        <v>H</v>
      </c>
      <c r="AZ177" s="42" t="str">
        <f>IF('GNI per capita'!AZ177&lt;=Thresholds!$C$49,"L",IF('GNI per capita'!AZ177&lt;=Thresholds!$D$49,"LM",IF('GNI per capita'!AZ177&lt;=Thresholds!$E$49,"UM","H")))</f>
        <v>H</v>
      </c>
      <c r="BA177" s="42" t="str">
        <f>IF('GNI per capita'!BA177&lt;=Thresholds!$C$50,"L",IF('GNI per capita'!BA177&lt;=Thresholds!$D$50,"LM",IF('GNI per capita'!BA177&lt;=Thresholds!$E$50,"UM","H")))</f>
        <v>H</v>
      </c>
      <c r="BB177" s="42" t="str">
        <f>IF('GNI per capita'!BB177&lt;=Thresholds!$C$51,"L",IF('GNI per capita'!BB177&lt;=Thresholds!$D$51,"LM",IF('GNI per capita'!BB177&lt;=Thresholds!$E$51,"UM","H")))</f>
        <v>H</v>
      </c>
      <c r="BC177" s="42" t="str">
        <f>IF('GNI per capita'!BC177&lt;=Thresholds!$C$52,"L",IF('GNI per capita'!BC177&lt;=Thresholds!$D$52,"LM",IF('GNI per capita'!BC177&lt;=Thresholds!$E$52,"UM","H")))</f>
        <v>H</v>
      </c>
      <c r="BD177" s="42" t="str">
        <f>IF('GNI per capita'!BD177&lt;=Thresholds!$C$53,"L",IF('GNI per capita'!BD177&lt;=Thresholds!$D$53,"LM",IF('GNI per capita'!BD177&lt;=Thresholds!$E$53,"UM","H")))</f>
        <v>H</v>
      </c>
      <c r="BE177" s="42" t="str">
        <f>IF('GNI per capita'!BE177&lt;=Thresholds!$C$54,"L",IF('GNI per capita'!BE177&lt;=Thresholds!$D$54,"LM",IF('GNI per capita'!BE177&lt;=Thresholds!$E$54,"UM","H")))</f>
        <v>H</v>
      </c>
      <c r="BF177" s="42" t="str">
        <f>IF('GNI per capita'!BF177&lt;=Thresholds!$C$55,"L",IF('GNI per capita'!BF177&lt;=Thresholds!$D$55,"LM",IF('GNI per capita'!BF177&lt;=Thresholds!$E$55,"UM","H")))</f>
        <v>H</v>
      </c>
      <c r="BG177" s="42" t="str">
        <f>IF('GNI per capita'!BG177&lt;=Thresholds!$C$56,"L",IF('GNI per capita'!BG177&lt;=Thresholds!$D$56,"LM",IF('GNI per capita'!BG177&lt;=Thresholds!$E$56,"UM","H")))</f>
        <v>H</v>
      </c>
      <c r="BH177" s="42" t="str">
        <f>IF('GNI per capita'!BH177&lt;=Thresholds!$C$57,"L",IF('GNI per capita'!BH177&lt;=Thresholds!$D$57,"LM",IF('GNI per capita'!BH177&lt;=Thresholds!$E$57,"UM","H")))</f>
        <v>H</v>
      </c>
      <c r="BI177" s="42" t="str">
        <f>IF('GNI per capita'!BI177&lt;=Thresholds!$C$58,"L",IF('GNI per capita'!BI177&lt;=Thresholds!$D$58,"LM",IF('GNI per capita'!BI177&lt;=Thresholds!$E$58,"UM","H")))</f>
        <v>H</v>
      </c>
      <c r="BJ177" s="42" t="str">
        <f>IF('GNI per capita'!BJ177&lt;=Thresholds!$C$59,"L",IF('GNI per capita'!BJ177&lt;=Thresholds!$D$59,"LM",IF('GNI per capita'!BJ177&lt;=Thresholds!$E$59,"UM","H")))</f>
        <v>H</v>
      </c>
      <c r="BK177" s="42" t="str">
        <f>IF('GNI per capita'!BK177&lt;=Thresholds!$C$60,"L",IF('GNI per capita'!BK177&lt;=Thresholds!$D$60,"LM",IF('GNI per capita'!BK177&lt;=Thresholds!$E$60,"UM","H")))</f>
        <v>H</v>
      </c>
      <c r="BL177" s="42" t="str">
        <f>IF('GNI per capita'!BL177&lt;=Thresholds!$C$61,"L",IF('GNI per capita'!BL177&lt;=Thresholds!$D$61,"LM",IF('GNI per capita'!BL177&lt;=Thresholds!$E$61,"UM","H")))</f>
        <v>H</v>
      </c>
      <c r="BM177" s="42" t="str">
        <f>IF('GNI per capita'!BM177&lt;=Thresholds!$C$62,"L",IF('GNI per capita'!BM177&lt;=Thresholds!$D$62,"LM",IF('GNI per capita'!BM177&lt;=Thresholds!$E$62,"UM","H")))</f>
        <v>H</v>
      </c>
      <c r="BN177" s="42" t="str">
        <f>IF('GNI per capita'!BN177&lt;=Thresholds!$C$63,"L",IF('GNI per capita'!BN177&lt;=Thresholds!$D$63,"LM",IF('GNI per capita'!BN177&lt;=Thresholds!$E$63,"UM","H")))</f>
        <v>H</v>
      </c>
      <c r="BO177" s="42" t="str">
        <f>IF('GNI per capita'!BO177&lt;=Thresholds!$C$64,"L",IF('GNI per capita'!BO177&lt;=Thresholds!$D$64,"LM",IF('GNI per capita'!BO177&lt;=Thresholds!$E$64,"UM","H")))</f>
        <v>H</v>
      </c>
      <c r="BP177" s="42" t="str">
        <f>IF('GNI per capita'!BP177&lt;=Thresholds!$C$65,"L",IF('GNI per capita'!BP177&lt;=Thresholds!$D$65,"LM",IF('GNI per capita'!BP177&lt;=Thresholds!$E$65,"UM","H")))</f>
        <v>H</v>
      </c>
      <c r="BQ177" s="42" t="str">
        <f>IF('GNI per capita'!BQ177&lt;=Thresholds!$C$66,"L",IF('GNI per capita'!BQ177&lt;=Thresholds!$D$66,"LM",IF('GNI per capita'!BQ177&lt;=Thresholds!$E$66,"UM","H")))</f>
        <v>H</v>
      </c>
      <c r="BR177" s="42" t="str">
        <f>IF('GNI per capita'!BR177&lt;=Thresholds!$C$67,"L",IF('GNI per capita'!BR177&lt;=Thresholds!$D$67,"LM",IF('GNI per capita'!BR177&lt;=Thresholds!$E$67,"UM","H")))</f>
        <v>H</v>
      </c>
      <c r="BS177" s="42" t="str">
        <f>IF('GNI per capita'!BS177&lt;=Thresholds!$C$68,"L",IF('GNI per capita'!BS177&lt;=Thresholds!$D$68,"LM",IF('GNI per capita'!BS177&lt;=Thresholds!$E$68,"UM","H")))</f>
        <v>H</v>
      </c>
    </row>
    <row r="178" spans="1:71" x14ac:dyDescent="0.2">
      <c r="A178" s="2" t="s">
        <v>581</v>
      </c>
      <c r="B178" s="2" t="s">
        <v>582</v>
      </c>
      <c r="C178" s="11" t="s">
        <v>210</v>
      </c>
      <c r="G178" s="2" t="s">
        <v>583</v>
      </c>
      <c r="H178" s="41" t="s">
        <v>75</v>
      </c>
      <c r="I178" s="41" t="s">
        <v>210</v>
      </c>
      <c r="J178" s="41" t="s">
        <v>75</v>
      </c>
      <c r="K178" s="41" t="s">
        <v>75</v>
      </c>
      <c r="L178" s="41" t="s">
        <v>75</v>
      </c>
      <c r="M178" s="41" t="s">
        <v>210</v>
      </c>
      <c r="N178" s="41" t="s">
        <v>210</v>
      </c>
      <c r="O178" s="41" t="s">
        <v>210</v>
      </c>
      <c r="P178" s="41" t="s">
        <v>210</v>
      </c>
      <c r="Q178" s="41" t="s">
        <v>210</v>
      </c>
      <c r="R178" s="41" t="s">
        <v>210</v>
      </c>
      <c r="S178" s="41" t="s">
        <v>75</v>
      </c>
      <c r="T178" s="41" t="s">
        <v>75</v>
      </c>
      <c r="U178" s="41" t="s">
        <v>75</v>
      </c>
      <c r="V178" s="41" t="s">
        <v>75</v>
      </c>
      <c r="W178" s="41" t="s">
        <v>75</v>
      </c>
      <c r="X178" s="41" t="s">
        <v>75</v>
      </c>
      <c r="Y178" s="41" t="s">
        <v>75</v>
      </c>
      <c r="Z178" s="41" t="s">
        <v>75</v>
      </c>
      <c r="AA178" s="41" t="s">
        <v>75</v>
      </c>
      <c r="AB178" s="41" t="s">
        <v>75</v>
      </c>
      <c r="AC178" s="41" t="s">
        <v>210</v>
      </c>
      <c r="AD178" s="41" t="s">
        <v>75</v>
      </c>
      <c r="AE178" s="41" t="s">
        <v>210</v>
      </c>
      <c r="AF178" s="41" t="s">
        <v>210</v>
      </c>
      <c r="AG178" s="41" t="s">
        <v>210</v>
      </c>
      <c r="AH178" s="41" t="s">
        <v>210</v>
      </c>
      <c r="AI178" s="41" t="s">
        <v>210</v>
      </c>
      <c r="AJ178" s="41" t="s">
        <v>210</v>
      </c>
      <c r="AK178" s="41" t="s">
        <v>210</v>
      </c>
      <c r="AL178" s="41" t="s">
        <v>210</v>
      </c>
      <c r="AM178" s="41" t="s">
        <v>210</v>
      </c>
      <c r="AN178" s="41" t="s">
        <v>210</v>
      </c>
      <c r="AO178" s="41" t="s">
        <v>210</v>
      </c>
      <c r="AP178" s="41" t="s">
        <v>210</v>
      </c>
      <c r="AQ178" s="41" t="s">
        <v>210</v>
      </c>
      <c r="AR178" s="41" t="s">
        <v>210</v>
      </c>
      <c r="AS178" s="41" t="s">
        <v>210</v>
      </c>
      <c r="AT178" s="41" t="s">
        <v>210</v>
      </c>
      <c r="AU178" s="42" t="str">
        <f>IF('GNI per capita'!AU178&lt;=Thresholds!$C$44,"L",IF('GNI per capita'!AU178&lt;=Thresholds!$D$44,"LM",IF('GNI per capita'!AU178&lt;=Thresholds!$E$44,"UM","H")))</f>
        <v>LM</v>
      </c>
      <c r="AV178" s="42" t="str">
        <f>IF('GNI per capita'!AV178&lt;=Thresholds!$C$45,"L",IF('GNI per capita'!AV178&lt;=Thresholds!$D$45,"LM",IF('GNI per capita'!AV178&lt;=Thresholds!$E$45,"UM","H")))</f>
        <v>LM</v>
      </c>
      <c r="AW178" s="42" t="str">
        <f>IF('GNI per capita'!AW178&lt;=Thresholds!$C$46,"L",IF('GNI per capita'!AW178&lt;=Thresholds!$D$46,"LM",IF('GNI per capita'!AW178&lt;=Thresholds!$E$46,"UM","H")))</f>
        <v>LM</v>
      </c>
      <c r="AX178" s="42" t="str">
        <f>IF('GNI per capita'!AX178&lt;=Thresholds!$C$47,"L",IF('GNI per capita'!AX178&lt;=Thresholds!$D$47,"LM",IF('GNI per capita'!AX178&lt;=Thresholds!$E$47,"UM","H")))</f>
        <v>LM</v>
      </c>
      <c r="AY178" s="42" t="str">
        <f>IF('GNI per capita'!AY178&lt;=Thresholds!$C$48,"L",IF('GNI per capita'!AY178&lt;=Thresholds!$D$48,"LM",IF('GNI per capita'!AY178&lt;=Thresholds!$E$48,"UM","H")))</f>
        <v>LM</v>
      </c>
      <c r="AZ178" s="42" t="str">
        <f>IF('GNI per capita'!AZ178&lt;=Thresholds!$C$49,"L",IF('GNI per capita'!AZ178&lt;=Thresholds!$D$49,"LM",IF('GNI per capita'!AZ178&lt;=Thresholds!$E$49,"UM","H")))</f>
        <v>LM</v>
      </c>
      <c r="BA178" s="42" t="str">
        <f>IF('GNI per capita'!BA178&lt;=Thresholds!$C$50,"L",IF('GNI per capita'!BA178&lt;=Thresholds!$D$50,"LM",IF('GNI per capita'!BA178&lt;=Thresholds!$E$50,"UM","H")))</f>
        <v>LM</v>
      </c>
      <c r="BB178" s="42" t="str">
        <f>IF('GNI per capita'!BB178&lt;=Thresholds!$C$51,"L",IF('GNI per capita'!BB178&lt;=Thresholds!$D$51,"LM",IF('GNI per capita'!BB178&lt;=Thresholds!$E$51,"UM","H")))</f>
        <v>LM</v>
      </c>
      <c r="BC178" s="42" t="str">
        <f>IF('GNI per capita'!BC178&lt;=Thresholds!$C$52,"L",IF('GNI per capita'!BC178&lt;=Thresholds!$D$52,"LM",IF('GNI per capita'!BC178&lt;=Thresholds!$E$52,"UM","H")))</f>
        <v>LM</v>
      </c>
      <c r="BD178" s="42" t="str">
        <f>IF('GNI per capita'!BD178&lt;=Thresholds!$C$53,"L",IF('GNI per capita'!BD178&lt;=Thresholds!$D$53,"LM",IF('GNI per capita'!BD178&lt;=Thresholds!$E$53,"UM","H")))</f>
        <v>LM</v>
      </c>
      <c r="BE178" s="42" t="str">
        <f>IF('GNI per capita'!BE178&lt;=Thresholds!$C$54,"L",IF('GNI per capita'!BE178&lt;=Thresholds!$D$54,"LM",IF('GNI per capita'!BE178&lt;=Thresholds!$E$54,"UM","H")))</f>
        <v>LM</v>
      </c>
      <c r="BF178" s="42" t="str">
        <f>IF('GNI per capita'!BF178&lt;=Thresholds!$C$55,"L",IF('GNI per capita'!BF178&lt;=Thresholds!$D$55,"LM",IF('GNI per capita'!BF178&lt;=Thresholds!$E$55,"UM","H")))</f>
        <v>LM</v>
      </c>
      <c r="BG178" s="42" t="str">
        <f>IF('GNI per capita'!BG178&lt;=Thresholds!$C$56,"L",IF('GNI per capita'!BG178&lt;=Thresholds!$D$56,"LM",IF('GNI per capita'!BG178&lt;=Thresholds!$E$56,"UM","H")))</f>
        <v>LM</v>
      </c>
      <c r="BH178" s="42" t="str">
        <f>IF('GNI per capita'!BH178&lt;=Thresholds!$C$57,"L",IF('GNI per capita'!BH178&lt;=Thresholds!$D$57,"LM",IF('GNI per capita'!BH178&lt;=Thresholds!$E$57,"UM","H")))</f>
        <v>LM</v>
      </c>
      <c r="BI178" s="42" t="str">
        <f>IF('GNI per capita'!BI178&lt;=Thresholds!$C$58,"L",IF('GNI per capita'!BI178&lt;=Thresholds!$D$58,"LM",IF('GNI per capita'!BI178&lt;=Thresholds!$E$58,"UM","H")))</f>
        <v>LM</v>
      </c>
      <c r="BJ178" s="42" t="str">
        <f>IF('GNI per capita'!BJ178&lt;=Thresholds!$C$59,"L",IF('GNI per capita'!BJ178&lt;=Thresholds!$D$59,"LM",IF('GNI per capita'!BJ178&lt;=Thresholds!$E$59,"UM","H")))</f>
        <v>LM</v>
      </c>
      <c r="BK178" s="42" t="str">
        <f>IF('GNI per capita'!BK178&lt;=Thresholds!$C$60,"L",IF('GNI per capita'!BK178&lt;=Thresholds!$D$60,"LM",IF('GNI per capita'!BK178&lt;=Thresholds!$E$60,"UM","H")))</f>
        <v>LM</v>
      </c>
      <c r="BL178" s="42" t="str">
        <f>IF('GNI per capita'!BL178&lt;=Thresholds!$C$61,"L",IF('GNI per capita'!BL178&lt;=Thresholds!$D$61,"LM",IF('GNI per capita'!BL178&lt;=Thresholds!$E$61,"UM","H")))</f>
        <v>LM</v>
      </c>
      <c r="BM178" s="42" t="str">
        <f>IF('GNI per capita'!BM178&lt;=Thresholds!$C$62,"L",IF('GNI per capita'!BM178&lt;=Thresholds!$D$62,"LM",IF('GNI per capita'!BM178&lt;=Thresholds!$E$62,"UM","H")))</f>
        <v>LM</v>
      </c>
      <c r="BN178" s="42" t="str">
        <f>IF('GNI per capita'!BN178&lt;=Thresholds!$C$63,"L",IF('GNI per capita'!BN178&lt;=Thresholds!$D$63,"LM",IF('GNI per capita'!BN178&lt;=Thresholds!$E$63,"UM","H")))</f>
        <v>LM</v>
      </c>
      <c r="BO178" s="42" t="str">
        <f>IF('GNI per capita'!BO178&lt;=Thresholds!$C$64,"L",IF('GNI per capita'!BO178&lt;=Thresholds!$D$64,"LM",IF('GNI per capita'!BO178&lt;=Thresholds!$E$64,"UM","H")))</f>
        <v>LM</v>
      </c>
      <c r="BP178" s="42" t="str">
        <f>IF('GNI per capita'!BP178&lt;=Thresholds!$C$65,"L",IF('GNI per capita'!BP178&lt;=Thresholds!$D$65,"LM",IF('GNI per capita'!BP178&lt;=Thresholds!$E$65,"UM","H")))</f>
        <v>LM</v>
      </c>
      <c r="BQ178" s="42" t="str">
        <f>IF('GNI per capita'!BQ178&lt;=Thresholds!$C$66,"L",IF('GNI per capita'!BQ178&lt;=Thresholds!$D$66,"LM",IF('GNI per capita'!BQ178&lt;=Thresholds!$E$66,"UM","H")))</f>
        <v>LM</v>
      </c>
      <c r="BR178" s="42" t="str">
        <f>IF('GNI per capita'!BR178&lt;=Thresholds!$C$67,"L",IF('GNI per capita'!BR178&lt;=Thresholds!$D$67,"LM",IF('GNI per capita'!BR178&lt;=Thresholds!$E$67,"UM","H")))</f>
        <v>LM</v>
      </c>
      <c r="BS178" s="42" t="str">
        <f>IF('GNI per capita'!BS178&lt;=Thresholds!$C$68,"L",IF('GNI per capita'!BS178&lt;=Thresholds!$D$68,"LM",IF('GNI per capita'!BS178&lt;=Thresholds!$E$68,"UM","H")))</f>
        <v>LM</v>
      </c>
    </row>
    <row r="179" spans="1:71" x14ac:dyDescent="0.2">
      <c r="A179" s="2" t="s">
        <v>584</v>
      </c>
      <c r="B179" s="2" t="s">
        <v>585</v>
      </c>
      <c r="C179" s="11" t="s">
        <v>75</v>
      </c>
      <c r="G179" s="2" t="s">
        <v>162</v>
      </c>
      <c r="H179" s="41" t="s">
        <v>75</v>
      </c>
      <c r="I179" s="41" t="s">
        <v>75</v>
      </c>
      <c r="J179" s="41" t="s">
        <v>75</v>
      </c>
      <c r="K179" s="41" t="s">
        <v>75</v>
      </c>
      <c r="L179" s="41" t="s">
        <v>75</v>
      </c>
      <c r="M179" s="41" t="s">
        <v>75</v>
      </c>
      <c r="N179" s="41" t="s">
        <v>75</v>
      </c>
      <c r="O179" s="41" t="s">
        <v>75</v>
      </c>
      <c r="P179" s="41" t="s">
        <v>75</v>
      </c>
      <c r="Q179" s="41" t="s">
        <v>75</v>
      </c>
      <c r="R179" s="41" t="s">
        <v>75</v>
      </c>
      <c r="S179" s="41" t="s">
        <v>75</v>
      </c>
      <c r="T179" s="41" t="s">
        <v>75</v>
      </c>
      <c r="U179" s="41" t="s">
        <v>75</v>
      </c>
      <c r="V179" s="41" t="s">
        <v>75</v>
      </c>
      <c r="W179" s="41" t="s">
        <v>75</v>
      </c>
      <c r="X179" s="41" t="s">
        <v>75</v>
      </c>
      <c r="Y179" s="41" t="s">
        <v>75</v>
      </c>
      <c r="Z179" s="41" t="s">
        <v>75</v>
      </c>
      <c r="AA179" s="41" t="s">
        <v>75</v>
      </c>
      <c r="AB179" s="41" t="s">
        <v>75</v>
      </c>
      <c r="AC179" s="41" t="s">
        <v>75</v>
      </c>
      <c r="AD179" s="41" t="s">
        <v>75</v>
      </c>
      <c r="AE179" s="41" t="s">
        <v>75</v>
      </c>
      <c r="AF179" s="41" t="s">
        <v>75</v>
      </c>
      <c r="AG179" s="41" t="s">
        <v>75</v>
      </c>
      <c r="AH179" s="41" t="s">
        <v>75</v>
      </c>
      <c r="AI179" s="41" t="s">
        <v>75</v>
      </c>
      <c r="AJ179" s="41" t="s">
        <v>75</v>
      </c>
      <c r="AK179" s="41" t="s">
        <v>75</v>
      </c>
      <c r="AL179" s="41" t="s">
        <v>75</v>
      </c>
      <c r="AM179" s="41" t="s">
        <v>75</v>
      </c>
      <c r="AN179" s="41" t="s">
        <v>75</v>
      </c>
      <c r="AO179" s="41" t="s">
        <v>75</v>
      </c>
      <c r="AP179" s="41" t="s">
        <v>75</v>
      </c>
      <c r="AQ179" s="41" t="s">
        <v>75</v>
      </c>
      <c r="AR179" s="41" t="s">
        <v>75</v>
      </c>
      <c r="AS179" s="41" t="s">
        <v>75</v>
      </c>
      <c r="AT179" s="41" t="s">
        <v>75</v>
      </c>
      <c r="AU179" s="42" t="str">
        <f>IF('GNI per capita'!AU179&lt;=Thresholds!$C$44,"L",IF('GNI per capita'!AU179&lt;=Thresholds!$D$44,"LM",IF('GNI per capita'!AU179&lt;=Thresholds!$E$44,"UM","H")))</f>
        <v>L</v>
      </c>
      <c r="AV179" s="42" t="str">
        <f>IF('GNI per capita'!AV179&lt;=Thresholds!$C$45,"L",IF('GNI per capita'!AV179&lt;=Thresholds!$D$45,"LM",IF('GNI per capita'!AV179&lt;=Thresholds!$E$45,"UM","H")))</f>
        <v>L</v>
      </c>
      <c r="AW179" s="42" t="str">
        <f>IF('GNI per capita'!AW179&lt;=Thresholds!$C$46,"L",IF('GNI per capita'!AW179&lt;=Thresholds!$D$46,"LM",IF('GNI per capita'!AW179&lt;=Thresholds!$E$46,"UM","H")))</f>
        <v>L</v>
      </c>
      <c r="AX179" s="42" t="str">
        <f>IF('GNI per capita'!AX179&lt;=Thresholds!$C$47,"L",IF('GNI per capita'!AX179&lt;=Thresholds!$D$47,"LM",IF('GNI per capita'!AX179&lt;=Thresholds!$E$47,"UM","H")))</f>
        <v>L</v>
      </c>
      <c r="AY179" s="42" t="str">
        <f>IF('GNI per capita'!AY179&lt;=Thresholds!$C$48,"L",IF('GNI per capita'!AY179&lt;=Thresholds!$D$48,"LM",IF('GNI per capita'!AY179&lt;=Thresholds!$E$48,"UM","H")))</f>
        <v>L</v>
      </c>
      <c r="AZ179" s="42" t="str">
        <f>IF('GNI per capita'!AZ179&lt;=Thresholds!$C$49,"L",IF('GNI per capita'!AZ179&lt;=Thresholds!$D$49,"LM",IF('GNI per capita'!AZ179&lt;=Thresholds!$E$49,"UM","H")))</f>
        <v>L</v>
      </c>
      <c r="BA179" s="42" t="str">
        <f>IF('GNI per capita'!BA179&lt;=Thresholds!$C$50,"L",IF('GNI per capita'!BA179&lt;=Thresholds!$D$50,"LM",IF('GNI per capita'!BA179&lt;=Thresholds!$E$50,"UM","H")))</f>
        <v>L</v>
      </c>
      <c r="BB179" s="42" t="str">
        <f>IF('GNI per capita'!BB179&lt;=Thresholds!$C$51,"L",IF('GNI per capita'!BB179&lt;=Thresholds!$D$51,"LM",IF('GNI per capita'!BB179&lt;=Thresholds!$E$51,"UM","H")))</f>
        <v>L</v>
      </c>
      <c r="BC179" s="42" t="str">
        <f>IF('GNI per capita'!BC179&lt;=Thresholds!$C$52,"L",IF('GNI per capita'!BC179&lt;=Thresholds!$D$52,"LM",IF('GNI per capita'!BC179&lt;=Thresholds!$E$52,"UM","H")))</f>
        <v>L</v>
      </c>
      <c r="BD179" s="42" t="str">
        <f>IF('GNI per capita'!BD179&lt;=Thresholds!$C$53,"L",IF('GNI per capita'!BD179&lt;=Thresholds!$D$53,"LM",IF('GNI per capita'!BD179&lt;=Thresholds!$E$53,"UM","H")))</f>
        <v>L</v>
      </c>
      <c r="BE179" s="42" t="str">
        <f>IF('GNI per capita'!BE179&lt;=Thresholds!$C$54,"L",IF('GNI per capita'!BE179&lt;=Thresholds!$D$54,"LM",IF('GNI per capita'!BE179&lt;=Thresholds!$E$54,"UM","H")))</f>
        <v>L</v>
      </c>
      <c r="BF179" s="42" t="str">
        <f>IF('GNI per capita'!BF179&lt;=Thresholds!$C$55,"L",IF('GNI per capita'!BF179&lt;=Thresholds!$D$55,"LM",IF('GNI per capita'!BF179&lt;=Thresholds!$E$55,"UM","H")))</f>
        <v>L</v>
      </c>
      <c r="BG179" s="42" t="str">
        <f>IF('GNI per capita'!BG179&lt;=Thresholds!$C$56,"L",IF('GNI per capita'!BG179&lt;=Thresholds!$D$56,"LM",IF('GNI per capita'!BG179&lt;=Thresholds!$E$56,"UM","H")))</f>
        <v>L</v>
      </c>
      <c r="BH179" s="42" t="str">
        <f>IF('GNI per capita'!BH179&lt;=Thresholds!$C$57,"L",IF('GNI per capita'!BH179&lt;=Thresholds!$D$57,"LM",IF('GNI per capita'!BH179&lt;=Thresholds!$E$57,"UM","H")))</f>
        <v>L</v>
      </c>
      <c r="BI179" s="42" t="str">
        <f>IF('GNI per capita'!BI179&lt;=Thresholds!$C$58,"L",IF('GNI per capita'!BI179&lt;=Thresholds!$D$58,"LM",IF('GNI per capita'!BI179&lt;=Thresholds!$E$58,"UM","H")))</f>
        <v>L</v>
      </c>
      <c r="BJ179" s="42" t="str">
        <f>IF('GNI per capita'!BJ179&lt;=Thresholds!$C$59,"L",IF('GNI per capita'!BJ179&lt;=Thresholds!$D$59,"LM",IF('GNI per capita'!BJ179&lt;=Thresholds!$E$59,"UM","H")))</f>
        <v>L</v>
      </c>
      <c r="BK179" s="42" t="str">
        <f>IF('GNI per capita'!BK179&lt;=Thresholds!$C$60,"L",IF('GNI per capita'!BK179&lt;=Thresholds!$D$60,"LM",IF('GNI per capita'!BK179&lt;=Thresholds!$E$60,"UM","H")))</f>
        <v>L</v>
      </c>
      <c r="BL179" s="42" t="str">
        <f>IF('GNI per capita'!BL179&lt;=Thresholds!$C$61,"L",IF('GNI per capita'!BL179&lt;=Thresholds!$D$61,"LM",IF('GNI per capita'!BL179&lt;=Thresholds!$E$61,"UM","H")))</f>
        <v>L</v>
      </c>
      <c r="BM179" s="42" t="str">
        <f>IF('GNI per capita'!BM179&lt;=Thresholds!$C$62,"L",IF('GNI per capita'!BM179&lt;=Thresholds!$D$62,"LM",IF('GNI per capita'!BM179&lt;=Thresholds!$E$62,"UM","H")))</f>
        <v>L</v>
      </c>
      <c r="BN179" s="42" t="str">
        <f>IF('GNI per capita'!BN179&lt;=Thresholds!$C$63,"L",IF('GNI per capita'!BN179&lt;=Thresholds!$D$63,"LM",IF('GNI per capita'!BN179&lt;=Thresholds!$E$63,"UM","H")))</f>
        <v>L</v>
      </c>
      <c r="BO179" s="42" t="str">
        <f>IF('GNI per capita'!BO179&lt;=Thresholds!$C$64,"L",IF('GNI per capita'!BO179&lt;=Thresholds!$D$64,"LM",IF('GNI per capita'!BO179&lt;=Thresholds!$E$64,"UM","H")))</f>
        <v>L</v>
      </c>
      <c r="BP179" s="42" t="str">
        <f>IF('GNI per capita'!BP179&lt;=Thresholds!$C$65,"L",IF('GNI per capita'!BP179&lt;=Thresholds!$D$65,"LM",IF('GNI per capita'!BP179&lt;=Thresholds!$E$65,"UM","H")))</f>
        <v>L</v>
      </c>
      <c r="BQ179" s="42" t="str">
        <f>IF('GNI per capita'!BQ179&lt;=Thresholds!$C$66,"L",IF('GNI per capita'!BQ179&lt;=Thresholds!$D$66,"LM",IF('GNI per capita'!BQ179&lt;=Thresholds!$E$66,"UM","H")))</f>
        <v>L</v>
      </c>
      <c r="BR179" s="42" t="str">
        <f>IF('GNI per capita'!BR179&lt;=Thresholds!$C$67,"L",IF('GNI per capita'!BR179&lt;=Thresholds!$D$67,"LM",IF('GNI per capita'!BR179&lt;=Thresholds!$E$67,"UM","H")))</f>
        <v>L</v>
      </c>
      <c r="BS179" s="42" t="str">
        <f>IF('GNI per capita'!BS179&lt;=Thresholds!$C$68,"L",IF('GNI per capita'!BS179&lt;=Thresholds!$D$68,"LM",IF('GNI per capita'!BS179&lt;=Thresholds!$E$68,"UM","H")))</f>
        <v>L</v>
      </c>
    </row>
    <row r="180" spans="1:71" x14ac:dyDescent="0.2">
      <c r="A180" s="2" t="s">
        <v>586</v>
      </c>
      <c r="B180" s="2" t="s">
        <v>587</v>
      </c>
      <c r="C180" s="11" t="s">
        <v>82</v>
      </c>
      <c r="G180" s="2" t="s">
        <v>284</v>
      </c>
      <c r="H180" s="41" t="s">
        <v>210</v>
      </c>
      <c r="I180" s="41" t="s">
        <v>82</v>
      </c>
      <c r="J180" s="41" t="s">
        <v>82</v>
      </c>
      <c r="K180" s="41" t="s">
        <v>82</v>
      </c>
      <c r="L180" s="41" t="s">
        <v>82</v>
      </c>
      <c r="M180" s="41" t="s">
        <v>82</v>
      </c>
      <c r="N180" s="41" t="s">
        <v>82</v>
      </c>
      <c r="O180" s="41" t="s">
        <v>82</v>
      </c>
      <c r="P180" s="41" t="s">
        <v>82</v>
      </c>
      <c r="Q180" s="41" t="s">
        <v>82</v>
      </c>
      <c r="R180" s="41" t="s">
        <v>82</v>
      </c>
      <c r="S180" s="41" t="s">
        <v>210</v>
      </c>
      <c r="T180" s="41" t="s">
        <v>82</v>
      </c>
      <c r="U180" s="41" t="s">
        <v>82</v>
      </c>
      <c r="V180" s="41" t="s">
        <v>210</v>
      </c>
      <c r="W180" s="41" t="s">
        <v>210</v>
      </c>
      <c r="X180" s="41" t="s">
        <v>210</v>
      </c>
      <c r="Y180" s="41" t="s">
        <v>82</v>
      </c>
      <c r="Z180" s="41" t="s">
        <v>82</v>
      </c>
      <c r="AA180" s="41" t="s">
        <v>82</v>
      </c>
      <c r="AB180" s="41" t="s">
        <v>82</v>
      </c>
      <c r="AC180" s="41" t="s">
        <v>82</v>
      </c>
      <c r="AD180" s="41" t="s">
        <v>82</v>
      </c>
      <c r="AE180" s="41" t="s">
        <v>82</v>
      </c>
      <c r="AF180" s="41" t="s">
        <v>82</v>
      </c>
      <c r="AG180" s="41" t="s">
        <v>82</v>
      </c>
      <c r="AH180" s="41" t="s">
        <v>82</v>
      </c>
      <c r="AI180" s="41" t="s">
        <v>82</v>
      </c>
      <c r="AJ180" s="41" t="s">
        <v>82</v>
      </c>
      <c r="AK180" s="41" t="s">
        <v>82</v>
      </c>
      <c r="AL180" s="41" t="s">
        <v>82</v>
      </c>
      <c r="AM180" s="41" t="s">
        <v>82</v>
      </c>
      <c r="AN180" s="41" t="s">
        <v>82</v>
      </c>
      <c r="AO180" s="41" t="s">
        <v>82</v>
      </c>
      <c r="AP180" s="41" t="s">
        <v>82</v>
      </c>
      <c r="AQ180" s="41" t="s">
        <v>82</v>
      </c>
      <c r="AR180" s="41" t="s">
        <v>82</v>
      </c>
      <c r="AS180" s="41" t="s">
        <v>82</v>
      </c>
      <c r="AT180" s="41" t="s">
        <v>82</v>
      </c>
      <c r="AU180" s="42" t="str">
        <f>IF('GNI per capita'!AU180&lt;=Thresholds!$C$44,"L",IF('GNI per capita'!AU180&lt;=Thresholds!$D$44,"LM",IF('GNI per capita'!AU180&lt;=Thresholds!$E$44,"UM","H")))</f>
        <v>UM</v>
      </c>
      <c r="AV180" s="42" t="str">
        <f>IF('GNI per capita'!AV180&lt;=Thresholds!$C$45,"L",IF('GNI per capita'!AV180&lt;=Thresholds!$D$45,"LM",IF('GNI per capita'!AV180&lt;=Thresholds!$E$45,"UM","H")))</f>
        <v>UM</v>
      </c>
      <c r="AW180" s="42" t="str">
        <f>IF('GNI per capita'!AW180&lt;=Thresholds!$C$46,"L",IF('GNI per capita'!AW180&lt;=Thresholds!$D$46,"LM",IF('GNI per capita'!AW180&lt;=Thresholds!$E$46,"UM","H")))</f>
        <v>UM</v>
      </c>
      <c r="AX180" s="42" t="str">
        <f>IF('GNI per capita'!AX180&lt;=Thresholds!$C$47,"L",IF('GNI per capita'!AX180&lt;=Thresholds!$D$47,"LM",IF('GNI per capita'!AX180&lt;=Thresholds!$E$47,"UM","H")))</f>
        <v>UM</v>
      </c>
      <c r="AY180" s="42" t="str">
        <f>IF('GNI per capita'!AY180&lt;=Thresholds!$C$48,"L",IF('GNI per capita'!AY180&lt;=Thresholds!$D$48,"LM",IF('GNI per capita'!AY180&lt;=Thresholds!$E$48,"UM","H")))</f>
        <v>UM</v>
      </c>
      <c r="AZ180" s="42" t="str">
        <f>IF('GNI per capita'!AZ180&lt;=Thresholds!$C$49,"L",IF('GNI per capita'!AZ180&lt;=Thresholds!$D$49,"LM",IF('GNI per capita'!AZ180&lt;=Thresholds!$E$49,"UM","H")))</f>
        <v>UM</v>
      </c>
      <c r="BA180" s="42" t="str">
        <f>IF('GNI per capita'!BA180&lt;=Thresholds!$C$50,"L",IF('GNI per capita'!BA180&lt;=Thresholds!$D$50,"LM",IF('GNI per capita'!BA180&lt;=Thresholds!$E$50,"UM","H")))</f>
        <v>UM</v>
      </c>
      <c r="BB180" s="42" t="str">
        <f>IF('GNI per capita'!BB180&lt;=Thresholds!$C$51,"L",IF('GNI per capita'!BB180&lt;=Thresholds!$D$51,"LM",IF('GNI per capita'!BB180&lt;=Thresholds!$E$51,"UM","H")))</f>
        <v>UM</v>
      </c>
      <c r="BC180" s="42" t="str">
        <f>IF('GNI per capita'!BC180&lt;=Thresholds!$C$52,"L",IF('GNI per capita'!BC180&lt;=Thresholds!$D$52,"LM",IF('GNI per capita'!BC180&lt;=Thresholds!$E$52,"UM","H")))</f>
        <v>UM</v>
      </c>
      <c r="BD180" s="42" t="str">
        <f>IF('GNI per capita'!BD180&lt;=Thresholds!$C$53,"L",IF('GNI per capita'!BD180&lt;=Thresholds!$D$53,"LM",IF('GNI per capita'!BD180&lt;=Thresholds!$E$53,"UM","H")))</f>
        <v>UM</v>
      </c>
      <c r="BE180" s="42" t="str">
        <f>IF('GNI per capita'!BE180&lt;=Thresholds!$C$54,"L",IF('GNI per capita'!BE180&lt;=Thresholds!$D$54,"LM",IF('GNI per capita'!BE180&lt;=Thresholds!$E$54,"UM","H")))</f>
        <v>UM</v>
      </c>
      <c r="BF180" s="42" t="str">
        <f>IF('GNI per capita'!BF180&lt;=Thresholds!$C$55,"L",IF('GNI per capita'!BF180&lt;=Thresholds!$D$55,"LM",IF('GNI per capita'!BF180&lt;=Thresholds!$E$55,"UM","H")))</f>
        <v>UM</v>
      </c>
      <c r="BG180" s="42" t="str">
        <f>IF('GNI per capita'!BG180&lt;=Thresholds!$C$56,"L",IF('GNI per capita'!BG180&lt;=Thresholds!$D$56,"LM",IF('GNI per capita'!BG180&lt;=Thresholds!$E$56,"UM","H")))</f>
        <v>UM</v>
      </c>
      <c r="BH180" s="42" t="str">
        <f>IF('GNI per capita'!BH180&lt;=Thresholds!$C$57,"L",IF('GNI per capita'!BH180&lt;=Thresholds!$D$57,"LM",IF('GNI per capita'!BH180&lt;=Thresholds!$E$57,"UM","H")))</f>
        <v>UM</v>
      </c>
      <c r="BI180" s="42" t="str">
        <f>IF('GNI per capita'!BI180&lt;=Thresholds!$C$58,"L",IF('GNI per capita'!BI180&lt;=Thresholds!$D$58,"LM",IF('GNI per capita'!BI180&lt;=Thresholds!$E$58,"UM","H")))</f>
        <v>UM</v>
      </c>
      <c r="BJ180" s="42" t="str">
        <f>IF('GNI per capita'!BJ180&lt;=Thresholds!$C$59,"L",IF('GNI per capita'!BJ180&lt;=Thresholds!$D$59,"LM",IF('GNI per capita'!BJ180&lt;=Thresholds!$E$59,"UM","H")))</f>
        <v>UM</v>
      </c>
      <c r="BK180" s="42" t="str">
        <f>IF('GNI per capita'!BK180&lt;=Thresholds!$C$60,"L",IF('GNI per capita'!BK180&lt;=Thresholds!$D$60,"LM",IF('GNI per capita'!BK180&lt;=Thresholds!$E$60,"UM","H")))</f>
        <v>UM</v>
      </c>
      <c r="BL180" s="42" t="str">
        <f>IF('GNI per capita'!BL180&lt;=Thresholds!$C$61,"L",IF('GNI per capita'!BL180&lt;=Thresholds!$D$61,"LM",IF('GNI per capita'!BL180&lt;=Thresholds!$E$61,"UM","H")))</f>
        <v>UM</v>
      </c>
      <c r="BM180" s="42" t="str">
        <f>IF('GNI per capita'!BM180&lt;=Thresholds!$C$62,"L",IF('GNI per capita'!BM180&lt;=Thresholds!$D$62,"LM",IF('GNI per capita'!BM180&lt;=Thresholds!$E$62,"UM","H")))</f>
        <v>UM</v>
      </c>
      <c r="BN180" s="42" t="str">
        <f>IF('GNI per capita'!BN180&lt;=Thresholds!$C$63,"L",IF('GNI per capita'!BN180&lt;=Thresholds!$D$63,"LM",IF('GNI per capita'!BN180&lt;=Thresholds!$E$63,"UM","H")))</f>
        <v>UM</v>
      </c>
      <c r="BO180" s="42" t="str">
        <f>IF('GNI per capita'!BO180&lt;=Thresholds!$C$64,"L",IF('GNI per capita'!BO180&lt;=Thresholds!$D$64,"LM",IF('GNI per capita'!BO180&lt;=Thresholds!$E$64,"UM","H")))</f>
        <v>UM</v>
      </c>
      <c r="BP180" s="42" t="str">
        <f>IF('GNI per capita'!BP180&lt;=Thresholds!$C$65,"L",IF('GNI per capita'!BP180&lt;=Thresholds!$D$65,"LM",IF('GNI per capita'!BP180&lt;=Thresholds!$E$65,"UM","H")))</f>
        <v>UM</v>
      </c>
      <c r="BQ180" s="42" t="str">
        <f>IF('GNI per capita'!BQ180&lt;=Thresholds!$C$66,"L",IF('GNI per capita'!BQ180&lt;=Thresholds!$D$66,"LM",IF('GNI per capita'!BQ180&lt;=Thresholds!$E$66,"UM","H")))</f>
        <v>UM</v>
      </c>
      <c r="BR180" s="42" t="str">
        <f>IF('GNI per capita'!BR180&lt;=Thresholds!$C$67,"L",IF('GNI per capita'!BR180&lt;=Thresholds!$D$67,"LM",IF('GNI per capita'!BR180&lt;=Thresholds!$E$67,"UM","H")))</f>
        <v>UM</v>
      </c>
      <c r="BS180" s="42" t="str">
        <f>IF('GNI per capita'!BS180&lt;=Thresholds!$C$68,"L",IF('GNI per capita'!BS180&lt;=Thresholds!$D$68,"LM",IF('GNI per capita'!BS180&lt;=Thresholds!$E$68,"UM","H")))</f>
        <v>UM</v>
      </c>
    </row>
    <row r="181" spans="1:71" x14ac:dyDescent="0.2">
      <c r="A181" s="2" t="s">
        <v>588</v>
      </c>
      <c r="B181" s="2" t="s">
        <v>589</v>
      </c>
      <c r="C181" s="11" t="s">
        <v>75</v>
      </c>
      <c r="G181" s="28" t="s">
        <v>204</v>
      </c>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t="s">
        <v>210</v>
      </c>
      <c r="AG181" s="41" t="s">
        <v>75</v>
      </c>
      <c r="AH181" s="41" t="s">
        <v>210</v>
      </c>
      <c r="AI181" s="41" t="s">
        <v>75</v>
      </c>
      <c r="AJ181" s="41" t="s">
        <v>75</v>
      </c>
      <c r="AK181" s="41" t="s">
        <v>75</v>
      </c>
      <c r="AL181" s="41" t="s">
        <v>75</v>
      </c>
      <c r="AM181" s="41" t="s">
        <v>75</v>
      </c>
      <c r="AN181" s="41" t="s">
        <v>75</v>
      </c>
      <c r="AO181" s="41" t="s">
        <v>75</v>
      </c>
      <c r="AP181" s="41" t="s">
        <v>75</v>
      </c>
      <c r="AQ181" s="41" t="s">
        <v>75</v>
      </c>
      <c r="AR181" s="41" t="s">
        <v>75</v>
      </c>
      <c r="AS181" s="41" t="s">
        <v>75</v>
      </c>
      <c r="AT181" s="41" t="s">
        <v>75</v>
      </c>
      <c r="AU181" s="42" t="str">
        <f t="shared" ref="AU181:BS181" si="15">$C181</f>
        <v>L</v>
      </c>
      <c r="AV181" s="42" t="str">
        <f t="shared" si="15"/>
        <v>L</v>
      </c>
      <c r="AW181" s="42" t="str">
        <f t="shared" si="15"/>
        <v>L</v>
      </c>
      <c r="AX181" s="42" t="str">
        <f t="shared" si="15"/>
        <v>L</v>
      </c>
      <c r="AY181" s="42" t="str">
        <f t="shared" si="15"/>
        <v>L</v>
      </c>
      <c r="AZ181" s="42" t="str">
        <f t="shared" si="15"/>
        <v>L</v>
      </c>
      <c r="BA181" s="42" t="str">
        <f t="shared" si="15"/>
        <v>L</v>
      </c>
      <c r="BB181" s="42" t="str">
        <f t="shared" si="15"/>
        <v>L</v>
      </c>
      <c r="BC181" s="42" t="str">
        <f t="shared" si="15"/>
        <v>L</v>
      </c>
      <c r="BD181" s="42" t="str">
        <f t="shared" si="15"/>
        <v>L</v>
      </c>
      <c r="BE181" s="42" t="str">
        <f t="shared" si="15"/>
        <v>L</v>
      </c>
      <c r="BF181" s="42" t="str">
        <f t="shared" si="15"/>
        <v>L</v>
      </c>
      <c r="BG181" s="42" t="str">
        <f t="shared" si="15"/>
        <v>L</v>
      </c>
      <c r="BH181" s="42" t="str">
        <f t="shared" si="15"/>
        <v>L</v>
      </c>
      <c r="BI181" s="42" t="str">
        <f t="shared" si="15"/>
        <v>L</v>
      </c>
      <c r="BJ181" s="42" t="str">
        <f t="shared" si="15"/>
        <v>L</v>
      </c>
      <c r="BK181" s="42" t="str">
        <f t="shared" si="15"/>
        <v>L</v>
      </c>
      <c r="BL181" s="42" t="str">
        <f t="shared" si="15"/>
        <v>L</v>
      </c>
      <c r="BM181" s="42" t="str">
        <f t="shared" si="15"/>
        <v>L</v>
      </c>
      <c r="BN181" s="42" t="str">
        <f t="shared" si="15"/>
        <v>L</v>
      </c>
      <c r="BO181" s="42" t="str">
        <f t="shared" si="15"/>
        <v>L</v>
      </c>
      <c r="BP181" s="42" t="str">
        <f t="shared" si="15"/>
        <v>L</v>
      </c>
      <c r="BQ181" s="42" t="str">
        <f t="shared" si="15"/>
        <v>L</v>
      </c>
      <c r="BR181" s="42" t="str">
        <f t="shared" si="15"/>
        <v>L</v>
      </c>
      <c r="BS181" s="42" t="str">
        <f t="shared" si="15"/>
        <v>L</v>
      </c>
    </row>
    <row r="182" spans="1:71" x14ac:dyDescent="0.2">
      <c r="A182" s="2" t="s">
        <v>590</v>
      </c>
      <c r="B182" s="2" t="s">
        <v>591</v>
      </c>
      <c r="C182" s="11" t="s">
        <v>79</v>
      </c>
      <c r="G182" s="2" t="s">
        <v>162</v>
      </c>
      <c r="H182" s="41" t="s">
        <v>79</v>
      </c>
      <c r="I182" s="41" t="s">
        <v>79</v>
      </c>
      <c r="J182" s="41" t="s">
        <v>79</v>
      </c>
      <c r="K182" s="41" t="s">
        <v>79</v>
      </c>
      <c r="L182" s="41" t="s">
        <v>79</v>
      </c>
      <c r="M182" s="41" t="s">
        <v>79</v>
      </c>
      <c r="N182" s="41" t="s">
        <v>79</v>
      </c>
      <c r="O182" s="41" t="s">
        <v>79</v>
      </c>
      <c r="P182" s="41" t="s">
        <v>79</v>
      </c>
      <c r="Q182" s="41" t="s">
        <v>79</v>
      </c>
      <c r="R182" s="41" t="s">
        <v>79</v>
      </c>
      <c r="S182" s="41" t="s">
        <v>79</v>
      </c>
      <c r="T182" s="41" t="s">
        <v>79</v>
      </c>
      <c r="U182" s="41" t="s">
        <v>79</v>
      </c>
      <c r="V182" s="41" t="s">
        <v>79</v>
      </c>
      <c r="W182" s="41" t="s">
        <v>79</v>
      </c>
      <c r="X182" s="41" t="s">
        <v>79</v>
      </c>
      <c r="Y182" s="41" t="s">
        <v>79</v>
      </c>
      <c r="Z182" s="41" t="s">
        <v>79</v>
      </c>
      <c r="AA182" s="41" t="s">
        <v>79</v>
      </c>
      <c r="AB182" s="41" t="s">
        <v>79</v>
      </c>
      <c r="AC182" s="41" t="s">
        <v>79</v>
      </c>
      <c r="AD182" s="41" t="s">
        <v>79</v>
      </c>
      <c r="AE182" s="41" t="s">
        <v>79</v>
      </c>
      <c r="AF182" s="41" t="s">
        <v>79</v>
      </c>
      <c r="AG182" s="41" t="s">
        <v>79</v>
      </c>
      <c r="AH182" s="41" t="s">
        <v>79</v>
      </c>
      <c r="AI182" s="41" t="s">
        <v>79</v>
      </c>
      <c r="AJ182" s="41" t="s">
        <v>79</v>
      </c>
      <c r="AK182" s="41" t="s">
        <v>79</v>
      </c>
      <c r="AL182" s="41" t="s">
        <v>79</v>
      </c>
      <c r="AM182" s="41" t="s">
        <v>79</v>
      </c>
      <c r="AN182" s="41" t="s">
        <v>79</v>
      </c>
      <c r="AO182" s="41" t="s">
        <v>79</v>
      </c>
      <c r="AP182" s="41" t="s">
        <v>79</v>
      </c>
      <c r="AQ182" s="41" t="s">
        <v>79</v>
      </c>
      <c r="AR182" s="41" t="s">
        <v>79</v>
      </c>
      <c r="AS182" s="41" t="s">
        <v>79</v>
      </c>
      <c r="AT182" s="41" t="s">
        <v>79</v>
      </c>
      <c r="AU182" s="42" t="str">
        <f>IF('GNI per capita'!AU182&lt;=Thresholds!$C$44,"L",IF('GNI per capita'!AU182&lt;=Thresholds!$D$44,"LM",IF('GNI per capita'!AU182&lt;=Thresholds!$E$44,"UM","H")))</f>
        <v>H</v>
      </c>
      <c r="AV182" s="42" t="str">
        <f>IF('GNI per capita'!AV182&lt;=Thresholds!$C$45,"L",IF('GNI per capita'!AV182&lt;=Thresholds!$D$45,"LM",IF('GNI per capita'!AV182&lt;=Thresholds!$E$45,"UM","H")))</f>
        <v>H</v>
      </c>
      <c r="AW182" s="42" t="str">
        <f>IF('GNI per capita'!AW182&lt;=Thresholds!$C$46,"L",IF('GNI per capita'!AW182&lt;=Thresholds!$D$46,"LM",IF('GNI per capita'!AW182&lt;=Thresholds!$E$46,"UM","H")))</f>
        <v>H</v>
      </c>
      <c r="AX182" s="42" t="str">
        <f>IF('GNI per capita'!AX182&lt;=Thresholds!$C$47,"L",IF('GNI per capita'!AX182&lt;=Thresholds!$D$47,"LM",IF('GNI per capita'!AX182&lt;=Thresholds!$E$47,"UM","H")))</f>
        <v>H</v>
      </c>
      <c r="AY182" s="42" t="str">
        <f>IF('GNI per capita'!AY182&lt;=Thresholds!$C$48,"L",IF('GNI per capita'!AY182&lt;=Thresholds!$D$48,"LM",IF('GNI per capita'!AY182&lt;=Thresholds!$E$48,"UM","H")))</f>
        <v>H</v>
      </c>
      <c r="AZ182" s="42" t="str">
        <f>IF('GNI per capita'!AZ182&lt;=Thresholds!$C$49,"L",IF('GNI per capita'!AZ182&lt;=Thresholds!$D$49,"LM",IF('GNI per capita'!AZ182&lt;=Thresholds!$E$49,"UM","H")))</f>
        <v>H</v>
      </c>
      <c r="BA182" s="42" t="str">
        <f>IF('GNI per capita'!BA182&lt;=Thresholds!$C$50,"L",IF('GNI per capita'!BA182&lt;=Thresholds!$D$50,"LM",IF('GNI per capita'!BA182&lt;=Thresholds!$E$50,"UM","H")))</f>
        <v>H</v>
      </c>
      <c r="BB182" s="42" t="str">
        <f>IF('GNI per capita'!BB182&lt;=Thresholds!$C$51,"L",IF('GNI per capita'!BB182&lt;=Thresholds!$D$51,"LM",IF('GNI per capita'!BB182&lt;=Thresholds!$E$51,"UM","H")))</f>
        <v>H</v>
      </c>
      <c r="BC182" s="42" t="str">
        <f>IF('GNI per capita'!BC182&lt;=Thresholds!$C$52,"L",IF('GNI per capita'!BC182&lt;=Thresholds!$D$52,"LM",IF('GNI per capita'!BC182&lt;=Thresholds!$E$52,"UM","H")))</f>
        <v>H</v>
      </c>
      <c r="BD182" s="42" t="str">
        <f>IF('GNI per capita'!BD182&lt;=Thresholds!$C$53,"L",IF('GNI per capita'!BD182&lt;=Thresholds!$D$53,"LM",IF('GNI per capita'!BD182&lt;=Thresholds!$E$53,"UM","H")))</f>
        <v>H</v>
      </c>
      <c r="BE182" s="42" t="str">
        <f>IF('GNI per capita'!BE182&lt;=Thresholds!$C$54,"L",IF('GNI per capita'!BE182&lt;=Thresholds!$D$54,"LM",IF('GNI per capita'!BE182&lt;=Thresholds!$E$54,"UM","H")))</f>
        <v>H</v>
      </c>
      <c r="BF182" s="42" t="str">
        <f>IF('GNI per capita'!BF182&lt;=Thresholds!$C$55,"L",IF('GNI per capita'!BF182&lt;=Thresholds!$D$55,"LM",IF('GNI per capita'!BF182&lt;=Thresholds!$E$55,"UM","H")))</f>
        <v>H</v>
      </c>
      <c r="BG182" s="42" t="str">
        <f>IF('GNI per capita'!BG182&lt;=Thresholds!$C$56,"L",IF('GNI per capita'!BG182&lt;=Thresholds!$D$56,"LM",IF('GNI per capita'!BG182&lt;=Thresholds!$E$56,"UM","H")))</f>
        <v>H</v>
      </c>
      <c r="BH182" s="42" t="str">
        <f>IF('GNI per capita'!BH182&lt;=Thresholds!$C$57,"L",IF('GNI per capita'!BH182&lt;=Thresholds!$D$57,"LM",IF('GNI per capita'!BH182&lt;=Thresholds!$E$57,"UM","H")))</f>
        <v>H</v>
      </c>
      <c r="BI182" s="42" t="str">
        <f>IF('GNI per capita'!BI182&lt;=Thresholds!$C$58,"L",IF('GNI per capita'!BI182&lt;=Thresholds!$D$58,"LM",IF('GNI per capita'!BI182&lt;=Thresholds!$E$58,"UM","H")))</f>
        <v>H</v>
      </c>
      <c r="BJ182" s="42" t="str">
        <f>IF('GNI per capita'!BJ182&lt;=Thresholds!$C$59,"L",IF('GNI per capita'!BJ182&lt;=Thresholds!$D$59,"LM",IF('GNI per capita'!BJ182&lt;=Thresholds!$E$59,"UM","H")))</f>
        <v>H</v>
      </c>
      <c r="BK182" s="42" t="str">
        <f>IF('GNI per capita'!BK182&lt;=Thresholds!$C$60,"L",IF('GNI per capita'!BK182&lt;=Thresholds!$D$60,"LM",IF('GNI per capita'!BK182&lt;=Thresholds!$E$60,"UM","H")))</f>
        <v>H</v>
      </c>
      <c r="BL182" s="42" t="str">
        <f>IF('GNI per capita'!BL182&lt;=Thresholds!$C$61,"L",IF('GNI per capita'!BL182&lt;=Thresholds!$D$61,"LM",IF('GNI per capita'!BL182&lt;=Thresholds!$E$61,"UM","H")))</f>
        <v>H</v>
      </c>
      <c r="BM182" s="42" t="str">
        <f>IF('GNI per capita'!BM182&lt;=Thresholds!$C$62,"L",IF('GNI per capita'!BM182&lt;=Thresholds!$D$62,"LM",IF('GNI per capita'!BM182&lt;=Thresholds!$E$62,"UM","H")))</f>
        <v>H</v>
      </c>
      <c r="BN182" s="42" t="str">
        <f>IF('GNI per capita'!BN182&lt;=Thresholds!$C$63,"L",IF('GNI per capita'!BN182&lt;=Thresholds!$D$63,"LM",IF('GNI per capita'!BN182&lt;=Thresholds!$E$63,"UM","H")))</f>
        <v>H</v>
      </c>
      <c r="BO182" s="42" t="str">
        <f>IF('GNI per capita'!BO182&lt;=Thresholds!$C$64,"L",IF('GNI per capita'!BO182&lt;=Thresholds!$D$64,"LM",IF('GNI per capita'!BO182&lt;=Thresholds!$E$64,"UM","H")))</f>
        <v>H</v>
      </c>
      <c r="BP182" s="42" t="str">
        <f>IF('GNI per capita'!BP182&lt;=Thresholds!$C$65,"L",IF('GNI per capita'!BP182&lt;=Thresholds!$D$65,"LM",IF('GNI per capita'!BP182&lt;=Thresholds!$E$65,"UM","H")))</f>
        <v>H</v>
      </c>
      <c r="BQ182" s="42" t="str">
        <f>IF('GNI per capita'!BQ182&lt;=Thresholds!$C$66,"L",IF('GNI per capita'!BQ182&lt;=Thresholds!$D$66,"LM",IF('GNI per capita'!BQ182&lt;=Thresholds!$E$66,"UM","H")))</f>
        <v>H</v>
      </c>
      <c r="BR182" s="42" t="str">
        <f>IF('GNI per capita'!BR182&lt;=Thresholds!$C$67,"L",IF('GNI per capita'!BR182&lt;=Thresholds!$D$67,"LM",IF('GNI per capita'!BR182&lt;=Thresholds!$E$67,"UM","H")))</f>
        <v>H</v>
      </c>
      <c r="BS182" s="42" t="str">
        <f>IF('GNI per capita'!BS182&lt;=Thresholds!$C$68,"L",IF('GNI per capita'!BS182&lt;=Thresholds!$D$68,"LM",IF('GNI per capita'!BS182&lt;=Thresholds!$E$68,"UM","H")))</f>
        <v>H</v>
      </c>
    </row>
    <row r="183" spans="1:71" x14ac:dyDescent="0.2">
      <c r="A183" s="2" t="s">
        <v>592</v>
      </c>
      <c r="B183" s="2" t="s">
        <v>593</v>
      </c>
      <c r="C183" s="11" t="s">
        <v>82</v>
      </c>
      <c r="G183" s="2" t="s">
        <v>162</v>
      </c>
      <c r="H183" s="41" t="s">
        <v>75</v>
      </c>
      <c r="I183" s="41" t="s">
        <v>75</v>
      </c>
      <c r="J183" s="41" t="s">
        <v>75</v>
      </c>
      <c r="K183" s="41" t="s">
        <v>75</v>
      </c>
      <c r="L183" s="41" t="s">
        <v>75</v>
      </c>
      <c r="M183" s="41" t="s">
        <v>75</v>
      </c>
      <c r="N183" s="41" t="s">
        <v>75</v>
      </c>
      <c r="O183" s="41" t="s">
        <v>75</v>
      </c>
      <c r="P183" s="41" t="s">
        <v>75</v>
      </c>
      <c r="Q183" s="41" t="s">
        <v>75</v>
      </c>
      <c r="R183" s="41" t="s">
        <v>210</v>
      </c>
      <c r="S183" s="41" t="s">
        <v>210</v>
      </c>
      <c r="T183" s="41" t="s">
        <v>210</v>
      </c>
      <c r="U183" s="41" t="s">
        <v>210</v>
      </c>
      <c r="V183" s="41" t="s">
        <v>210</v>
      </c>
      <c r="W183" s="41" t="s">
        <v>210</v>
      </c>
      <c r="X183" s="41" t="s">
        <v>210</v>
      </c>
      <c r="Y183" s="41" t="s">
        <v>210</v>
      </c>
      <c r="Z183" s="41" t="s">
        <v>210</v>
      </c>
      <c r="AA183" s="41" t="s">
        <v>210</v>
      </c>
      <c r="AB183" s="41" t="s">
        <v>210</v>
      </c>
      <c r="AC183" s="41" t="s">
        <v>210</v>
      </c>
      <c r="AD183" s="41" t="s">
        <v>210</v>
      </c>
      <c r="AE183" s="41" t="s">
        <v>210</v>
      </c>
      <c r="AF183" s="41" t="s">
        <v>210</v>
      </c>
      <c r="AG183" s="41" t="s">
        <v>210</v>
      </c>
      <c r="AH183" s="41" t="s">
        <v>210</v>
      </c>
      <c r="AI183" s="41" t="s">
        <v>210</v>
      </c>
      <c r="AJ183" s="41" t="s">
        <v>210</v>
      </c>
      <c r="AK183" s="41" t="s">
        <v>210</v>
      </c>
      <c r="AL183" s="41" t="s">
        <v>210</v>
      </c>
      <c r="AM183" s="41" t="s">
        <v>82</v>
      </c>
      <c r="AN183" s="41" t="s">
        <v>210</v>
      </c>
      <c r="AO183" s="41" t="s">
        <v>210</v>
      </c>
      <c r="AP183" s="41" t="s">
        <v>210</v>
      </c>
      <c r="AQ183" s="41" t="s">
        <v>210</v>
      </c>
      <c r="AR183" s="41" t="s">
        <v>210</v>
      </c>
      <c r="AS183" s="41" t="s">
        <v>210</v>
      </c>
      <c r="AT183" s="41" t="s">
        <v>82</v>
      </c>
      <c r="AU183" s="42" t="str">
        <f>IF('GNI per capita'!AU183&lt;=Thresholds!$C$44,"L",IF('GNI per capita'!AU183&lt;=Thresholds!$D$44,"LM",IF('GNI per capita'!AU183&lt;=Thresholds!$E$44,"UM","H")))</f>
        <v>UM</v>
      </c>
      <c r="AV183" s="42" t="str">
        <f>IF('GNI per capita'!AV183&lt;=Thresholds!$C$45,"L",IF('GNI per capita'!AV183&lt;=Thresholds!$D$45,"LM",IF('GNI per capita'!AV183&lt;=Thresholds!$E$45,"UM","H")))</f>
        <v>UM</v>
      </c>
      <c r="AW183" s="42" t="str">
        <f>IF('GNI per capita'!AW183&lt;=Thresholds!$C$46,"L",IF('GNI per capita'!AW183&lt;=Thresholds!$D$46,"LM",IF('GNI per capita'!AW183&lt;=Thresholds!$E$46,"UM","H")))</f>
        <v>UM</v>
      </c>
      <c r="AX183" s="42" t="str">
        <f>IF('GNI per capita'!AX183&lt;=Thresholds!$C$47,"L",IF('GNI per capita'!AX183&lt;=Thresholds!$D$47,"LM",IF('GNI per capita'!AX183&lt;=Thresholds!$E$47,"UM","H")))</f>
        <v>UM</v>
      </c>
      <c r="AY183" s="42" t="str">
        <f>IF('GNI per capita'!AY183&lt;=Thresholds!$C$48,"L",IF('GNI per capita'!AY183&lt;=Thresholds!$D$48,"LM",IF('GNI per capita'!AY183&lt;=Thresholds!$E$48,"UM","H")))</f>
        <v>UM</v>
      </c>
      <c r="AZ183" s="42" t="str">
        <f>IF('GNI per capita'!AZ183&lt;=Thresholds!$C$49,"L",IF('GNI per capita'!AZ183&lt;=Thresholds!$D$49,"LM",IF('GNI per capita'!AZ183&lt;=Thresholds!$E$49,"UM","H")))</f>
        <v>UM</v>
      </c>
      <c r="BA183" s="42" t="str">
        <f>IF('GNI per capita'!BA183&lt;=Thresholds!$C$50,"L",IF('GNI per capita'!BA183&lt;=Thresholds!$D$50,"LM",IF('GNI per capita'!BA183&lt;=Thresholds!$E$50,"UM","H")))</f>
        <v>UM</v>
      </c>
      <c r="BB183" s="42" t="str">
        <f>IF('GNI per capita'!BB183&lt;=Thresholds!$C$51,"L",IF('GNI per capita'!BB183&lt;=Thresholds!$D$51,"LM",IF('GNI per capita'!BB183&lt;=Thresholds!$E$51,"UM","H")))</f>
        <v>UM</v>
      </c>
      <c r="BC183" s="42" t="str">
        <f>IF('GNI per capita'!BC183&lt;=Thresholds!$C$52,"L",IF('GNI per capita'!BC183&lt;=Thresholds!$D$52,"LM",IF('GNI per capita'!BC183&lt;=Thresholds!$E$52,"UM","H")))</f>
        <v>UM</v>
      </c>
      <c r="BD183" s="42" t="str">
        <f>IF('GNI per capita'!BD183&lt;=Thresholds!$C$53,"L",IF('GNI per capita'!BD183&lt;=Thresholds!$D$53,"LM",IF('GNI per capita'!BD183&lt;=Thresholds!$E$53,"UM","H")))</f>
        <v>UM</v>
      </c>
      <c r="BE183" s="42" t="str">
        <f>IF('GNI per capita'!BE183&lt;=Thresholds!$C$54,"L",IF('GNI per capita'!BE183&lt;=Thresholds!$D$54,"LM",IF('GNI per capita'!BE183&lt;=Thresholds!$E$54,"UM","H")))</f>
        <v>UM</v>
      </c>
      <c r="BF183" s="42" t="str">
        <f>IF('GNI per capita'!BF183&lt;=Thresholds!$C$55,"L",IF('GNI per capita'!BF183&lt;=Thresholds!$D$55,"LM",IF('GNI per capita'!BF183&lt;=Thresholds!$E$55,"UM","H")))</f>
        <v>UM</v>
      </c>
      <c r="BG183" s="42" t="str">
        <f>IF('GNI per capita'!BG183&lt;=Thresholds!$C$56,"L",IF('GNI per capita'!BG183&lt;=Thresholds!$D$56,"LM",IF('GNI per capita'!BG183&lt;=Thresholds!$E$56,"UM","H")))</f>
        <v>UM</v>
      </c>
      <c r="BH183" s="42" t="str">
        <f>IF('GNI per capita'!BH183&lt;=Thresholds!$C$57,"L",IF('GNI per capita'!BH183&lt;=Thresholds!$D$57,"LM",IF('GNI per capita'!BH183&lt;=Thresholds!$E$57,"UM","H")))</f>
        <v>UM</v>
      </c>
      <c r="BI183" s="42" t="str">
        <f>IF('GNI per capita'!BI183&lt;=Thresholds!$C$58,"L",IF('GNI per capita'!BI183&lt;=Thresholds!$D$58,"LM",IF('GNI per capita'!BI183&lt;=Thresholds!$E$58,"UM","H")))</f>
        <v>UM</v>
      </c>
      <c r="BJ183" s="42" t="str">
        <f>IF('GNI per capita'!BJ183&lt;=Thresholds!$C$59,"L",IF('GNI per capita'!BJ183&lt;=Thresholds!$D$59,"LM",IF('GNI per capita'!BJ183&lt;=Thresholds!$E$59,"UM","H")))</f>
        <v>UM</v>
      </c>
      <c r="BK183" s="42" t="str">
        <f>IF('GNI per capita'!BK183&lt;=Thresholds!$C$60,"L",IF('GNI per capita'!BK183&lt;=Thresholds!$D$60,"LM",IF('GNI per capita'!BK183&lt;=Thresholds!$E$60,"UM","H")))</f>
        <v>UM</v>
      </c>
      <c r="BL183" s="42" t="str">
        <f>IF('GNI per capita'!BL183&lt;=Thresholds!$C$61,"L",IF('GNI per capita'!BL183&lt;=Thresholds!$D$61,"LM",IF('GNI per capita'!BL183&lt;=Thresholds!$E$61,"UM","H")))</f>
        <v>UM</v>
      </c>
      <c r="BM183" s="42" t="str">
        <f>IF('GNI per capita'!BM183&lt;=Thresholds!$C$62,"L",IF('GNI per capita'!BM183&lt;=Thresholds!$D$62,"LM",IF('GNI per capita'!BM183&lt;=Thresholds!$E$62,"UM","H")))</f>
        <v>UM</v>
      </c>
      <c r="BN183" s="42" t="str">
        <f>IF('GNI per capita'!BN183&lt;=Thresholds!$C$63,"L",IF('GNI per capita'!BN183&lt;=Thresholds!$D$63,"LM",IF('GNI per capita'!BN183&lt;=Thresholds!$E$63,"UM","H")))</f>
        <v>UM</v>
      </c>
      <c r="BO183" s="42" t="str">
        <f>IF('GNI per capita'!BO183&lt;=Thresholds!$C$64,"L",IF('GNI per capita'!BO183&lt;=Thresholds!$D$64,"LM",IF('GNI per capita'!BO183&lt;=Thresholds!$E$64,"UM","H")))</f>
        <v>UM</v>
      </c>
      <c r="BP183" s="42" t="str">
        <f>IF('GNI per capita'!BP183&lt;=Thresholds!$C$65,"L",IF('GNI per capita'!BP183&lt;=Thresholds!$D$65,"LM",IF('GNI per capita'!BP183&lt;=Thresholds!$E$65,"UM","H")))</f>
        <v>UM</v>
      </c>
      <c r="BQ183" s="42" t="str">
        <f>IF('GNI per capita'!BQ183&lt;=Thresholds!$C$66,"L",IF('GNI per capita'!BQ183&lt;=Thresholds!$D$66,"LM",IF('GNI per capita'!BQ183&lt;=Thresholds!$E$66,"UM","H")))</f>
        <v>UM</v>
      </c>
      <c r="BR183" s="42" t="str">
        <f>IF('GNI per capita'!BR183&lt;=Thresholds!$C$67,"L",IF('GNI per capita'!BR183&lt;=Thresholds!$D$67,"LM",IF('GNI per capita'!BR183&lt;=Thresholds!$E$67,"UM","H")))</f>
        <v>UM</v>
      </c>
      <c r="BS183" s="42" t="str">
        <f>IF('GNI per capita'!BS183&lt;=Thresholds!$C$68,"L",IF('GNI per capita'!BS183&lt;=Thresholds!$D$68,"LM",IF('GNI per capita'!BS183&lt;=Thresholds!$E$68,"UM","H")))</f>
        <v>UM</v>
      </c>
    </row>
    <row r="184" spans="1:71" x14ac:dyDescent="0.2">
      <c r="A184" s="2" t="s">
        <v>594</v>
      </c>
      <c r="B184" s="2" t="s">
        <v>595</v>
      </c>
      <c r="C184" s="11" t="s">
        <v>79</v>
      </c>
      <c r="G184" s="2" t="s">
        <v>162</v>
      </c>
      <c r="H184" s="41" t="s">
        <v>82</v>
      </c>
      <c r="I184" s="41" t="s">
        <v>82</v>
      </c>
      <c r="J184" s="41" t="s">
        <v>82</v>
      </c>
      <c r="K184" s="41" t="s">
        <v>82</v>
      </c>
      <c r="L184" s="41" t="s">
        <v>82</v>
      </c>
      <c r="M184" s="41" t="s">
        <v>82</v>
      </c>
      <c r="N184" s="41" t="s">
        <v>82</v>
      </c>
      <c r="O184" s="41" t="s">
        <v>82</v>
      </c>
      <c r="P184" s="41" t="s">
        <v>82</v>
      </c>
      <c r="Q184" s="41" t="s">
        <v>82</v>
      </c>
      <c r="R184" s="41" t="s">
        <v>82</v>
      </c>
      <c r="S184" s="41" t="s">
        <v>82</v>
      </c>
      <c r="T184" s="41" t="s">
        <v>82</v>
      </c>
      <c r="U184" s="41" t="s">
        <v>82</v>
      </c>
      <c r="V184" s="41" t="s">
        <v>82</v>
      </c>
      <c r="W184" s="41" t="s">
        <v>82</v>
      </c>
      <c r="X184" s="41" t="s">
        <v>82</v>
      </c>
      <c r="Y184" s="41" t="s">
        <v>82</v>
      </c>
      <c r="Z184" s="41" t="s">
        <v>82</v>
      </c>
      <c r="AA184" s="41" t="s">
        <v>82</v>
      </c>
      <c r="AB184" s="41" t="s">
        <v>82</v>
      </c>
      <c r="AC184" s="41" t="s">
        <v>82</v>
      </c>
      <c r="AD184" s="41" t="s">
        <v>82</v>
      </c>
      <c r="AE184" s="41" t="s">
        <v>82</v>
      </c>
      <c r="AF184" s="41" t="s">
        <v>79</v>
      </c>
      <c r="AG184" s="41" t="s">
        <v>79</v>
      </c>
      <c r="AH184" s="41" t="s">
        <v>79</v>
      </c>
      <c r="AI184" s="41" t="s">
        <v>79</v>
      </c>
      <c r="AJ184" s="41" t="s">
        <v>79</v>
      </c>
      <c r="AK184" s="41" t="s">
        <v>79</v>
      </c>
      <c r="AL184" s="41" t="s">
        <v>79</v>
      </c>
      <c r="AM184" s="41" t="s">
        <v>79</v>
      </c>
      <c r="AN184" s="41" t="s">
        <v>79</v>
      </c>
      <c r="AO184" s="41" t="s">
        <v>79</v>
      </c>
      <c r="AP184" s="41" t="s">
        <v>79</v>
      </c>
      <c r="AQ184" s="41" t="s">
        <v>79</v>
      </c>
      <c r="AR184" s="41" t="s">
        <v>79</v>
      </c>
      <c r="AS184" s="41" t="s">
        <v>79</v>
      </c>
      <c r="AT184" s="41" t="s">
        <v>79</v>
      </c>
      <c r="AU184" s="42" t="str">
        <f>IF('GNI per capita'!AU184&lt;=Thresholds!$C$44,"L",IF('GNI per capita'!AU184&lt;=Thresholds!$D$44,"LM",IF('GNI per capita'!AU184&lt;=Thresholds!$E$44,"UM","H")))</f>
        <v>H</v>
      </c>
      <c r="AV184" s="42" t="str">
        <f>IF('GNI per capita'!AV184&lt;=Thresholds!$C$45,"L",IF('GNI per capita'!AV184&lt;=Thresholds!$D$45,"LM",IF('GNI per capita'!AV184&lt;=Thresholds!$E$45,"UM","H")))</f>
        <v>H</v>
      </c>
      <c r="AW184" s="42" t="str">
        <f>IF('GNI per capita'!AW184&lt;=Thresholds!$C$46,"L",IF('GNI per capita'!AW184&lt;=Thresholds!$D$46,"LM",IF('GNI per capita'!AW184&lt;=Thresholds!$E$46,"UM","H")))</f>
        <v>H</v>
      </c>
      <c r="AX184" s="42" t="str">
        <f>IF('GNI per capita'!AX184&lt;=Thresholds!$C$47,"L",IF('GNI per capita'!AX184&lt;=Thresholds!$D$47,"LM",IF('GNI per capita'!AX184&lt;=Thresholds!$E$47,"UM","H")))</f>
        <v>H</v>
      </c>
      <c r="AY184" s="42" t="str">
        <f>IF('GNI per capita'!AY184&lt;=Thresholds!$C$48,"L",IF('GNI per capita'!AY184&lt;=Thresholds!$D$48,"LM",IF('GNI per capita'!AY184&lt;=Thresholds!$E$48,"UM","H")))</f>
        <v>H</v>
      </c>
      <c r="AZ184" s="42" t="str">
        <f>IF('GNI per capita'!AZ184&lt;=Thresholds!$C$49,"L",IF('GNI per capita'!AZ184&lt;=Thresholds!$D$49,"LM",IF('GNI per capita'!AZ184&lt;=Thresholds!$E$49,"UM","H")))</f>
        <v>H</v>
      </c>
      <c r="BA184" s="42" t="str">
        <f>IF('GNI per capita'!BA184&lt;=Thresholds!$C$50,"L",IF('GNI per capita'!BA184&lt;=Thresholds!$D$50,"LM",IF('GNI per capita'!BA184&lt;=Thresholds!$E$50,"UM","H")))</f>
        <v>H</v>
      </c>
      <c r="BB184" s="42" t="str">
        <f>IF('GNI per capita'!BB184&lt;=Thresholds!$C$51,"L",IF('GNI per capita'!BB184&lt;=Thresholds!$D$51,"LM",IF('GNI per capita'!BB184&lt;=Thresholds!$E$51,"UM","H")))</f>
        <v>H</v>
      </c>
      <c r="BC184" s="42" t="str">
        <f>IF('GNI per capita'!BC184&lt;=Thresholds!$C$52,"L",IF('GNI per capita'!BC184&lt;=Thresholds!$D$52,"LM",IF('GNI per capita'!BC184&lt;=Thresholds!$E$52,"UM","H")))</f>
        <v>H</v>
      </c>
      <c r="BD184" s="42" t="str">
        <f>IF('GNI per capita'!BD184&lt;=Thresholds!$C$53,"L",IF('GNI per capita'!BD184&lt;=Thresholds!$D$53,"LM",IF('GNI per capita'!BD184&lt;=Thresholds!$E$53,"UM","H")))</f>
        <v>H</v>
      </c>
      <c r="BE184" s="42" t="str">
        <f>IF('GNI per capita'!BE184&lt;=Thresholds!$C$54,"L",IF('GNI per capita'!BE184&lt;=Thresholds!$D$54,"LM",IF('GNI per capita'!BE184&lt;=Thresholds!$E$54,"UM","H")))</f>
        <v>H</v>
      </c>
      <c r="BF184" s="42" t="str">
        <f>IF('GNI per capita'!BF184&lt;=Thresholds!$C$55,"L",IF('GNI per capita'!BF184&lt;=Thresholds!$D$55,"LM",IF('GNI per capita'!BF184&lt;=Thresholds!$E$55,"UM","H")))</f>
        <v>H</v>
      </c>
      <c r="BG184" s="42" t="str">
        <f>IF('GNI per capita'!BG184&lt;=Thresholds!$C$56,"L",IF('GNI per capita'!BG184&lt;=Thresholds!$D$56,"LM",IF('GNI per capita'!BG184&lt;=Thresholds!$E$56,"UM","H")))</f>
        <v>H</v>
      </c>
      <c r="BH184" s="42" t="str">
        <f>IF('GNI per capita'!BH184&lt;=Thresholds!$C$57,"L",IF('GNI per capita'!BH184&lt;=Thresholds!$D$57,"LM",IF('GNI per capita'!BH184&lt;=Thresholds!$E$57,"UM","H")))</f>
        <v>H</v>
      </c>
      <c r="BI184" s="42" t="str">
        <f>IF('GNI per capita'!BI184&lt;=Thresholds!$C$58,"L",IF('GNI per capita'!BI184&lt;=Thresholds!$D$58,"LM",IF('GNI per capita'!BI184&lt;=Thresholds!$E$58,"UM","H")))</f>
        <v>H</v>
      </c>
      <c r="BJ184" s="42" t="str">
        <f>IF('GNI per capita'!BJ184&lt;=Thresholds!$C$59,"L",IF('GNI per capita'!BJ184&lt;=Thresholds!$D$59,"LM",IF('GNI per capita'!BJ184&lt;=Thresholds!$E$59,"UM","H")))</f>
        <v>H</v>
      </c>
      <c r="BK184" s="42" t="str">
        <f>IF('GNI per capita'!BK184&lt;=Thresholds!$C$60,"L",IF('GNI per capita'!BK184&lt;=Thresholds!$D$60,"LM",IF('GNI per capita'!BK184&lt;=Thresholds!$E$60,"UM","H")))</f>
        <v>H</v>
      </c>
      <c r="BL184" s="42" t="str">
        <f>IF('GNI per capita'!BL184&lt;=Thresholds!$C$61,"L",IF('GNI per capita'!BL184&lt;=Thresholds!$D$61,"LM",IF('GNI per capita'!BL184&lt;=Thresholds!$E$61,"UM","H")))</f>
        <v>H</v>
      </c>
      <c r="BM184" s="42" t="str">
        <f>IF('GNI per capita'!BM184&lt;=Thresholds!$C$62,"L",IF('GNI per capita'!BM184&lt;=Thresholds!$D$62,"LM",IF('GNI per capita'!BM184&lt;=Thresholds!$E$62,"UM","H")))</f>
        <v>H</v>
      </c>
      <c r="BN184" s="42" t="str">
        <f>IF('GNI per capita'!BN184&lt;=Thresholds!$C$63,"L",IF('GNI per capita'!BN184&lt;=Thresholds!$D$63,"LM",IF('GNI per capita'!BN184&lt;=Thresholds!$E$63,"UM","H")))</f>
        <v>H</v>
      </c>
      <c r="BO184" s="42" t="str">
        <f>IF('GNI per capita'!BO184&lt;=Thresholds!$C$64,"L",IF('GNI per capita'!BO184&lt;=Thresholds!$D$64,"LM",IF('GNI per capita'!BO184&lt;=Thresholds!$E$64,"UM","H")))</f>
        <v>H</v>
      </c>
      <c r="BP184" s="42" t="str">
        <f>IF('GNI per capita'!BP184&lt;=Thresholds!$C$65,"L",IF('GNI per capita'!BP184&lt;=Thresholds!$D$65,"LM",IF('GNI per capita'!BP184&lt;=Thresholds!$E$65,"UM","H")))</f>
        <v>H</v>
      </c>
      <c r="BQ184" s="42" t="str">
        <f>IF('GNI per capita'!BQ184&lt;=Thresholds!$C$66,"L",IF('GNI per capita'!BQ184&lt;=Thresholds!$D$66,"LM",IF('GNI per capita'!BQ184&lt;=Thresholds!$E$66,"UM","H")))</f>
        <v>H</v>
      </c>
      <c r="BR184" s="42" t="str">
        <f>IF('GNI per capita'!BR184&lt;=Thresholds!$C$67,"L",IF('GNI per capita'!BR184&lt;=Thresholds!$D$67,"LM",IF('GNI per capita'!BR184&lt;=Thresholds!$E$67,"UM","H")))</f>
        <v>H</v>
      </c>
      <c r="BS184" s="42" t="str">
        <f>IF('GNI per capita'!BS184&lt;=Thresholds!$C$68,"L",IF('GNI per capita'!BS184&lt;=Thresholds!$D$68,"LM",IF('GNI per capita'!BS184&lt;=Thresholds!$E$68,"UM","H")))</f>
        <v>H</v>
      </c>
    </row>
    <row r="185" spans="1:71" x14ac:dyDescent="0.2">
      <c r="A185" s="2" t="s">
        <v>596</v>
      </c>
      <c r="B185" s="2" t="s">
        <v>597</v>
      </c>
      <c r="C185" s="11" t="s">
        <v>82</v>
      </c>
      <c r="G185" s="2" t="s">
        <v>162</v>
      </c>
      <c r="H185" s="41" t="s">
        <v>210</v>
      </c>
      <c r="I185" s="41" t="s">
        <v>210</v>
      </c>
      <c r="J185" s="41" t="s">
        <v>210</v>
      </c>
      <c r="K185" s="41" t="s">
        <v>210</v>
      </c>
      <c r="L185" s="41" t="s">
        <v>210</v>
      </c>
      <c r="M185" s="41" t="s">
        <v>82</v>
      </c>
      <c r="N185" s="41" t="s">
        <v>82</v>
      </c>
      <c r="O185" s="41" t="s">
        <v>82</v>
      </c>
      <c r="P185" s="41" t="s">
        <v>82</v>
      </c>
      <c r="Q185" s="41" t="s">
        <v>82</v>
      </c>
      <c r="R185" s="41" t="s">
        <v>82</v>
      </c>
      <c r="S185" s="41" t="s">
        <v>82</v>
      </c>
      <c r="T185" s="41" t="s">
        <v>82</v>
      </c>
      <c r="U185" s="41" t="s">
        <v>82</v>
      </c>
      <c r="V185" s="41" t="s">
        <v>82</v>
      </c>
      <c r="W185" s="41" t="s">
        <v>82</v>
      </c>
      <c r="X185" s="41" t="s">
        <v>82</v>
      </c>
      <c r="Y185" s="41" t="s">
        <v>82</v>
      </c>
      <c r="Z185" s="41" t="s">
        <v>82</v>
      </c>
      <c r="AA185" s="41" t="s">
        <v>82</v>
      </c>
      <c r="AB185" s="41" t="s">
        <v>82</v>
      </c>
      <c r="AC185" s="41" t="s">
        <v>82</v>
      </c>
      <c r="AD185" s="41" t="s">
        <v>82</v>
      </c>
      <c r="AE185" s="41" t="s">
        <v>82</v>
      </c>
      <c r="AF185" s="41" t="s">
        <v>82</v>
      </c>
      <c r="AG185" s="41" t="s">
        <v>82</v>
      </c>
      <c r="AH185" s="41" t="s">
        <v>82</v>
      </c>
      <c r="AI185" s="41" t="s">
        <v>82</v>
      </c>
      <c r="AJ185" s="41" t="s">
        <v>82</v>
      </c>
      <c r="AK185" s="41" t="s">
        <v>82</v>
      </c>
      <c r="AL185" s="41" t="s">
        <v>82</v>
      </c>
      <c r="AM185" s="41" t="s">
        <v>82</v>
      </c>
      <c r="AN185" s="41" t="s">
        <v>82</v>
      </c>
      <c r="AO185" s="41" t="s">
        <v>82</v>
      </c>
      <c r="AP185" s="41" t="s">
        <v>82</v>
      </c>
      <c r="AQ185" s="41" t="s">
        <v>82</v>
      </c>
      <c r="AR185" s="41" t="s">
        <v>82</v>
      </c>
      <c r="AS185" s="41" t="s">
        <v>82</v>
      </c>
      <c r="AT185" s="41" t="s">
        <v>82</v>
      </c>
      <c r="AU185" s="42" t="str">
        <f>IF('GNI per capita'!AU185&lt;=Thresholds!$C$44,"L",IF('GNI per capita'!AU185&lt;=Thresholds!$D$44,"LM",IF('GNI per capita'!AU185&lt;=Thresholds!$E$44,"UM","H")))</f>
        <v>UM</v>
      </c>
      <c r="AV185" s="42" t="str">
        <f>IF('GNI per capita'!AV185&lt;=Thresholds!$C$45,"L",IF('GNI per capita'!AV185&lt;=Thresholds!$D$45,"LM",IF('GNI per capita'!AV185&lt;=Thresholds!$E$45,"UM","H")))</f>
        <v>H</v>
      </c>
      <c r="AW185" s="42" t="str">
        <f>IF('GNI per capita'!AW185&lt;=Thresholds!$C$46,"L",IF('GNI per capita'!AW185&lt;=Thresholds!$D$46,"LM",IF('GNI per capita'!AW185&lt;=Thresholds!$E$46,"UM","H")))</f>
        <v>H</v>
      </c>
      <c r="AX185" s="42" t="str">
        <f>IF('GNI per capita'!AX185&lt;=Thresholds!$C$47,"L",IF('GNI per capita'!AX185&lt;=Thresholds!$D$47,"LM",IF('GNI per capita'!AX185&lt;=Thresholds!$E$47,"UM","H")))</f>
        <v>H</v>
      </c>
      <c r="AY185" s="42" t="str">
        <f>IF('GNI per capita'!AY185&lt;=Thresholds!$C$48,"L",IF('GNI per capita'!AY185&lt;=Thresholds!$D$48,"LM",IF('GNI per capita'!AY185&lt;=Thresholds!$E$48,"UM","H")))</f>
        <v>H</v>
      </c>
      <c r="AZ185" s="42" t="str">
        <f>IF('GNI per capita'!AZ185&lt;=Thresholds!$C$49,"L",IF('GNI per capita'!AZ185&lt;=Thresholds!$D$49,"LM",IF('GNI per capita'!AZ185&lt;=Thresholds!$E$49,"UM","H")))</f>
        <v>H</v>
      </c>
      <c r="BA185" s="42" t="str">
        <f>IF('GNI per capita'!BA185&lt;=Thresholds!$C$50,"L",IF('GNI per capita'!BA185&lt;=Thresholds!$D$50,"LM",IF('GNI per capita'!BA185&lt;=Thresholds!$E$50,"UM","H")))</f>
        <v>H</v>
      </c>
      <c r="BB185" s="42" t="str">
        <f>IF('GNI per capita'!BB185&lt;=Thresholds!$C$51,"L",IF('GNI per capita'!BB185&lt;=Thresholds!$D$51,"LM",IF('GNI per capita'!BB185&lt;=Thresholds!$E$51,"UM","H")))</f>
        <v>H</v>
      </c>
      <c r="BC185" s="42" t="str">
        <f>IF('GNI per capita'!BC185&lt;=Thresholds!$C$52,"L",IF('GNI per capita'!BC185&lt;=Thresholds!$D$52,"LM",IF('GNI per capita'!BC185&lt;=Thresholds!$E$52,"UM","H")))</f>
        <v>H</v>
      </c>
      <c r="BD185" s="42" t="str">
        <f>IF('GNI per capita'!BD185&lt;=Thresholds!$C$53,"L",IF('GNI per capita'!BD185&lt;=Thresholds!$D$53,"LM",IF('GNI per capita'!BD185&lt;=Thresholds!$E$53,"UM","H")))</f>
        <v>H</v>
      </c>
      <c r="BE185" s="42" t="str">
        <f>IF('GNI per capita'!BE185&lt;=Thresholds!$C$54,"L",IF('GNI per capita'!BE185&lt;=Thresholds!$D$54,"LM",IF('GNI per capita'!BE185&lt;=Thresholds!$E$54,"UM","H")))</f>
        <v>H</v>
      </c>
      <c r="BF185" s="42" t="str">
        <f>IF('GNI per capita'!BF185&lt;=Thresholds!$C$55,"L",IF('GNI per capita'!BF185&lt;=Thresholds!$D$55,"LM",IF('GNI per capita'!BF185&lt;=Thresholds!$E$55,"UM","H")))</f>
        <v>H</v>
      </c>
      <c r="BG185" s="42" t="str">
        <f>IF('GNI per capita'!BG185&lt;=Thresholds!$C$56,"L",IF('GNI per capita'!BG185&lt;=Thresholds!$D$56,"LM",IF('GNI per capita'!BG185&lt;=Thresholds!$E$56,"UM","H")))</f>
        <v>H</v>
      </c>
      <c r="BH185" s="42" t="str">
        <f>IF('GNI per capita'!BH185&lt;=Thresholds!$C$57,"L",IF('GNI per capita'!BH185&lt;=Thresholds!$D$57,"LM",IF('GNI per capita'!BH185&lt;=Thresholds!$E$57,"UM","H")))</f>
        <v>H</v>
      </c>
      <c r="BI185" s="42" t="str">
        <f>IF('GNI per capita'!BI185&lt;=Thresholds!$C$58,"L",IF('GNI per capita'!BI185&lt;=Thresholds!$D$58,"LM",IF('GNI per capita'!BI185&lt;=Thresholds!$E$58,"UM","H")))</f>
        <v>H</v>
      </c>
      <c r="BJ185" s="42" t="str">
        <f>IF('GNI per capita'!BJ185&lt;=Thresholds!$C$59,"L",IF('GNI per capita'!BJ185&lt;=Thresholds!$D$59,"LM",IF('GNI per capita'!BJ185&lt;=Thresholds!$E$59,"UM","H")))</f>
        <v>H</v>
      </c>
      <c r="BK185" s="42" t="str">
        <f>IF('GNI per capita'!BK185&lt;=Thresholds!$C$60,"L",IF('GNI per capita'!BK185&lt;=Thresholds!$D$60,"LM",IF('GNI per capita'!BK185&lt;=Thresholds!$E$60,"UM","H")))</f>
        <v>H</v>
      </c>
      <c r="BL185" s="42" t="str">
        <f>IF('GNI per capita'!BL185&lt;=Thresholds!$C$61,"L",IF('GNI per capita'!BL185&lt;=Thresholds!$D$61,"LM",IF('GNI per capita'!BL185&lt;=Thresholds!$E$61,"UM","H")))</f>
        <v>H</v>
      </c>
      <c r="BM185" s="42" t="str">
        <f>IF('GNI per capita'!BM185&lt;=Thresholds!$C$62,"L",IF('GNI per capita'!BM185&lt;=Thresholds!$D$62,"LM",IF('GNI per capita'!BM185&lt;=Thresholds!$E$62,"UM","H")))</f>
        <v>H</v>
      </c>
      <c r="BN185" s="42" t="str">
        <f>IF('GNI per capita'!BN185&lt;=Thresholds!$C$63,"L",IF('GNI per capita'!BN185&lt;=Thresholds!$D$63,"LM",IF('GNI per capita'!BN185&lt;=Thresholds!$E$63,"UM","H")))</f>
        <v>H</v>
      </c>
      <c r="BO185" s="42" t="str">
        <f>IF('GNI per capita'!BO185&lt;=Thresholds!$C$64,"L",IF('GNI per capita'!BO185&lt;=Thresholds!$D$64,"LM",IF('GNI per capita'!BO185&lt;=Thresholds!$E$64,"UM","H")))</f>
        <v>H</v>
      </c>
      <c r="BP185" s="42" t="str">
        <f>IF('GNI per capita'!BP185&lt;=Thresholds!$C$65,"L",IF('GNI per capita'!BP185&lt;=Thresholds!$D$65,"LM",IF('GNI per capita'!BP185&lt;=Thresholds!$E$65,"UM","H")))</f>
        <v>H</v>
      </c>
      <c r="BQ185" s="42" t="str">
        <f>IF('GNI per capita'!BQ185&lt;=Thresholds!$C$66,"L",IF('GNI per capita'!BQ185&lt;=Thresholds!$D$66,"LM",IF('GNI per capita'!BQ185&lt;=Thresholds!$E$66,"UM","H")))</f>
        <v>H</v>
      </c>
      <c r="BR185" s="42" t="str">
        <f>IF('GNI per capita'!BR185&lt;=Thresholds!$C$67,"L",IF('GNI per capita'!BR185&lt;=Thresholds!$D$67,"LM",IF('GNI per capita'!BR185&lt;=Thresholds!$E$67,"UM","H")))</f>
        <v>H</v>
      </c>
      <c r="BS185" s="42" t="str">
        <f>IF('GNI per capita'!BS185&lt;=Thresholds!$C$68,"L",IF('GNI per capita'!BS185&lt;=Thresholds!$D$68,"LM",IF('GNI per capita'!BS185&lt;=Thresholds!$E$68,"UM","H")))</f>
        <v>H</v>
      </c>
    </row>
    <row r="186" spans="1:71" x14ac:dyDescent="0.2">
      <c r="A186" s="2" t="s">
        <v>598</v>
      </c>
      <c r="B186" s="2" t="s">
        <v>599</v>
      </c>
      <c r="C186" s="11" t="s">
        <v>79</v>
      </c>
      <c r="G186" s="28" t="s">
        <v>204</v>
      </c>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t="s">
        <v>79</v>
      </c>
      <c r="AF186" s="41" t="s">
        <v>79</v>
      </c>
      <c r="AG186" s="41" t="s">
        <v>79</v>
      </c>
      <c r="AH186" s="41" t="s">
        <v>79</v>
      </c>
      <c r="AI186" s="41" t="s">
        <v>79</v>
      </c>
      <c r="AJ186" s="41" t="s">
        <v>79</v>
      </c>
      <c r="AK186" s="41" t="s">
        <v>79</v>
      </c>
      <c r="AL186" s="41" t="s">
        <v>79</v>
      </c>
      <c r="AM186" s="41" t="s">
        <v>79</v>
      </c>
      <c r="AN186" s="41" t="s">
        <v>79</v>
      </c>
      <c r="AO186" s="41" t="s">
        <v>79</v>
      </c>
      <c r="AP186" s="41" t="s">
        <v>79</v>
      </c>
      <c r="AQ186" s="41" t="s">
        <v>79</v>
      </c>
      <c r="AR186" s="41" t="s">
        <v>79</v>
      </c>
      <c r="AS186" s="41" t="s">
        <v>79</v>
      </c>
      <c r="AT186" s="41" t="s">
        <v>79</v>
      </c>
      <c r="AU186" s="42" t="str">
        <f t="shared" ref="AU186:BS186" si="16">$C186</f>
        <v>H</v>
      </c>
      <c r="AV186" s="42" t="str">
        <f t="shared" si="16"/>
        <v>H</v>
      </c>
      <c r="AW186" s="42" t="str">
        <f t="shared" si="16"/>
        <v>H</v>
      </c>
      <c r="AX186" s="42" t="str">
        <f t="shared" si="16"/>
        <v>H</v>
      </c>
      <c r="AY186" s="42" t="str">
        <f t="shared" si="16"/>
        <v>H</v>
      </c>
      <c r="AZ186" s="42" t="str">
        <f t="shared" si="16"/>
        <v>H</v>
      </c>
      <c r="BA186" s="42" t="str">
        <f t="shared" si="16"/>
        <v>H</v>
      </c>
      <c r="BB186" s="42" t="str">
        <f t="shared" si="16"/>
        <v>H</v>
      </c>
      <c r="BC186" s="42" t="str">
        <f t="shared" si="16"/>
        <v>H</v>
      </c>
      <c r="BD186" s="42" t="str">
        <f t="shared" si="16"/>
        <v>H</v>
      </c>
      <c r="BE186" s="42" t="str">
        <f t="shared" si="16"/>
        <v>H</v>
      </c>
      <c r="BF186" s="42" t="str">
        <f t="shared" si="16"/>
        <v>H</v>
      </c>
      <c r="BG186" s="42" t="str">
        <f t="shared" si="16"/>
        <v>H</v>
      </c>
      <c r="BH186" s="42" t="str">
        <f t="shared" si="16"/>
        <v>H</v>
      </c>
      <c r="BI186" s="42" t="str">
        <f t="shared" si="16"/>
        <v>H</v>
      </c>
      <c r="BJ186" s="42" t="str">
        <f t="shared" si="16"/>
        <v>H</v>
      </c>
      <c r="BK186" s="42" t="str">
        <f t="shared" si="16"/>
        <v>H</v>
      </c>
      <c r="BL186" s="42" t="str">
        <f t="shared" si="16"/>
        <v>H</v>
      </c>
      <c r="BM186" s="42" t="str">
        <f t="shared" si="16"/>
        <v>H</v>
      </c>
      <c r="BN186" s="42" t="str">
        <f t="shared" si="16"/>
        <v>H</v>
      </c>
      <c r="BO186" s="42" t="str">
        <f t="shared" si="16"/>
        <v>H</v>
      </c>
      <c r="BP186" s="42" t="str">
        <f t="shared" si="16"/>
        <v>H</v>
      </c>
      <c r="BQ186" s="42" t="str">
        <f t="shared" si="16"/>
        <v>H</v>
      </c>
      <c r="BR186" s="42" t="str">
        <f t="shared" si="16"/>
        <v>H</v>
      </c>
      <c r="BS186" s="42" t="str">
        <f t="shared" si="16"/>
        <v>H</v>
      </c>
    </row>
    <row r="187" spans="1:71" x14ac:dyDescent="0.2">
      <c r="A187" s="2" t="s">
        <v>600</v>
      </c>
      <c r="B187" s="2" t="s">
        <v>601</v>
      </c>
      <c r="C187" s="11" t="s">
        <v>82</v>
      </c>
      <c r="G187" s="2" t="s">
        <v>162</v>
      </c>
      <c r="H187" s="41" t="s">
        <v>210</v>
      </c>
      <c r="I187" s="41" t="s">
        <v>210</v>
      </c>
      <c r="J187" s="41" t="s">
        <v>210</v>
      </c>
      <c r="K187" s="41" t="s">
        <v>210</v>
      </c>
      <c r="L187" s="41" t="s">
        <v>210</v>
      </c>
      <c r="M187" s="41" t="s">
        <v>210</v>
      </c>
      <c r="N187" s="41" t="s">
        <v>210</v>
      </c>
      <c r="O187" s="41" t="s">
        <v>210</v>
      </c>
      <c r="P187" s="41" t="s">
        <v>210</v>
      </c>
      <c r="Q187" s="41" t="s">
        <v>210</v>
      </c>
      <c r="R187" s="41" t="s">
        <v>210</v>
      </c>
      <c r="S187" s="41" t="s">
        <v>210</v>
      </c>
      <c r="T187" s="41" t="s">
        <v>210</v>
      </c>
      <c r="U187" s="41" t="s">
        <v>210</v>
      </c>
      <c r="V187" s="41" t="s">
        <v>210</v>
      </c>
      <c r="W187" s="41" t="s">
        <v>210</v>
      </c>
      <c r="X187" s="41" t="s">
        <v>82</v>
      </c>
      <c r="Y187" s="41" t="s">
        <v>82</v>
      </c>
      <c r="Z187" s="41" t="s">
        <v>82</v>
      </c>
      <c r="AA187" s="41" t="s">
        <v>82</v>
      </c>
      <c r="AB187" s="41" t="s">
        <v>82</v>
      </c>
      <c r="AC187" s="41" t="s">
        <v>82</v>
      </c>
      <c r="AD187" s="41" t="s">
        <v>82</v>
      </c>
      <c r="AE187" s="41" t="s">
        <v>82</v>
      </c>
      <c r="AF187" s="41" t="s">
        <v>82</v>
      </c>
      <c r="AG187" s="41" t="s">
        <v>82</v>
      </c>
      <c r="AH187" s="41" t="s">
        <v>82</v>
      </c>
      <c r="AI187" s="41" t="s">
        <v>82</v>
      </c>
      <c r="AJ187" s="41" t="s">
        <v>82</v>
      </c>
      <c r="AK187" s="41" t="s">
        <v>82</v>
      </c>
      <c r="AL187" s="41" t="s">
        <v>82</v>
      </c>
      <c r="AM187" s="41" t="s">
        <v>82</v>
      </c>
      <c r="AN187" s="41" t="s">
        <v>82</v>
      </c>
      <c r="AO187" s="41" t="s">
        <v>82</v>
      </c>
      <c r="AP187" s="41" t="s">
        <v>82</v>
      </c>
      <c r="AQ187" s="41" t="s">
        <v>82</v>
      </c>
      <c r="AR187" s="41" t="s">
        <v>82</v>
      </c>
      <c r="AS187" s="41" t="s">
        <v>82</v>
      </c>
      <c r="AT187" s="41" t="s">
        <v>82</v>
      </c>
      <c r="AU187" s="42" t="str">
        <f>IF('GNI per capita'!AU187&lt;=Thresholds!$C$44,"L",IF('GNI per capita'!AU187&lt;=Thresholds!$D$44,"LM",IF('GNI per capita'!AU187&lt;=Thresholds!$E$44,"UM","H")))</f>
        <v>UM</v>
      </c>
      <c r="AV187" s="42" t="str">
        <f>IF('GNI per capita'!AV187&lt;=Thresholds!$C$45,"L",IF('GNI per capita'!AV187&lt;=Thresholds!$D$45,"LM",IF('GNI per capita'!AV187&lt;=Thresholds!$E$45,"UM","H")))</f>
        <v>UM</v>
      </c>
      <c r="AW187" s="42" t="str">
        <f>IF('GNI per capita'!AW187&lt;=Thresholds!$C$46,"L",IF('GNI per capita'!AW187&lt;=Thresholds!$D$46,"LM",IF('GNI per capita'!AW187&lt;=Thresholds!$E$46,"UM","H")))</f>
        <v>UM</v>
      </c>
      <c r="AX187" s="42" t="str">
        <f>IF('GNI per capita'!AX187&lt;=Thresholds!$C$47,"L",IF('GNI per capita'!AX187&lt;=Thresholds!$D$47,"LM",IF('GNI per capita'!AX187&lt;=Thresholds!$E$47,"UM","H")))</f>
        <v>H</v>
      </c>
      <c r="AY187" s="42" t="str">
        <f>IF('GNI per capita'!AY187&lt;=Thresholds!$C$48,"L",IF('GNI per capita'!AY187&lt;=Thresholds!$D$48,"LM",IF('GNI per capita'!AY187&lt;=Thresholds!$E$48,"UM","H")))</f>
        <v>H</v>
      </c>
      <c r="AZ187" s="42" t="str">
        <f>IF('GNI per capita'!AZ187&lt;=Thresholds!$C$49,"L",IF('GNI per capita'!AZ187&lt;=Thresholds!$D$49,"LM",IF('GNI per capita'!AZ187&lt;=Thresholds!$E$49,"UM","H")))</f>
        <v>H</v>
      </c>
      <c r="BA187" s="42" t="str">
        <f>IF('GNI per capita'!BA187&lt;=Thresholds!$C$50,"L",IF('GNI per capita'!BA187&lt;=Thresholds!$D$50,"LM",IF('GNI per capita'!BA187&lt;=Thresholds!$E$50,"UM","H")))</f>
        <v>H</v>
      </c>
      <c r="BB187" s="42" t="str">
        <f>IF('GNI per capita'!BB187&lt;=Thresholds!$C$51,"L",IF('GNI per capita'!BB187&lt;=Thresholds!$D$51,"LM",IF('GNI per capita'!BB187&lt;=Thresholds!$E$51,"UM","H")))</f>
        <v>H</v>
      </c>
      <c r="BC187" s="42" t="str">
        <f>IF('GNI per capita'!BC187&lt;=Thresholds!$C$52,"L",IF('GNI per capita'!BC187&lt;=Thresholds!$D$52,"LM",IF('GNI per capita'!BC187&lt;=Thresholds!$E$52,"UM","H")))</f>
        <v>H</v>
      </c>
      <c r="BD187" s="42" t="str">
        <f>IF('GNI per capita'!BD187&lt;=Thresholds!$C$53,"L",IF('GNI per capita'!BD187&lt;=Thresholds!$D$53,"LM",IF('GNI per capita'!BD187&lt;=Thresholds!$E$53,"UM","H")))</f>
        <v>H</v>
      </c>
      <c r="BE187" s="42" t="str">
        <f>IF('GNI per capita'!BE187&lt;=Thresholds!$C$54,"L",IF('GNI per capita'!BE187&lt;=Thresholds!$D$54,"LM",IF('GNI per capita'!BE187&lt;=Thresholds!$E$54,"UM","H")))</f>
        <v>H</v>
      </c>
      <c r="BF187" s="42" t="str">
        <f>IF('GNI per capita'!BF187&lt;=Thresholds!$C$55,"L",IF('GNI per capita'!BF187&lt;=Thresholds!$D$55,"LM",IF('GNI per capita'!BF187&lt;=Thresholds!$E$55,"UM","H")))</f>
        <v>H</v>
      </c>
      <c r="BG187" s="42" t="str">
        <f>IF('GNI per capita'!BG187&lt;=Thresholds!$C$56,"L",IF('GNI per capita'!BG187&lt;=Thresholds!$D$56,"LM",IF('GNI per capita'!BG187&lt;=Thresholds!$E$56,"UM","H")))</f>
        <v>H</v>
      </c>
      <c r="BH187" s="42" t="str">
        <f>IF('GNI per capita'!BH187&lt;=Thresholds!$C$57,"L",IF('GNI per capita'!BH187&lt;=Thresholds!$D$57,"LM",IF('GNI per capita'!BH187&lt;=Thresholds!$E$57,"UM","H")))</f>
        <v>H</v>
      </c>
      <c r="BI187" s="42" t="str">
        <f>IF('GNI per capita'!BI187&lt;=Thresholds!$C$58,"L",IF('GNI per capita'!BI187&lt;=Thresholds!$D$58,"LM",IF('GNI per capita'!BI187&lt;=Thresholds!$E$58,"UM","H")))</f>
        <v>H</v>
      </c>
      <c r="BJ187" s="42" t="str">
        <f>IF('GNI per capita'!BJ187&lt;=Thresholds!$C$59,"L",IF('GNI per capita'!BJ187&lt;=Thresholds!$D$59,"LM",IF('GNI per capita'!BJ187&lt;=Thresholds!$E$59,"UM","H")))</f>
        <v>H</v>
      </c>
      <c r="BK187" s="42" t="str">
        <f>IF('GNI per capita'!BK187&lt;=Thresholds!$C$60,"L",IF('GNI per capita'!BK187&lt;=Thresholds!$D$60,"LM",IF('GNI per capita'!BK187&lt;=Thresholds!$E$60,"UM","H")))</f>
        <v>H</v>
      </c>
      <c r="BL187" s="42" t="str">
        <f>IF('GNI per capita'!BL187&lt;=Thresholds!$C$61,"L",IF('GNI per capita'!BL187&lt;=Thresholds!$D$61,"LM",IF('GNI per capita'!BL187&lt;=Thresholds!$E$61,"UM","H")))</f>
        <v>H</v>
      </c>
      <c r="BM187" s="42" t="str">
        <f>IF('GNI per capita'!BM187&lt;=Thresholds!$C$62,"L",IF('GNI per capita'!BM187&lt;=Thresholds!$D$62,"LM",IF('GNI per capita'!BM187&lt;=Thresholds!$E$62,"UM","H")))</f>
        <v>H</v>
      </c>
      <c r="BN187" s="42" t="str">
        <f>IF('GNI per capita'!BN187&lt;=Thresholds!$C$63,"L",IF('GNI per capita'!BN187&lt;=Thresholds!$D$63,"LM",IF('GNI per capita'!BN187&lt;=Thresholds!$E$63,"UM","H")))</f>
        <v>H</v>
      </c>
      <c r="BO187" s="42" t="str">
        <f>IF('GNI per capita'!BO187&lt;=Thresholds!$C$64,"L",IF('GNI per capita'!BO187&lt;=Thresholds!$D$64,"LM",IF('GNI per capita'!BO187&lt;=Thresholds!$E$64,"UM","H")))</f>
        <v>H</v>
      </c>
      <c r="BP187" s="42" t="str">
        <f>IF('GNI per capita'!BP187&lt;=Thresholds!$C$65,"L",IF('GNI per capita'!BP187&lt;=Thresholds!$D$65,"LM",IF('GNI per capita'!BP187&lt;=Thresholds!$E$65,"UM","H")))</f>
        <v>H</v>
      </c>
      <c r="BQ187" s="42" t="str">
        <f>IF('GNI per capita'!BQ187&lt;=Thresholds!$C$66,"L",IF('GNI per capita'!BQ187&lt;=Thresholds!$D$66,"LM",IF('GNI per capita'!BQ187&lt;=Thresholds!$E$66,"UM","H")))</f>
        <v>H</v>
      </c>
      <c r="BR187" s="42" t="str">
        <f>IF('GNI per capita'!BR187&lt;=Thresholds!$C$67,"L",IF('GNI per capita'!BR187&lt;=Thresholds!$D$67,"LM",IF('GNI per capita'!BR187&lt;=Thresholds!$E$67,"UM","H")))</f>
        <v>H</v>
      </c>
      <c r="BS187" s="42" t="str">
        <f>IF('GNI per capita'!BS187&lt;=Thresholds!$C$68,"L",IF('GNI per capita'!BS187&lt;=Thresholds!$D$68,"LM",IF('GNI per capita'!BS187&lt;=Thresholds!$E$68,"UM","H")))</f>
        <v>H</v>
      </c>
    </row>
    <row r="188" spans="1:71" x14ac:dyDescent="0.2">
      <c r="A188" s="2" t="s">
        <v>602</v>
      </c>
      <c r="B188" s="2" t="s">
        <v>603</v>
      </c>
      <c r="C188" s="11" t="s">
        <v>75</v>
      </c>
      <c r="G188" s="2" t="s">
        <v>604</v>
      </c>
      <c r="H188" s="41" t="s">
        <v>75</v>
      </c>
      <c r="I188" s="41" t="s">
        <v>75</v>
      </c>
      <c r="J188" s="41" t="s">
        <v>75</v>
      </c>
      <c r="K188" s="41" t="s">
        <v>75</v>
      </c>
      <c r="L188" s="41" t="s">
        <v>75</v>
      </c>
      <c r="M188" s="41" t="s">
        <v>75</v>
      </c>
      <c r="N188" s="41" t="s">
        <v>75</v>
      </c>
      <c r="O188" s="41" t="s">
        <v>75</v>
      </c>
      <c r="P188" s="41" t="s">
        <v>75</v>
      </c>
      <c r="Q188" s="41" t="s">
        <v>75</v>
      </c>
      <c r="R188" s="41" t="s">
        <v>75</v>
      </c>
      <c r="S188" s="41" t="s">
        <v>75</v>
      </c>
      <c r="T188" s="41" t="s">
        <v>75</v>
      </c>
      <c r="U188" s="41" t="s">
        <v>75</v>
      </c>
      <c r="V188" s="41" t="s">
        <v>75</v>
      </c>
      <c r="W188" s="41" t="s">
        <v>75</v>
      </c>
      <c r="X188" s="41" t="s">
        <v>75</v>
      </c>
      <c r="Y188" s="41" t="s">
        <v>75</v>
      </c>
      <c r="Z188" s="41" t="s">
        <v>75</v>
      </c>
      <c r="AA188" s="41" t="s">
        <v>75</v>
      </c>
      <c r="AB188" s="41" t="s">
        <v>210</v>
      </c>
      <c r="AC188" s="41" t="s">
        <v>210</v>
      </c>
      <c r="AD188" s="41" t="s">
        <v>210</v>
      </c>
      <c r="AE188" s="41" t="s">
        <v>210</v>
      </c>
      <c r="AF188" s="41" t="s">
        <v>210</v>
      </c>
      <c r="AG188" s="41" t="s">
        <v>210</v>
      </c>
      <c r="AH188" s="41" t="s">
        <v>210</v>
      </c>
      <c r="AI188" s="41" t="s">
        <v>210</v>
      </c>
      <c r="AJ188" s="41" t="s">
        <v>210</v>
      </c>
      <c r="AK188" s="41" t="s">
        <v>210</v>
      </c>
      <c r="AL188" s="41" t="s">
        <v>210</v>
      </c>
      <c r="AM188" s="41" t="s">
        <v>210</v>
      </c>
      <c r="AN188" s="41" t="s">
        <v>75</v>
      </c>
      <c r="AO188" s="41" t="s">
        <v>75</v>
      </c>
      <c r="AP188" s="41" t="s">
        <v>75</v>
      </c>
      <c r="AQ188" s="41" t="s">
        <v>75</v>
      </c>
      <c r="AR188" s="41" t="s">
        <v>75</v>
      </c>
      <c r="AS188" s="41" t="s">
        <v>75</v>
      </c>
      <c r="AT188" s="41" t="s">
        <v>75</v>
      </c>
      <c r="AU188" s="42" t="str">
        <f>IF('GNI per capita'!AU188&lt;=Thresholds!$C$44,"L",IF('GNI per capita'!AU188&lt;=Thresholds!$D$44,"LM",IF('GNI per capita'!AU188&lt;=Thresholds!$E$44,"UM","H")))</f>
        <v>L</v>
      </c>
      <c r="AV188" s="42" t="str">
        <f>IF('GNI per capita'!AV188&lt;=Thresholds!$C$45,"L",IF('GNI per capita'!AV188&lt;=Thresholds!$D$45,"LM",IF('GNI per capita'!AV188&lt;=Thresholds!$E$45,"UM","H")))</f>
        <v>L</v>
      </c>
      <c r="AW188" s="42" t="str">
        <f>IF('GNI per capita'!AW188&lt;=Thresholds!$C$46,"L",IF('GNI per capita'!AW188&lt;=Thresholds!$D$46,"LM",IF('GNI per capita'!AW188&lt;=Thresholds!$E$46,"UM","H")))</f>
        <v>L</v>
      </c>
      <c r="AX188" s="42" t="str">
        <f>IF('GNI per capita'!AX188&lt;=Thresholds!$C$47,"L",IF('GNI per capita'!AX188&lt;=Thresholds!$D$47,"LM",IF('GNI per capita'!AX188&lt;=Thresholds!$E$47,"UM","H")))</f>
        <v>L</v>
      </c>
      <c r="AY188" s="42" t="str">
        <f>IF('GNI per capita'!AY188&lt;=Thresholds!$C$48,"L",IF('GNI per capita'!AY188&lt;=Thresholds!$D$48,"LM",IF('GNI per capita'!AY188&lt;=Thresholds!$E$48,"UM","H")))</f>
        <v>L</v>
      </c>
      <c r="AZ188" s="42" t="str">
        <f>IF('GNI per capita'!AZ188&lt;=Thresholds!$C$49,"L",IF('GNI per capita'!AZ188&lt;=Thresholds!$D$49,"LM",IF('GNI per capita'!AZ188&lt;=Thresholds!$E$49,"UM","H")))</f>
        <v>L</v>
      </c>
      <c r="BA188" s="42" t="str">
        <f>IF('GNI per capita'!BA188&lt;=Thresholds!$C$50,"L",IF('GNI per capita'!BA188&lt;=Thresholds!$D$50,"LM",IF('GNI per capita'!BA188&lt;=Thresholds!$E$50,"UM","H")))</f>
        <v>L</v>
      </c>
      <c r="BB188" s="42" t="str">
        <f>IF('GNI per capita'!BB188&lt;=Thresholds!$C$51,"L",IF('GNI per capita'!BB188&lt;=Thresholds!$D$51,"LM",IF('GNI per capita'!BB188&lt;=Thresholds!$E$51,"UM","H")))</f>
        <v>L</v>
      </c>
      <c r="BC188" s="42" t="str">
        <f>IF('GNI per capita'!BC188&lt;=Thresholds!$C$52,"L",IF('GNI per capita'!BC188&lt;=Thresholds!$D$52,"LM",IF('GNI per capita'!BC188&lt;=Thresholds!$E$52,"UM","H")))</f>
        <v>L</v>
      </c>
      <c r="BD188" s="42" t="str">
        <f>IF('GNI per capita'!BD188&lt;=Thresholds!$C$53,"L",IF('GNI per capita'!BD188&lt;=Thresholds!$D$53,"LM",IF('GNI per capita'!BD188&lt;=Thresholds!$E$53,"UM","H")))</f>
        <v>L</v>
      </c>
      <c r="BE188" s="42" t="str">
        <f>IF('GNI per capita'!BE188&lt;=Thresholds!$C$54,"L",IF('GNI per capita'!BE188&lt;=Thresholds!$D$54,"LM",IF('GNI per capita'!BE188&lt;=Thresholds!$E$54,"UM","H")))</f>
        <v>L</v>
      </c>
      <c r="BF188" s="42" t="str">
        <f>IF('GNI per capita'!BF188&lt;=Thresholds!$C$55,"L",IF('GNI per capita'!BF188&lt;=Thresholds!$D$55,"LM",IF('GNI per capita'!BF188&lt;=Thresholds!$E$55,"UM","H")))</f>
        <v>L</v>
      </c>
      <c r="BG188" s="42" t="str">
        <f>IF('GNI per capita'!BG188&lt;=Thresholds!$C$56,"L",IF('GNI per capita'!BG188&lt;=Thresholds!$D$56,"LM",IF('GNI per capita'!BG188&lt;=Thresholds!$E$56,"UM","H")))</f>
        <v>L</v>
      </c>
      <c r="BH188" s="42" t="str">
        <f>IF('GNI per capita'!BH188&lt;=Thresholds!$C$57,"L",IF('GNI per capita'!BH188&lt;=Thresholds!$D$57,"LM",IF('GNI per capita'!BH188&lt;=Thresholds!$E$57,"UM","H")))</f>
        <v>L</v>
      </c>
      <c r="BI188" s="42" t="str">
        <f>IF('GNI per capita'!BI188&lt;=Thresholds!$C$58,"L",IF('GNI per capita'!BI188&lt;=Thresholds!$D$58,"LM",IF('GNI per capita'!BI188&lt;=Thresholds!$E$58,"UM","H")))</f>
        <v>L</v>
      </c>
      <c r="BJ188" s="42" t="str">
        <f>IF('GNI per capita'!BJ188&lt;=Thresholds!$C$59,"L",IF('GNI per capita'!BJ188&lt;=Thresholds!$D$59,"LM",IF('GNI per capita'!BJ188&lt;=Thresholds!$E$59,"UM","H")))</f>
        <v>L</v>
      </c>
      <c r="BK188" s="42" t="str">
        <f>IF('GNI per capita'!BK188&lt;=Thresholds!$C$60,"L",IF('GNI per capita'!BK188&lt;=Thresholds!$D$60,"LM",IF('GNI per capita'!BK188&lt;=Thresholds!$E$60,"UM","H")))</f>
        <v>L</v>
      </c>
      <c r="BL188" s="42" t="str">
        <f>IF('GNI per capita'!BL188&lt;=Thresholds!$C$61,"L",IF('GNI per capita'!BL188&lt;=Thresholds!$D$61,"LM",IF('GNI per capita'!BL188&lt;=Thresholds!$E$61,"UM","H")))</f>
        <v>L</v>
      </c>
      <c r="BM188" s="42" t="str">
        <f>IF('GNI per capita'!BM188&lt;=Thresholds!$C$62,"L",IF('GNI per capita'!BM188&lt;=Thresholds!$D$62,"LM",IF('GNI per capita'!BM188&lt;=Thresholds!$E$62,"UM","H")))</f>
        <v>L</v>
      </c>
      <c r="BN188" s="42" t="str">
        <f>IF('GNI per capita'!BN188&lt;=Thresholds!$C$63,"L",IF('GNI per capita'!BN188&lt;=Thresholds!$D$63,"LM",IF('GNI per capita'!BN188&lt;=Thresholds!$E$63,"UM","H")))</f>
        <v>L</v>
      </c>
      <c r="BO188" s="42" t="str">
        <f>IF('GNI per capita'!BO188&lt;=Thresholds!$C$64,"L",IF('GNI per capita'!BO188&lt;=Thresholds!$D$64,"LM",IF('GNI per capita'!BO188&lt;=Thresholds!$E$64,"UM","H")))</f>
        <v>L</v>
      </c>
      <c r="BP188" s="42" t="str">
        <f>IF('GNI per capita'!BP188&lt;=Thresholds!$C$65,"L",IF('GNI per capita'!BP188&lt;=Thresholds!$D$65,"LM",IF('GNI per capita'!BP188&lt;=Thresholds!$E$65,"UM","H")))</f>
        <v>L</v>
      </c>
      <c r="BQ188" s="42" t="str">
        <f>IF('GNI per capita'!BQ188&lt;=Thresholds!$C$66,"L",IF('GNI per capita'!BQ188&lt;=Thresholds!$D$66,"LM",IF('GNI per capita'!BQ188&lt;=Thresholds!$E$66,"UM","H")))</f>
        <v>L</v>
      </c>
      <c r="BR188" s="42" t="str">
        <f>IF('GNI per capita'!BR188&lt;=Thresholds!$C$67,"L",IF('GNI per capita'!BR188&lt;=Thresholds!$D$67,"LM",IF('GNI per capita'!BR188&lt;=Thresholds!$E$67,"UM","H")))</f>
        <v>L</v>
      </c>
      <c r="BS188" s="42" t="str">
        <f>IF('GNI per capita'!BS188&lt;=Thresholds!$C$68,"L",IF('GNI per capita'!BS188&lt;=Thresholds!$D$68,"LM",IF('GNI per capita'!BS188&lt;=Thresholds!$E$68,"UM","H")))</f>
        <v>L</v>
      </c>
    </row>
    <row r="189" spans="1:71" x14ac:dyDescent="0.2">
      <c r="A189" s="2" t="s">
        <v>605</v>
      </c>
      <c r="B189" s="2" t="s">
        <v>606</v>
      </c>
      <c r="C189" s="11" t="s">
        <v>82</v>
      </c>
      <c r="G189" s="2" t="s">
        <v>162</v>
      </c>
      <c r="H189" s="41" t="s">
        <v>82</v>
      </c>
      <c r="I189" s="41" t="s">
        <v>82</v>
      </c>
      <c r="J189" s="41" t="s">
        <v>82</v>
      </c>
      <c r="K189" s="41" t="s">
        <v>82</v>
      </c>
      <c r="L189" s="41" t="s">
        <v>82</v>
      </c>
      <c r="M189" s="41" t="s">
        <v>82</v>
      </c>
      <c r="N189" s="41" t="s">
        <v>210</v>
      </c>
      <c r="O189" s="41" t="s">
        <v>210</v>
      </c>
      <c r="P189" s="41" t="s">
        <v>210</v>
      </c>
      <c r="Q189" s="41" t="s">
        <v>210</v>
      </c>
      <c r="R189" s="41" t="s">
        <v>210</v>
      </c>
      <c r="S189" s="41" t="s">
        <v>210</v>
      </c>
      <c r="T189" s="41" t="s">
        <v>210</v>
      </c>
      <c r="U189" s="41" t="s">
        <v>210</v>
      </c>
      <c r="V189" s="41" t="s">
        <v>210</v>
      </c>
      <c r="W189" s="41" t="s">
        <v>210</v>
      </c>
      <c r="X189" s="41" t="s">
        <v>210</v>
      </c>
      <c r="Y189" s="41" t="s">
        <v>210</v>
      </c>
      <c r="Z189" s="41" t="s">
        <v>210</v>
      </c>
      <c r="AA189" s="41" t="s">
        <v>210</v>
      </c>
      <c r="AB189" s="41" t="s">
        <v>82</v>
      </c>
      <c r="AC189" s="41" t="s">
        <v>82</v>
      </c>
      <c r="AD189" s="41" t="s">
        <v>82</v>
      </c>
      <c r="AE189" s="41" t="s">
        <v>82</v>
      </c>
      <c r="AF189" s="41" t="s">
        <v>82</v>
      </c>
      <c r="AG189" s="41" t="s">
        <v>82</v>
      </c>
      <c r="AH189" s="41" t="s">
        <v>82</v>
      </c>
      <c r="AI189" s="41" t="s">
        <v>82</v>
      </c>
      <c r="AJ189" s="41" t="s">
        <v>82</v>
      </c>
      <c r="AK189" s="41" t="s">
        <v>82</v>
      </c>
      <c r="AL189" s="41" t="s">
        <v>82</v>
      </c>
      <c r="AM189" s="41" t="s">
        <v>82</v>
      </c>
      <c r="AN189" s="41" t="s">
        <v>82</v>
      </c>
      <c r="AO189" s="41" t="s">
        <v>82</v>
      </c>
      <c r="AP189" s="41" t="s">
        <v>82</v>
      </c>
      <c r="AQ189" s="41" t="s">
        <v>82</v>
      </c>
      <c r="AR189" s="41" t="s">
        <v>82</v>
      </c>
      <c r="AS189" s="41" t="s">
        <v>82</v>
      </c>
      <c r="AT189" s="41" t="s">
        <v>82</v>
      </c>
      <c r="AU189" s="42" t="str">
        <f>IF('GNI per capita'!AU189&lt;=Thresholds!$C$44,"L",IF('GNI per capita'!AU189&lt;=Thresholds!$D$44,"LM",IF('GNI per capita'!AU189&lt;=Thresholds!$E$44,"UM","H")))</f>
        <v>UM</v>
      </c>
      <c r="AV189" s="42" t="str">
        <f>IF('GNI per capita'!AV189&lt;=Thresholds!$C$45,"L",IF('GNI per capita'!AV189&lt;=Thresholds!$D$45,"LM",IF('GNI per capita'!AV189&lt;=Thresholds!$E$45,"UM","H")))</f>
        <v>UM</v>
      </c>
      <c r="AW189" s="42" t="str">
        <f>IF('GNI per capita'!AW189&lt;=Thresholds!$C$46,"L",IF('GNI per capita'!AW189&lt;=Thresholds!$D$46,"LM",IF('GNI per capita'!AW189&lt;=Thresholds!$E$46,"UM","H")))</f>
        <v>UM</v>
      </c>
      <c r="AX189" s="42" t="str">
        <f>IF('GNI per capita'!AX189&lt;=Thresholds!$C$47,"L",IF('GNI per capita'!AX189&lt;=Thresholds!$D$47,"LM",IF('GNI per capita'!AX189&lt;=Thresholds!$E$47,"UM","H")))</f>
        <v>UM</v>
      </c>
      <c r="AY189" s="42" t="str">
        <f>IF('GNI per capita'!AY189&lt;=Thresholds!$C$48,"L",IF('GNI per capita'!AY189&lt;=Thresholds!$D$48,"LM",IF('GNI per capita'!AY189&lt;=Thresholds!$E$48,"UM","H")))</f>
        <v>UM</v>
      </c>
      <c r="AZ189" s="42" t="str">
        <f>IF('GNI per capita'!AZ189&lt;=Thresholds!$C$49,"L",IF('GNI per capita'!AZ189&lt;=Thresholds!$D$49,"LM",IF('GNI per capita'!AZ189&lt;=Thresholds!$E$49,"UM","H")))</f>
        <v>UM</v>
      </c>
      <c r="BA189" s="42" t="str">
        <f>IF('GNI per capita'!BA189&lt;=Thresholds!$C$50,"L",IF('GNI per capita'!BA189&lt;=Thresholds!$D$50,"LM",IF('GNI per capita'!BA189&lt;=Thresholds!$E$50,"UM","H")))</f>
        <v>UM</v>
      </c>
      <c r="BB189" s="42" t="str">
        <f>IF('GNI per capita'!BB189&lt;=Thresholds!$C$51,"L",IF('GNI per capita'!BB189&lt;=Thresholds!$D$51,"LM",IF('GNI per capita'!BB189&lt;=Thresholds!$E$51,"UM","H")))</f>
        <v>UM</v>
      </c>
      <c r="BC189" s="42" t="str">
        <f>IF('GNI per capita'!BC189&lt;=Thresholds!$C$52,"L",IF('GNI per capita'!BC189&lt;=Thresholds!$D$52,"LM",IF('GNI per capita'!BC189&lt;=Thresholds!$E$52,"UM","H")))</f>
        <v>UM</v>
      </c>
      <c r="BD189" s="42" t="str">
        <f>IF('GNI per capita'!BD189&lt;=Thresholds!$C$53,"L",IF('GNI per capita'!BD189&lt;=Thresholds!$D$53,"LM",IF('GNI per capita'!BD189&lt;=Thresholds!$E$53,"UM","H")))</f>
        <v>UM</v>
      </c>
      <c r="BE189" s="42" t="str">
        <f>IF('GNI per capita'!BE189&lt;=Thresholds!$C$54,"L",IF('GNI per capita'!BE189&lt;=Thresholds!$D$54,"LM",IF('GNI per capita'!BE189&lt;=Thresholds!$E$54,"UM","H")))</f>
        <v>UM</v>
      </c>
      <c r="BF189" s="42" t="str">
        <f>IF('GNI per capita'!BF189&lt;=Thresholds!$C$55,"L",IF('GNI per capita'!BF189&lt;=Thresholds!$D$55,"LM",IF('GNI per capita'!BF189&lt;=Thresholds!$E$55,"UM","H")))</f>
        <v>UM</v>
      </c>
      <c r="BG189" s="42" t="str">
        <f>IF('GNI per capita'!BG189&lt;=Thresholds!$C$56,"L",IF('GNI per capita'!BG189&lt;=Thresholds!$D$56,"LM",IF('GNI per capita'!BG189&lt;=Thresholds!$E$56,"UM","H")))</f>
        <v>UM</v>
      </c>
      <c r="BH189" s="42" t="str">
        <f>IF('GNI per capita'!BH189&lt;=Thresholds!$C$57,"L",IF('GNI per capita'!BH189&lt;=Thresholds!$D$57,"LM",IF('GNI per capita'!BH189&lt;=Thresholds!$E$57,"UM","H")))</f>
        <v>UM</v>
      </c>
      <c r="BI189" s="42" t="str">
        <f>IF('GNI per capita'!BI189&lt;=Thresholds!$C$58,"L",IF('GNI per capita'!BI189&lt;=Thresholds!$D$58,"LM",IF('GNI per capita'!BI189&lt;=Thresholds!$E$58,"UM","H")))</f>
        <v>UM</v>
      </c>
      <c r="BJ189" s="42" t="str">
        <f>IF('GNI per capita'!BJ189&lt;=Thresholds!$C$59,"L",IF('GNI per capita'!BJ189&lt;=Thresholds!$D$59,"LM",IF('GNI per capita'!BJ189&lt;=Thresholds!$E$59,"UM","H")))</f>
        <v>UM</v>
      </c>
      <c r="BK189" s="42" t="str">
        <f>IF('GNI per capita'!BK189&lt;=Thresholds!$C$60,"L",IF('GNI per capita'!BK189&lt;=Thresholds!$D$60,"LM",IF('GNI per capita'!BK189&lt;=Thresholds!$E$60,"UM","H")))</f>
        <v>UM</v>
      </c>
      <c r="BL189" s="42" t="str">
        <f>IF('GNI per capita'!BL189&lt;=Thresholds!$C$61,"L",IF('GNI per capita'!BL189&lt;=Thresholds!$D$61,"LM",IF('GNI per capita'!BL189&lt;=Thresholds!$E$61,"UM","H")))</f>
        <v>UM</v>
      </c>
      <c r="BM189" s="42" t="str">
        <f>IF('GNI per capita'!BM189&lt;=Thresholds!$C$62,"L",IF('GNI per capita'!BM189&lt;=Thresholds!$D$62,"LM",IF('GNI per capita'!BM189&lt;=Thresholds!$E$62,"UM","H")))</f>
        <v>UM</v>
      </c>
      <c r="BN189" s="42" t="str">
        <f>IF('GNI per capita'!BN189&lt;=Thresholds!$C$63,"L",IF('GNI per capita'!BN189&lt;=Thresholds!$D$63,"LM",IF('GNI per capita'!BN189&lt;=Thresholds!$E$63,"UM","H")))</f>
        <v>UM</v>
      </c>
      <c r="BO189" s="42" t="str">
        <f>IF('GNI per capita'!BO189&lt;=Thresholds!$C$64,"L",IF('GNI per capita'!BO189&lt;=Thresholds!$D$64,"LM",IF('GNI per capita'!BO189&lt;=Thresholds!$E$64,"UM","H")))</f>
        <v>UM</v>
      </c>
      <c r="BP189" s="42" t="str">
        <f>IF('GNI per capita'!BP189&lt;=Thresholds!$C$65,"L",IF('GNI per capita'!BP189&lt;=Thresholds!$D$65,"LM",IF('GNI per capita'!BP189&lt;=Thresholds!$E$65,"UM","H")))</f>
        <v>UM</v>
      </c>
      <c r="BQ189" s="42" t="str">
        <f>IF('GNI per capita'!BQ189&lt;=Thresholds!$C$66,"L",IF('GNI per capita'!BQ189&lt;=Thresholds!$D$66,"LM",IF('GNI per capita'!BQ189&lt;=Thresholds!$E$66,"UM","H")))</f>
        <v>UM</v>
      </c>
      <c r="BR189" s="42" t="str">
        <f>IF('GNI per capita'!BR189&lt;=Thresholds!$C$67,"L",IF('GNI per capita'!BR189&lt;=Thresholds!$D$67,"LM",IF('GNI per capita'!BR189&lt;=Thresholds!$E$67,"UM","H")))</f>
        <v>UM</v>
      </c>
      <c r="BS189" s="42" t="str">
        <f>IF('GNI per capita'!BS189&lt;=Thresholds!$C$68,"L",IF('GNI per capita'!BS189&lt;=Thresholds!$D$68,"LM",IF('GNI per capita'!BS189&lt;=Thresholds!$E$68,"UM","H")))</f>
        <v>UM</v>
      </c>
    </row>
    <row r="190" spans="1:71" x14ac:dyDescent="0.2">
      <c r="A190" s="2" t="s">
        <v>607</v>
      </c>
      <c r="B190" s="2" t="s">
        <v>608</v>
      </c>
      <c r="C190" s="11" t="s">
        <v>79</v>
      </c>
      <c r="G190" s="2" t="s">
        <v>510</v>
      </c>
      <c r="H190" s="41" t="s">
        <v>79</v>
      </c>
      <c r="I190" s="41" t="s">
        <v>79</v>
      </c>
      <c r="J190" s="41" t="s">
        <v>79</v>
      </c>
      <c r="K190" s="41" t="s">
        <v>79</v>
      </c>
      <c r="L190" s="41" t="s">
        <v>79</v>
      </c>
      <c r="M190" s="41" t="s">
        <v>79</v>
      </c>
      <c r="N190" s="41" t="s">
        <v>79</v>
      </c>
      <c r="O190" s="41" t="s">
        <v>79</v>
      </c>
      <c r="P190" s="41" t="s">
        <v>79</v>
      </c>
      <c r="Q190" s="41" t="s">
        <v>79</v>
      </c>
      <c r="R190" s="41" t="s">
        <v>79</v>
      </c>
      <c r="S190" s="41" t="s">
        <v>79</v>
      </c>
      <c r="T190" s="41" t="s">
        <v>79</v>
      </c>
      <c r="U190" s="41" t="s">
        <v>79</v>
      </c>
      <c r="V190" s="41" t="s">
        <v>79</v>
      </c>
      <c r="W190" s="41" t="s">
        <v>79</v>
      </c>
      <c r="X190" s="41" t="s">
        <v>79</v>
      </c>
      <c r="Y190" s="41" t="s">
        <v>79</v>
      </c>
      <c r="Z190" s="41" t="s">
        <v>79</v>
      </c>
      <c r="AA190" s="41" t="s">
        <v>79</v>
      </c>
      <c r="AB190" s="41" t="s">
        <v>79</v>
      </c>
      <c r="AC190" s="41" t="s">
        <v>79</v>
      </c>
      <c r="AD190" s="41" t="s">
        <v>79</v>
      </c>
      <c r="AE190" s="41" t="s">
        <v>79</v>
      </c>
      <c r="AF190" s="41" t="s">
        <v>79</v>
      </c>
      <c r="AG190" s="41" t="s">
        <v>79</v>
      </c>
      <c r="AH190" s="41" t="s">
        <v>79</v>
      </c>
      <c r="AI190" s="41" t="s">
        <v>79</v>
      </c>
      <c r="AJ190" s="41" t="s">
        <v>79</v>
      </c>
      <c r="AK190" s="41" t="s">
        <v>79</v>
      </c>
      <c r="AL190" s="41" t="s">
        <v>79</v>
      </c>
      <c r="AM190" s="41" t="s">
        <v>79</v>
      </c>
      <c r="AN190" s="41" t="s">
        <v>79</v>
      </c>
      <c r="AO190" s="41" t="s">
        <v>79</v>
      </c>
      <c r="AP190" s="41" t="s">
        <v>79</v>
      </c>
      <c r="AQ190" s="41" t="s">
        <v>79</v>
      </c>
      <c r="AR190" s="41" t="s">
        <v>79</v>
      </c>
      <c r="AS190" s="41" t="s">
        <v>79</v>
      </c>
      <c r="AT190" s="41" t="s">
        <v>79</v>
      </c>
      <c r="AU190" s="42" t="str">
        <f>IF('GNI per capita'!AU190&lt;=Thresholds!$C$44,"L",IF('GNI per capita'!AU190&lt;=Thresholds!$D$44,"LM",IF('GNI per capita'!AU190&lt;=Thresholds!$E$44,"UM","H")))</f>
        <v>H</v>
      </c>
      <c r="AV190" s="42" t="str">
        <f>IF('GNI per capita'!AV190&lt;=Thresholds!$C$45,"L",IF('GNI per capita'!AV190&lt;=Thresholds!$D$45,"LM",IF('GNI per capita'!AV190&lt;=Thresholds!$E$45,"UM","H")))</f>
        <v>H</v>
      </c>
      <c r="AW190" s="42" t="str">
        <f>IF('GNI per capita'!AW190&lt;=Thresholds!$C$46,"L",IF('GNI per capita'!AW190&lt;=Thresholds!$D$46,"LM",IF('GNI per capita'!AW190&lt;=Thresholds!$E$46,"UM","H")))</f>
        <v>H</v>
      </c>
      <c r="AX190" s="42" t="str">
        <f>IF('GNI per capita'!AX190&lt;=Thresholds!$C$47,"L",IF('GNI per capita'!AX190&lt;=Thresholds!$D$47,"LM",IF('GNI per capita'!AX190&lt;=Thresholds!$E$47,"UM","H")))</f>
        <v>H</v>
      </c>
      <c r="AY190" s="42" t="str">
        <f>IF('GNI per capita'!AY190&lt;=Thresholds!$C$48,"L",IF('GNI per capita'!AY190&lt;=Thresholds!$D$48,"LM",IF('GNI per capita'!AY190&lt;=Thresholds!$E$48,"UM","H")))</f>
        <v>H</v>
      </c>
      <c r="AZ190" s="42" t="str">
        <f>IF('GNI per capita'!AZ190&lt;=Thresholds!$C$49,"L",IF('GNI per capita'!AZ190&lt;=Thresholds!$D$49,"LM",IF('GNI per capita'!AZ190&lt;=Thresholds!$E$49,"UM","H")))</f>
        <v>H</v>
      </c>
      <c r="BA190" s="42" t="str">
        <f>IF('GNI per capita'!BA190&lt;=Thresholds!$C$50,"L",IF('GNI per capita'!BA190&lt;=Thresholds!$D$50,"LM",IF('GNI per capita'!BA190&lt;=Thresholds!$E$50,"UM","H")))</f>
        <v>H</v>
      </c>
      <c r="BB190" s="42" t="str">
        <f>IF('GNI per capita'!BB190&lt;=Thresholds!$C$51,"L",IF('GNI per capita'!BB190&lt;=Thresholds!$D$51,"LM",IF('GNI per capita'!BB190&lt;=Thresholds!$E$51,"UM","H")))</f>
        <v>H</v>
      </c>
      <c r="BC190" s="42" t="str">
        <f>IF('GNI per capita'!BC190&lt;=Thresholds!$C$52,"L",IF('GNI per capita'!BC190&lt;=Thresholds!$D$52,"LM",IF('GNI per capita'!BC190&lt;=Thresholds!$E$52,"UM","H")))</f>
        <v>H</v>
      </c>
      <c r="BD190" s="42" t="str">
        <f>IF('GNI per capita'!BD190&lt;=Thresholds!$C$53,"L",IF('GNI per capita'!BD190&lt;=Thresholds!$D$53,"LM",IF('GNI per capita'!BD190&lt;=Thresholds!$E$53,"UM","H")))</f>
        <v>H</v>
      </c>
      <c r="BE190" s="42" t="str">
        <f>IF('GNI per capita'!BE190&lt;=Thresholds!$C$54,"L",IF('GNI per capita'!BE190&lt;=Thresholds!$D$54,"LM",IF('GNI per capita'!BE190&lt;=Thresholds!$E$54,"UM","H")))</f>
        <v>H</v>
      </c>
      <c r="BF190" s="42" t="str">
        <f>IF('GNI per capita'!BF190&lt;=Thresholds!$C$55,"L",IF('GNI per capita'!BF190&lt;=Thresholds!$D$55,"LM",IF('GNI per capita'!BF190&lt;=Thresholds!$E$55,"UM","H")))</f>
        <v>H</v>
      </c>
      <c r="BG190" s="42" t="str">
        <f>IF('GNI per capita'!BG190&lt;=Thresholds!$C$56,"L",IF('GNI per capita'!BG190&lt;=Thresholds!$D$56,"LM",IF('GNI per capita'!BG190&lt;=Thresholds!$E$56,"UM","H")))</f>
        <v>H</v>
      </c>
      <c r="BH190" s="42" t="str">
        <f>IF('GNI per capita'!BH190&lt;=Thresholds!$C$57,"L",IF('GNI per capita'!BH190&lt;=Thresholds!$D$57,"LM",IF('GNI per capita'!BH190&lt;=Thresholds!$E$57,"UM","H")))</f>
        <v>H</v>
      </c>
      <c r="BI190" s="42" t="str">
        <f>IF('GNI per capita'!BI190&lt;=Thresholds!$C$58,"L",IF('GNI per capita'!BI190&lt;=Thresholds!$D$58,"LM",IF('GNI per capita'!BI190&lt;=Thresholds!$E$58,"UM","H")))</f>
        <v>H</v>
      </c>
      <c r="BJ190" s="42" t="str">
        <f>IF('GNI per capita'!BJ190&lt;=Thresholds!$C$59,"L",IF('GNI per capita'!BJ190&lt;=Thresholds!$D$59,"LM",IF('GNI per capita'!BJ190&lt;=Thresholds!$E$59,"UM","H")))</f>
        <v>H</v>
      </c>
      <c r="BK190" s="42" t="str">
        <f>IF('GNI per capita'!BK190&lt;=Thresholds!$C$60,"L",IF('GNI per capita'!BK190&lt;=Thresholds!$D$60,"LM",IF('GNI per capita'!BK190&lt;=Thresholds!$E$60,"UM","H")))</f>
        <v>H</v>
      </c>
      <c r="BL190" s="42" t="str">
        <f>IF('GNI per capita'!BL190&lt;=Thresholds!$C$61,"L",IF('GNI per capita'!BL190&lt;=Thresholds!$D$61,"LM",IF('GNI per capita'!BL190&lt;=Thresholds!$E$61,"UM","H")))</f>
        <v>H</v>
      </c>
      <c r="BM190" s="42" t="str">
        <f>IF('GNI per capita'!BM190&lt;=Thresholds!$C$62,"L",IF('GNI per capita'!BM190&lt;=Thresholds!$D$62,"LM",IF('GNI per capita'!BM190&lt;=Thresholds!$E$62,"UM","H")))</f>
        <v>H</v>
      </c>
      <c r="BN190" s="42" t="str">
        <f>IF('GNI per capita'!BN190&lt;=Thresholds!$C$63,"L",IF('GNI per capita'!BN190&lt;=Thresholds!$D$63,"LM",IF('GNI per capita'!BN190&lt;=Thresholds!$E$63,"UM","H")))</f>
        <v>H</v>
      </c>
      <c r="BO190" s="42" t="str">
        <f>IF('GNI per capita'!BO190&lt;=Thresholds!$C$64,"L",IF('GNI per capita'!BO190&lt;=Thresholds!$D$64,"LM",IF('GNI per capita'!BO190&lt;=Thresholds!$E$64,"UM","H")))</f>
        <v>H</v>
      </c>
      <c r="BP190" s="42" t="str">
        <f>IF('GNI per capita'!BP190&lt;=Thresholds!$C$65,"L",IF('GNI per capita'!BP190&lt;=Thresholds!$D$65,"LM",IF('GNI per capita'!BP190&lt;=Thresholds!$E$65,"UM","H")))</f>
        <v>H</v>
      </c>
      <c r="BQ190" s="42" t="str">
        <f>IF('GNI per capita'!BQ190&lt;=Thresholds!$C$66,"L",IF('GNI per capita'!BQ190&lt;=Thresholds!$D$66,"LM",IF('GNI per capita'!BQ190&lt;=Thresholds!$E$66,"UM","H")))</f>
        <v>H</v>
      </c>
      <c r="BR190" s="42" t="str">
        <f>IF('GNI per capita'!BR190&lt;=Thresholds!$C$67,"L",IF('GNI per capita'!BR190&lt;=Thresholds!$D$67,"LM",IF('GNI per capita'!BR190&lt;=Thresholds!$E$67,"UM","H")))</f>
        <v>H</v>
      </c>
      <c r="BS190" s="42" t="str">
        <f>IF('GNI per capita'!BS190&lt;=Thresholds!$C$68,"L",IF('GNI per capita'!BS190&lt;=Thresholds!$D$68,"LM",IF('GNI per capita'!BS190&lt;=Thresholds!$E$68,"UM","H")))</f>
        <v>H</v>
      </c>
    </row>
    <row r="191" spans="1:71" x14ac:dyDescent="0.2">
      <c r="A191" s="2" t="s">
        <v>609</v>
      </c>
      <c r="B191" s="2" t="s">
        <v>610</v>
      </c>
      <c r="C191" s="11" t="s">
        <v>79</v>
      </c>
      <c r="G191" s="2" t="s">
        <v>412</v>
      </c>
      <c r="H191" s="41" t="s">
        <v>79</v>
      </c>
      <c r="I191" s="41" t="s">
        <v>79</v>
      </c>
      <c r="J191" s="41" t="s">
        <v>79</v>
      </c>
      <c r="K191" s="41" t="s">
        <v>79</v>
      </c>
      <c r="L191" s="41" t="s">
        <v>79</v>
      </c>
      <c r="M191" s="41" t="s">
        <v>79</v>
      </c>
      <c r="N191" s="41" t="s">
        <v>79</v>
      </c>
      <c r="O191" s="41" t="s">
        <v>79</v>
      </c>
      <c r="P191" s="41" t="s">
        <v>79</v>
      </c>
      <c r="Q191" s="41" t="s">
        <v>79</v>
      </c>
      <c r="R191" s="41" t="s">
        <v>79</v>
      </c>
      <c r="S191" s="41" t="s">
        <v>79</v>
      </c>
      <c r="T191" s="41" t="s">
        <v>79</v>
      </c>
      <c r="U191" s="41" t="s">
        <v>79</v>
      </c>
      <c r="V191" s="41" t="s">
        <v>79</v>
      </c>
      <c r="W191" s="41" t="s">
        <v>79</v>
      </c>
      <c r="X191" s="41" t="s">
        <v>79</v>
      </c>
      <c r="Y191" s="41" t="s">
        <v>79</v>
      </c>
      <c r="Z191" s="41" t="s">
        <v>79</v>
      </c>
      <c r="AA191" s="41" t="s">
        <v>79</v>
      </c>
      <c r="AB191" s="41" t="s">
        <v>79</v>
      </c>
      <c r="AC191" s="41" t="s">
        <v>79</v>
      </c>
      <c r="AD191" s="41" t="s">
        <v>79</v>
      </c>
      <c r="AE191" s="41" t="s">
        <v>79</v>
      </c>
      <c r="AF191" s="41" t="s">
        <v>79</v>
      </c>
      <c r="AG191" s="41" t="s">
        <v>79</v>
      </c>
      <c r="AH191" s="41" t="s">
        <v>79</v>
      </c>
      <c r="AI191" s="41" t="s">
        <v>79</v>
      </c>
      <c r="AJ191" s="41" t="s">
        <v>79</v>
      </c>
      <c r="AK191" s="41" t="s">
        <v>79</v>
      </c>
      <c r="AL191" s="41" t="s">
        <v>79</v>
      </c>
      <c r="AM191" s="41" t="s">
        <v>79</v>
      </c>
      <c r="AN191" s="41" t="s">
        <v>79</v>
      </c>
      <c r="AO191" s="41" t="s">
        <v>79</v>
      </c>
      <c r="AP191" s="41" t="s">
        <v>79</v>
      </c>
      <c r="AQ191" s="41" t="s">
        <v>79</v>
      </c>
      <c r="AR191" s="41" t="s">
        <v>79</v>
      </c>
      <c r="AS191" s="41" t="s">
        <v>79</v>
      </c>
      <c r="AT191" s="41" t="s">
        <v>79</v>
      </c>
      <c r="AU191" s="42" t="str">
        <f>IF('GNI per capita'!AU191&lt;=Thresholds!$C$44,"L",IF('GNI per capita'!AU191&lt;=Thresholds!$D$44,"LM",IF('GNI per capita'!AU191&lt;=Thresholds!$E$44,"UM","H")))</f>
        <v>H</v>
      </c>
      <c r="AV191" s="42" t="str">
        <f>IF('GNI per capita'!AV191&lt;=Thresholds!$C$45,"L",IF('GNI per capita'!AV191&lt;=Thresholds!$D$45,"LM",IF('GNI per capita'!AV191&lt;=Thresholds!$E$45,"UM","H")))</f>
        <v>H</v>
      </c>
      <c r="AW191" s="42" t="str">
        <f>IF('GNI per capita'!AW191&lt;=Thresholds!$C$46,"L",IF('GNI per capita'!AW191&lt;=Thresholds!$D$46,"LM",IF('GNI per capita'!AW191&lt;=Thresholds!$E$46,"UM","H")))</f>
        <v>H</v>
      </c>
      <c r="AX191" s="42" t="str">
        <f>IF('GNI per capita'!AX191&lt;=Thresholds!$C$47,"L",IF('GNI per capita'!AX191&lt;=Thresholds!$D$47,"LM",IF('GNI per capita'!AX191&lt;=Thresholds!$E$47,"UM","H")))</f>
        <v>H</v>
      </c>
      <c r="AY191" s="42" t="str">
        <f>IF('GNI per capita'!AY191&lt;=Thresholds!$C$48,"L",IF('GNI per capita'!AY191&lt;=Thresholds!$D$48,"LM",IF('GNI per capita'!AY191&lt;=Thresholds!$E$48,"UM","H")))</f>
        <v>H</v>
      </c>
      <c r="AZ191" s="42" t="str">
        <f>IF('GNI per capita'!AZ191&lt;=Thresholds!$C$49,"L",IF('GNI per capita'!AZ191&lt;=Thresholds!$D$49,"LM",IF('GNI per capita'!AZ191&lt;=Thresholds!$E$49,"UM","H")))</f>
        <v>H</v>
      </c>
      <c r="BA191" s="42" t="str">
        <f>IF('GNI per capita'!BA191&lt;=Thresholds!$C$50,"L",IF('GNI per capita'!BA191&lt;=Thresholds!$D$50,"LM",IF('GNI per capita'!BA191&lt;=Thresholds!$E$50,"UM","H")))</f>
        <v>H</v>
      </c>
      <c r="BB191" s="42" t="str">
        <f>IF('GNI per capita'!BB191&lt;=Thresholds!$C$51,"L",IF('GNI per capita'!BB191&lt;=Thresholds!$D$51,"LM",IF('GNI per capita'!BB191&lt;=Thresholds!$E$51,"UM","H")))</f>
        <v>H</v>
      </c>
      <c r="BC191" s="42" t="str">
        <f>IF('GNI per capita'!BC191&lt;=Thresholds!$C$52,"L",IF('GNI per capita'!BC191&lt;=Thresholds!$D$52,"LM",IF('GNI per capita'!BC191&lt;=Thresholds!$E$52,"UM","H")))</f>
        <v>H</v>
      </c>
      <c r="BD191" s="42" t="str">
        <f>IF('GNI per capita'!BD191&lt;=Thresholds!$C$53,"L",IF('GNI per capita'!BD191&lt;=Thresholds!$D$53,"LM",IF('GNI per capita'!BD191&lt;=Thresholds!$E$53,"UM","H")))</f>
        <v>H</v>
      </c>
      <c r="BE191" s="42" t="str">
        <f>IF('GNI per capita'!BE191&lt;=Thresholds!$C$54,"L",IF('GNI per capita'!BE191&lt;=Thresholds!$D$54,"LM",IF('GNI per capita'!BE191&lt;=Thresholds!$E$54,"UM","H")))</f>
        <v>H</v>
      </c>
      <c r="BF191" s="42" t="str">
        <f>IF('GNI per capita'!BF191&lt;=Thresholds!$C$55,"L",IF('GNI per capita'!BF191&lt;=Thresholds!$D$55,"LM",IF('GNI per capita'!BF191&lt;=Thresholds!$E$55,"UM","H")))</f>
        <v>H</v>
      </c>
      <c r="BG191" s="42" t="str">
        <f>IF('GNI per capita'!BG191&lt;=Thresholds!$C$56,"L",IF('GNI per capita'!BG191&lt;=Thresholds!$D$56,"LM",IF('GNI per capita'!BG191&lt;=Thresholds!$E$56,"UM","H")))</f>
        <v>H</v>
      </c>
      <c r="BH191" s="42" t="str">
        <f>IF('GNI per capita'!BH191&lt;=Thresholds!$C$57,"L",IF('GNI per capita'!BH191&lt;=Thresholds!$D$57,"LM",IF('GNI per capita'!BH191&lt;=Thresholds!$E$57,"UM","H")))</f>
        <v>H</v>
      </c>
      <c r="BI191" s="42" t="str">
        <f>IF('GNI per capita'!BI191&lt;=Thresholds!$C$58,"L",IF('GNI per capita'!BI191&lt;=Thresholds!$D$58,"LM",IF('GNI per capita'!BI191&lt;=Thresholds!$E$58,"UM","H")))</f>
        <v>H</v>
      </c>
      <c r="BJ191" s="42" t="str">
        <f>IF('GNI per capita'!BJ191&lt;=Thresholds!$C$59,"L",IF('GNI per capita'!BJ191&lt;=Thresholds!$D$59,"LM",IF('GNI per capita'!BJ191&lt;=Thresholds!$E$59,"UM","H")))</f>
        <v>H</v>
      </c>
      <c r="BK191" s="42" t="str">
        <f>IF('GNI per capita'!BK191&lt;=Thresholds!$C$60,"L",IF('GNI per capita'!BK191&lt;=Thresholds!$D$60,"LM",IF('GNI per capita'!BK191&lt;=Thresholds!$E$60,"UM","H")))</f>
        <v>H</v>
      </c>
      <c r="BL191" s="42" t="str">
        <f>IF('GNI per capita'!BL191&lt;=Thresholds!$C$61,"L",IF('GNI per capita'!BL191&lt;=Thresholds!$D$61,"LM",IF('GNI per capita'!BL191&lt;=Thresholds!$E$61,"UM","H")))</f>
        <v>H</v>
      </c>
      <c r="BM191" s="42" t="str">
        <f>IF('GNI per capita'!BM191&lt;=Thresholds!$C$62,"L",IF('GNI per capita'!BM191&lt;=Thresholds!$D$62,"LM",IF('GNI per capita'!BM191&lt;=Thresholds!$E$62,"UM","H")))</f>
        <v>H</v>
      </c>
      <c r="BN191" s="42" t="str">
        <f>IF('GNI per capita'!BN191&lt;=Thresholds!$C$63,"L",IF('GNI per capita'!BN191&lt;=Thresholds!$D$63,"LM",IF('GNI per capita'!BN191&lt;=Thresholds!$E$63,"UM","H")))</f>
        <v>H</v>
      </c>
      <c r="BO191" s="42" t="str">
        <f>IF('GNI per capita'!BO191&lt;=Thresholds!$C$64,"L",IF('GNI per capita'!BO191&lt;=Thresholds!$D$64,"LM",IF('GNI per capita'!BO191&lt;=Thresholds!$E$64,"UM","H")))</f>
        <v>H</v>
      </c>
      <c r="BP191" s="42" t="str">
        <f>IF('GNI per capita'!BP191&lt;=Thresholds!$C$65,"L",IF('GNI per capita'!BP191&lt;=Thresholds!$D$65,"LM",IF('GNI per capita'!BP191&lt;=Thresholds!$E$65,"UM","H")))</f>
        <v>H</v>
      </c>
      <c r="BQ191" s="42" t="str">
        <f>IF('GNI per capita'!BQ191&lt;=Thresholds!$C$66,"L",IF('GNI per capita'!BQ191&lt;=Thresholds!$D$66,"LM",IF('GNI per capita'!BQ191&lt;=Thresholds!$E$66,"UM","H")))</f>
        <v>H</v>
      </c>
      <c r="BR191" s="42" t="str">
        <f>IF('GNI per capita'!BR191&lt;=Thresholds!$C$67,"L",IF('GNI per capita'!BR191&lt;=Thresholds!$D$67,"LM",IF('GNI per capita'!BR191&lt;=Thresholds!$E$67,"UM","H")))</f>
        <v>H</v>
      </c>
      <c r="BS191" s="42" t="str">
        <f>IF('GNI per capita'!BS191&lt;=Thresholds!$C$68,"L",IF('GNI per capita'!BS191&lt;=Thresholds!$D$68,"LM",IF('GNI per capita'!BS191&lt;=Thresholds!$E$68,"UM","H")))</f>
        <v>H</v>
      </c>
    </row>
    <row r="192" spans="1:71" x14ac:dyDescent="0.2">
      <c r="A192" s="2" t="s">
        <v>611</v>
      </c>
      <c r="B192" s="2" t="s">
        <v>612</v>
      </c>
      <c r="C192" s="11" t="s">
        <v>75</v>
      </c>
      <c r="G192" s="28" t="s">
        <v>613</v>
      </c>
      <c r="H192" s="41" t="s">
        <v>210</v>
      </c>
      <c r="I192" s="41" t="s">
        <v>210</v>
      </c>
      <c r="J192" s="41" t="s">
        <v>210</v>
      </c>
      <c r="K192" s="41" t="s">
        <v>210</v>
      </c>
      <c r="L192" s="41" t="s">
        <v>210</v>
      </c>
      <c r="M192" s="41" t="s">
        <v>210</v>
      </c>
      <c r="N192" s="41" t="s">
        <v>210</v>
      </c>
      <c r="O192" s="41" t="s">
        <v>210</v>
      </c>
      <c r="P192" s="41" t="s">
        <v>210</v>
      </c>
      <c r="Q192" s="41" t="s">
        <v>210</v>
      </c>
      <c r="R192" s="41" t="s">
        <v>210</v>
      </c>
      <c r="S192" s="41" t="s">
        <v>210</v>
      </c>
      <c r="T192" s="41" t="s">
        <v>210</v>
      </c>
      <c r="U192" s="41" t="s">
        <v>210</v>
      </c>
      <c r="V192" s="41" t="s">
        <v>210</v>
      </c>
      <c r="W192" s="41" t="s">
        <v>210</v>
      </c>
      <c r="X192" s="41" t="s">
        <v>210</v>
      </c>
      <c r="Y192" s="41" t="s">
        <v>210</v>
      </c>
      <c r="Z192" s="41" t="s">
        <v>210</v>
      </c>
      <c r="AA192" s="41" t="s">
        <v>210</v>
      </c>
      <c r="AB192" s="41" t="s">
        <v>210</v>
      </c>
      <c r="AC192" s="41" t="s">
        <v>210</v>
      </c>
      <c r="AD192" s="41" t="s">
        <v>210</v>
      </c>
      <c r="AE192" s="41" t="s">
        <v>210</v>
      </c>
      <c r="AF192" s="41" t="s">
        <v>210</v>
      </c>
      <c r="AG192" s="41" t="s">
        <v>210</v>
      </c>
      <c r="AH192" s="41" t="s">
        <v>210</v>
      </c>
      <c r="AI192" s="41" t="s">
        <v>210</v>
      </c>
      <c r="AJ192" s="41" t="s">
        <v>210</v>
      </c>
      <c r="AK192" s="41" t="s">
        <v>210</v>
      </c>
      <c r="AL192" s="41" t="s">
        <v>75</v>
      </c>
      <c r="AM192" s="41" t="s">
        <v>75</v>
      </c>
      <c r="AN192" s="41" t="s">
        <v>75</v>
      </c>
      <c r="AO192" s="41" t="s">
        <v>75</v>
      </c>
      <c r="AP192" s="41" t="s">
        <v>75</v>
      </c>
      <c r="AQ192" s="41" t="s">
        <v>75</v>
      </c>
      <c r="AR192" s="41" t="s">
        <v>75</v>
      </c>
      <c r="AS192" s="41" t="s">
        <v>75</v>
      </c>
      <c r="AT192" s="41" t="s">
        <v>75</v>
      </c>
      <c r="AU192" s="42" t="str">
        <f t="shared" ref="AU192:BS192" si="17">$C192</f>
        <v>L</v>
      </c>
      <c r="AV192" s="42" t="str">
        <f t="shared" si="17"/>
        <v>L</v>
      </c>
      <c r="AW192" s="42" t="str">
        <f t="shared" si="17"/>
        <v>L</v>
      </c>
      <c r="AX192" s="42" t="str">
        <f t="shared" si="17"/>
        <v>L</v>
      </c>
      <c r="AY192" s="42" t="str">
        <f t="shared" si="17"/>
        <v>L</v>
      </c>
      <c r="AZ192" s="42" t="str">
        <f t="shared" si="17"/>
        <v>L</v>
      </c>
      <c r="BA192" s="42" t="str">
        <f t="shared" si="17"/>
        <v>L</v>
      </c>
      <c r="BB192" s="42" t="str">
        <f t="shared" si="17"/>
        <v>L</v>
      </c>
      <c r="BC192" s="42" t="str">
        <f t="shared" si="17"/>
        <v>L</v>
      </c>
      <c r="BD192" s="42" t="str">
        <f t="shared" si="17"/>
        <v>L</v>
      </c>
      <c r="BE192" s="42" t="str">
        <f t="shared" si="17"/>
        <v>L</v>
      </c>
      <c r="BF192" s="42" t="str">
        <f t="shared" si="17"/>
        <v>L</v>
      </c>
      <c r="BG192" s="42" t="str">
        <f t="shared" si="17"/>
        <v>L</v>
      </c>
      <c r="BH192" s="42" t="str">
        <f t="shared" si="17"/>
        <v>L</v>
      </c>
      <c r="BI192" s="42" t="str">
        <f t="shared" si="17"/>
        <v>L</v>
      </c>
      <c r="BJ192" s="42" t="str">
        <f t="shared" si="17"/>
        <v>L</v>
      </c>
      <c r="BK192" s="42" t="str">
        <f t="shared" si="17"/>
        <v>L</v>
      </c>
      <c r="BL192" s="42" t="str">
        <f t="shared" si="17"/>
        <v>L</v>
      </c>
      <c r="BM192" s="42" t="str">
        <f t="shared" si="17"/>
        <v>L</v>
      </c>
      <c r="BN192" s="42" t="str">
        <f t="shared" si="17"/>
        <v>L</v>
      </c>
      <c r="BO192" s="42" t="str">
        <f t="shared" si="17"/>
        <v>L</v>
      </c>
      <c r="BP192" s="42" t="str">
        <f t="shared" si="17"/>
        <v>L</v>
      </c>
      <c r="BQ192" s="42" t="str">
        <f t="shared" si="17"/>
        <v>L</v>
      </c>
      <c r="BR192" s="42" t="str">
        <f t="shared" si="17"/>
        <v>L</v>
      </c>
      <c r="BS192" s="42" t="str">
        <f t="shared" si="17"/>
        <v>L</v>
      </c>
    </row>
    <row r="193" spans="1:71" x14ac:dyDescent="0.2">
      <c r="A193" s="2" t="s">
        <v>614</v>
      </c>
      <c r="B193" s="2" t="s">
        <v>615</v>
      </c>
      <c r="C193" s="11" t="s">
        <v>210</v>
      </c>
      <c r="G193" s="2" t="s">
        <v>616</v>
      </c>
      <c r="H193" s="41" t="s">
        <v>75</v>
      </c>
      <c r="I193" s="41" t="s">
        <v>75</v>
      </c>
      <c r="J193" s="41" t="s">
        <v>75</v>
      </c>
      <c r="K193" s="41" t="s">
        <v>75</v>
      </c>
      <c r="L193" s="41" t="s">
        <v>75</v>
      </c>
      <c r="M193" s="41" t="s">
        <v>75</v>
      </c>
      <c r="N193" s="41" t="s">
        <v>75</v>
      </c>
      <c r="O193" s="41" t="s">
        <v>75</v>
      </c>
      <c r="P193" s="41" t="s">
        <v>75</v>
      </c>
      <c r="Q193" s="41" t="s">
        <v>75</v>
      </c>
      <c r="R193" s="41" t="s">
        <v>75</v>
      </c>
      <c r="S193" s="41" t="s">
        <v>75</v>
      </c>
      <c r="T193" s="41" t="s">
        <v>75</v>
      </c>
      <c r="U193" s="41" t="s">
        <v>75</v>
      </c>
      <c r="V193" s="41" t="s">
        <v>75</v>
      </c>
      <c r="W193" s="41" t="s">
        <v>75</v>
      </c>
      <c r="X193" s="41" t="s">
        <v>75</v>
      </c>
      <c r="Y193" s="41" t="s">
        <v>75</v>
      </c>
      <c r="Z193" s="41" t="s">
        <v>75</v>
      </c>
      <c r="AA193" s="41" t="s">
        <v>75</v>
      </c>
      <c r="AB193" s="41" t="s">
        <v>75</v>
      </c>
      <c r="AC193" s="41" t="s">
        <v>210</v>
      </c>
      <c r="AD193" s="41" t="s">
        <v>210</v>
      </c>
      <c r="AE193" s="41" t="s">
        <v>210</v>
      </c>
      <c r="AF193" s="41" t="s">
        <v>210</v>
      </c>
      <c r="AG193" s="41" t="s">
        <v>210</v>
      </c>
      <c r="AH193" s="41" t="s">
        <v>210</v>
      </c>
      <c r="AI193" s="41" t="s">
        <v>210</v>
      </c>
      <c r="AJ193" s="41" t="s">
        <v>210</v>
      </c>
      <c r="AK193" s="41" t="s">
        <v>210</v>
      </c>
      <c r="AL193" s="41" t="s">
        <v>210</v>
      </c>
      <c r="AM193" s="41" t="s">
        <v>210</v>
      </c>
      <c r="AN193" s="41" t="s">
        <v>210</v>
      </c>
      <c r="AO193" s="41" t="s">
        <v>210</v>
      </c>
      <c r="AP193" s="41" t="s">
        <v>210</v>
      </c>
      <c r="AQ193" s="41" t="s">
        <v>210</v>
      </c>
      <c r="AR193" s="41" t="s">
        <v>210</v>
      </c>
      <c r="AS193" s="41" t="s">
        <v>210</v>
      </c>
      <c r="AT193" s="41" t="s">
        <v>210</v>
      </c>
      <c r="AU193" s="42" t="str">
        <f>IF('GNI per capita'!AU193&lt;=Thresholds!$C$44,"L",IF('GNI per capita'!AU193&lt;=Thresholds!$D$44,"LM",IF('GNI per capita'!AU193&lt;=Thresholds!$E$44,"UM","H")))</f>
        <v>LM</v>
      </c>
      <c r="AV193" s="42" t="str">
        <f>IF('GNI per capita'!AV193&lt;=Thresholds!$C$45,"L",IF('GNI per capita'!AV193&lt;=Thresholds!$D$45,"LM",IF('GNI per capita'!AV193&lt;=Thresholds!$E$45,"UM","H")))</f>
        <v>LM</v>
      </c>
      <c r="AW193" s="42" t="str">
        <f>IF('GNI per capita'!AW193&lt;=Thresholds!$C$46,"L",IF('GNI per capita'!AW193&lt;=Thresholds!$D$46,"LM",IF('GNI per capita'!AW193&lt;=Thresholds!$E$46,"UM","H")))</f>
        <v>LM</v>
      </c>
      <c r="AX193" s="42" t="str">
        <f>IF('GNI per capita'!AX193&lt;=Thresholds!$C$47,"L",IF('GNI per capita'!AX193&lt;=Thresholds!$D$47,"LM",IF('GNI per capita'!AX193&lt;=Thresholds!$E$47,"UM","H")))</f>
        <v>UM</v>
      </c>
      <c r="AY193" s="42" t="str">
        <f>IF('GNI per capita'!AY193&lt;=Thresholds!$C$48,"L",IF('GNI per capita'!AY193&lt;=Thresholds!$D$48,"LM",IF('GNI per capita'!AY193&lt;=Thresholds!$E$48,"UM","H")))</f>
        <v>UM</v>
      </c>
      <c r="AZ193" s="42" t="str">
        <f>IF('GNI per capita'!AZ193&lt;=Thresholds!$C$49,"L",IF('GNI per capita'!AZ193&lt;=Thresholds!$D$49,"LM",IF('GNI per capita'!AZ193&lt;=Thresholds!$E$49,"UM","H")))</f>
        <v>UM</v>
      </c>
      <c r="BA193" s="42" t="str">
        <f>IF('GNI per capita'!BA193&lt;=Thresholds!$C$50,"L",IF('GNI per capita'!BA193&lt;=Thresholds!$D$50,"LM",IF('GNI per capita'!BA193&lt;=Thresholds!$E$50,"UM","H")))</f>
        <v>UM</v>
      </c>
      <c r="BB193" s="42" t="str">
        <f>IF('GNI per capita'!BB193&lt;=Thresholds!$C$51,"L",IF('GNI per capita'!BB193&lt;=Thresholds!$D$51,"LM",IF('GNI per capita'!BB193&lt;=Thresholds!$E$51,"UM","H")))</f>
        <v>UM</v>
      </c>
      <c r="BC193" s="42" t="str">
        <f>IF('GNI per capita'!BC193&lt;=Thresholds!$C$52,"L",IF('GNI per capita'!BC193&lt;=Thresholds!$D$52,"LM",IF('GNI per capita'!BC193&lt;=Thresholds!$E$52,"UM","H")))</f>
        <v>UM</v>
      </c>
      <c r="BD193" s="42" t="str">
        <f>IF('GNI per capita'!BD193&lt;=Thresholds!$C$53,"L",IF('GNI per capita'!BD193&lt;=Thresholds!$D$53,"LM",IF('GNI per capita'!BD193&lt;=Thresholds!$E$53,"UM","H")))</f>
        <v>UM</v>
      </c>
      <c r="BE193" s="42" t="str">
        <f>IF('GNI per capita'!BE193&lt;=Thresholds!$C$54,"L",IF('GNI per capita'!BE193&lt;=Thresholds!$D$54,"LM",IF('GNI per capita'!BE193&lt;=Thresholds!$E$54,"UM","H")))</f>
        <v>UM</v>
      </c>
      <c r="BF193" s="42" t="str">
        <f>IF('GNI per capita'!BF193&lt;=Thresholds!$C$55,"L",IF('GNI per capita'!BF193&lt;=Thresholds!$D$55,"LM",IF('GNI per capita'!BF193&lt;=Thresholds!$E$55,"UM","H")))</f>
        <v>UM</v>
      </c>
      <c r="BG193" s="42" t="str">
        <f>IF('GNI per capita'!BG193&lt;=Thresholds!$C$56,"L",IF('GNI per capita'!BG193&lt;=Thresholds!$D$56,"LM",IF('GNI per capita'!BG193&lt;=Thresholds!$E$56,"UM","H")))</f>
        <v>UM</v>
      </c>
      <c r="BH193" s="42" t="str">
        <f>IF('GNI per capita'!BH193&lt;=Thresholds!$C$57,"L",IF('GNI per capita'!BH193&lt;=Thresholds!$D$57,"LM",IF('GNI per capita'!BH193&lt;=Thresholds!$E$57,"UM","H")))</f>
        <v>UM</v>
      </c>
      <c r="BI193" s="42" t="str">
        <f>IF('GNI per capita'!BI193&lt;=Thresholds!$C$58,"L",IF('GNI per capita'!BI193&lt;=Thresholds!$D$58,"LM",IF('GNI per capita'!BI193&lt;=Thresholds!$E$58,"UM","H")))</f>
        <v>UM</v>
      </c>
      <c r="BJ193" s="42" t="str">
        <f>IF('GNI per capita'!BJ193&lt;=Thresholds!$C$59,"L",IF('GNI per capita'!BJ193&lt;=Thresholds!$D$59,"LM",IF('GNI per capita'!BJ193&lt;=Thresholds!$E$59,"UM","H")))</f>
        <v>UM</v>
      </c>
      <c r="BK193" s="42" t="str">
        <f>IF('GNI per capita'!BK193&lt;=Thresholds!$C$60,"L",IF('GNI per capita'!BK193&lt;=Thresholds!$D$60,"LM",IF('GNI per capita'!BK193&lt;=Thresholds!$E$60,"UM","H")))</f>
        <v>UM</v>
      </c>
      <c r="BL193" s="42" t="str">
        <f>IF('GNI per capita'!BL193&lt;=Thresholds!$C$61,"L",IF('GNI per capita'!BL193&lt;=Thresholds!$D$61,"LM",IF('GNI per capita'!BL193&lt;=Thresholds!$E$61,"UM","H")))</f>
        <v>UM</v>
      </c>
      <c r="BM193" s="42" t="str">
        <f>IF('GNI per capita'!BM193&lt;=Thresholds!$C$62,"L",IF('GNI per capita'!BM193&lt;=Thresholds!$D$62,"LM",IF('GNI per capita'!BM193&lt;=Thresholds!$E$62,"UM","H")))</f>
        <v>UM</v>
      </c>
      <c r="BN193" s="42" t="str">
        <f>IF('GNI per capita'!BN193&lt;=Thresholds!$C$63,"L",IF('GNI per capita'!BN193&lt;=Thresholds!$D$63,"LM",IF('GNI per capita'!BN193&lt;=Thresholds!$E$63,"UM","H")))</f>
        <v>UM</v>
      </c>
      <c r="BO193" s="42" t="str">
        <f>IF('GNI per capita'!BO193&lt;=Thresholds!$C$64,"L",IF('GNI per capita'!BO193&lt;=Thresholds!$D$64,"LM",IF('GNI per capita'!BO193&lt;=Thresholds!$E$64,"UM","H")))</f>
        <v>UM</v>
      </c>
      <c r="BP193" s="42" t="str">
        <f>IF('GNI per capita'!BP193&lt;=Thresholds!$C$65,"L",IF('GNI per capita'!BP193&lt;=Thresholds!$D$65,"LM",IF('GNI per capita'!BP193&lt;=Thresholds!$E$65,"UM","H")))</f>
        <v>UM</v>
      </c>
      <c r="BQ193" s="42" t="str">
        <f>IF('GNI per capita'!BQ193&lt;=Thresholds!$C$66,"L",IF('GNI per capita'!BQ193&lt;=Thresholds!$D$66,"LM",IF('GNI per capita'!BQ193&lt;=Thresholds!$E$66,"UM","H")))</f>
        <v>H</v>
      </c>
      <c r="BR193" s="42" t="str">
        <f>IF('GNI per capita'!BR193&lt;=Thresholds!$C$67,"L",IF('GNI per capita'!BR193&lt;=Thresholds!$D$67,"LM",IF('GNI per capita'!BR193&lt;=Thresholds!$E$67,"UM","H")))</f>
        <v>H</v>
      </c>
      <c r="BS193" s="42" t="str">
        <f>IF('GNI per capita'!BS193&lt;=Thresholds!$C$68,"L",IF('GNI per capita'!BS193&lt;=Thresholds!$D$68,"LM",IF('GNI per capita'!BS193&lt;=Thresholds!$E$68,"UM","H")))</f>
        <v>H</v>
      </c>
    </row>
    <row r="194" spans="1:71" x14ac:dyDescent="0.2">
      <c r="A194" s="2" t="s">
        <v>617</v>
      </c>
      <c r="B194" s="2" t="s">
        <v>618</v>
      </c>
      <c r="C194" s="11" t="s">
        <v>79</v>
      </c>
      <c r="G194" s="28" t="s">
        <v>204</v>
      </c>
      <c r="H194" s="41" t="s">
        <v>79</v>
      </c>
      <c r="I194" s="41" t="s">
        <v>79</v>
      </c>
      <c r="J194" s="41" t="s">
        <v>79</v>
      </c>
      <c r="K194" s="41" t="s">
        <v>79</v>
      </c>
      <c r="L194" s="41" t="s">
        <v>79</v>
      </c>
      <c r="M194" s="41" t="s">
        <v>79</v>
      </c>
      <c r="N194" s="41" t="s">
        <v>79</v>
      </c>
      <c r="O194" s="41" t="s">
        <v>79</v>
      </c>
      <c r="P194" s="41" t="s">
        <v>79</v>
      </c>
      <c r="Q194" s="41" t="s">
        <v>79</v>
      </c>
      <c r="R194" s="41" t="s">
        <v>79</v>
      </c>
      <c r="S194" s="41" t="s">
        <v>79</v>
      </c>
      <c r="T194" s="41" t="s">
        <v>79</v>
      </c>
      <c r="U194" s="41" t="s">
        <v>79</v>
      </c>
      <c r="V194" s="41" t="s">
        <v>79</v>
      </c>
      <c r="W194" s="41" t="s">
        <v>79</v>
      </c>
      <c r="X194" s="41" t="s">
        <v>79</v>
      </c>
      <c r="Y194" s="41" t="s">
        <v>79</v>
      </c>
      <c r="Z194" s="41" t="s">
        <v>79</v>
      </c>
      <c r="AA194" s="41" t="s">
        <v>79</v>
      </c>
      <c r="AB194" s="41" t="s">
        <v>79</v>
      </c>
      <c r="AC194" s="41" t="s">
        <v>79</v>
      </c>
      <c r="AD194" s="41" t="s">
        <v>79</v>
      </c>
      <c r="AE194" s="41" t="s">
        <v>79</v>
      </c>
      <c r="AF194" s="41" t="s">
        <v>79</v>
      </c>
      <c r="AG194" s="41" t="s">
        <v>79</v>
      </c>
      <c r="AH194" s="41" t="s">
        <v>79</v>
      </c>
      <c r="AI194" s="41" t="s">
        <v>79</v>
      </c>
      <c r="AJ194" s="41" t="s">
        <v>79</v>
      </c>
      <c r="AK194" s="41" t="s">
        <v>79</v>
      </c>
      <c r="AL194" s="41" t="s">
        <v>79</v>
      </c>
      <c r="AM194" s="41" t="s">
        <v>79</v>
      </c>
      <c r="AN194" s="41" t="s">
        <v>79</v>
      </c>
      <c r="AO194" s="41" t="s">
        <v>79</v>
      </c>
      <c r="AP194" s="41" t="s">
        <v>79</v>
      </c>
      <c r="AQ194" s="41" t="s">
        <v>79</v>
      </c>
      <c r="AR194" s="41" t="s">
        <v>79</v>
      </c>
      <c r="AS194" s="41" t="s">
        <v>79</v>
      </c>
      <c r="AT194" s="41" t="s">
        <v>79</v>
      </c>
      <c r="AU194" s="42" t="str">
        <f t="shared" ref="AU194:BS194" si="18">$C194</f>
        <v>H</v>
      </c>
      <c r="AV194" s="42" t="str">
        <f t="shared" si="18"/>
        <v>H</v>
      </c>
      <c r="AW194" s="42" t="str">
        <f t="shared" si="18"/>
        <v>H</v>
      </c>
      <c r="AX194" s="42" t="str">
        <f t="shared" si="18"/>
        <v>H</v>
      </c>
      <c r="AY194" s="42" t="str">
        <f t="shared" si="18"/>
        <v>H</v>
      </c>
      <c r="AZ194" s="42" t="str">
        <f t="shared" si="18"/>
        <v>H</v>
      </c>
      <c r="BA194" s="42" t="str">
        <f t="shared" si="18"/>
        <v>H</v>
      </c>
      <c r="BB194" s="42" t="str">
        <f t="shared" si="18"/>
        <v>H</v>
      </c>
      <c r="BC194" s="42" t="str">
        <f t="shared" si="18"/>
        <v>H</v>
      </c>
      <c r="BD194" s="42" t="str">
        <f t="shared" si="18"/>
        <v>H</v>
      </c>
      <c r="BE194" s="42" t="str">
        <f t="shared" si="18"/>
        <v>H</v>
      </c>
      <c r="BF194" s="42" t="str">
        <f t="shared" si="18"/>
        <v>H</v>
      </c>
      <c r="BG194" s="42" t="str">
        <f t="shared" si="18"/>
        <v>H</v>
      </c>
      <c r="BH194" s="42" t="str">
        <f t="shared" si="18"/>
        <v>H</v>
      </c>
      <c r="BI194" s="42" t="str">
        <f t="shared" si="18"/>
        <v>H</v>
      </c>
      <c r="BJ194" s="42" t="str">
        <f t="shared" si="18"/>
        <v>H</v>
      </c>
      <c r="BK194" s="42" t="str">
        <f t="shared" si="18"/>
        <v>H</v>
      </c>
      <c r="BL194" s="42" t="str">
        <f t="shared" si="18"/>
        <v>H</v>
      </c>
      <c r="BM194" s="42" t="str">
        <f t="shared" si="18"/>
        <v>H</v>
      </c>
      <c r="BN194" s="42" t="str">
        <f t="shared" si="18"/>
        <v>H</v>
      </c>
      <c r="BO194" s="42" t="str">
        <f t="shared" si="18"/>
        <v>H</v>
      </c>
      <c r="BP194" s="42" t="str">
        <f t="shared" si="18"/>
        <v>H</v>
      </c>
      <c r="BQ194" s="42" t="str">
        <f t="shared" si="18"/>
        <v>H</v>
      </c>
      <c r="BR194" s="42" t="str">
        <f t="shared" si="18"/>
        <v>H</v>
      </c>
      <c r="BS194" s="42" t="str">
        <f t="shared" si="18"/>
        <v>H</v>
      </c>
    </row>
    <row r="195" spans="1:71" x14ac:dyDescent="0.2">
      <c r="A195" s="2" t="s">
        <v>619</v>
      </c>
      <c r="B195" s="2" t="s">
        <v>620</v>
      </c>
      <c r="C195" s="11" t="s">
        <v>210</v>
      </c>
      <c r="G195" s="2" t="s">
        <v>162</v>
      </c>
      <c r="H195" s="41"/>
      <c r="I195" s="41"/>
      <c r="J195" s="41"/>
      <c r="K195" s="41"/>
      <c r="L195" s="41" t="s">
        <v>210</v>
      </c>
      <c r="M195" s="41" t="s">
        <v>75</v>
      </c>
      <c r="N195" s="41" t="s">
        <v>75</v>
      </c>
      <c r="O195" s="41" t="s">
        <v>75</v>
      </c>
      <c r="P195" s="41" t="s">
        <v>75</v>
      </c>
      <c r="Q195" s="41" t="s">
        <v>75</v>
      </c>
      <c r="R195" s="41" t="s">
        <v>75</v>
      </c>
      <c r="S195" s="41" t="s">
        <v>75</v>
      </c>
      <c r="T195" s="41" t="s">
        <v>75</v>
      </c>
      <c r="U195" s="41" t="s">
        <v>75</v>
      </c>
      <c r="V195" s="41" t="s">
        <v>75</v>
      </c>
      <c r="W195" s="41" t="s">
        <v>75</v>
      </c>
      <c r="X195" s="41" t="s">
        <v>75</v>
      </c>
      <c r="Y195" s="41" t="s">
        <v>75</v>
      </c>
      <c r="Z195" s="41" t="s">
        <v>75</v>
      </c>
      <c r="AA195" s="41" t="s">
        <v>75</v>
      </c>
      <c r="AB195" s="41" t="s">
        <v>75</v>
      </c>
      <c r="AC195" s="41" t="s">
        <v>75</v>
      </c>
      <c r="AD195" s="41" t="s">
        <v>75</v>
      </c>
      <c r="AE195" s="41" t="s">
        <v>75</v>
      </c>
      <c r="AF195" s="41" t="s">
        <v>75</v>
      </c>
      <c r="AG195" s="41" t="s">
        <v>75</v>
      </c>
      <c r="AH195" s="41" t="s">
        <v>75</v>
      </c>
      <c r="AI195" s="41" t="s">
        <v>210</v>
      </c>
      <c r="AJ195" s="41" t="s">
        <v>210</v>
      </c>
      <c r="AK195" s="41" t="s">
        <v>210</v>
      </c>
      <c r="AL195" s="41" t="s">
        <v>75</v>
      </c>
      <c r="AM195" s="41" t="s">
        <v>75</v>
      </c>
      <c r="AN195" s="41" t="s">
        <v>75</v>
      </c>
      <c r="AO195" s="41" t="s">
        <v>210</v>
      </c>
      <c r="AP195" s="41" t="s">
        <v>210</v>
      </c>
      <c r="AQ195" s="41" t="s">
        <v>210</v>
      </c>
      <c r="AR195" s="41" t="s">
        <v>210</v>
      </c>
      <c r="AS195" s="41" t="s">
        <v>210</v>
      </c>
      <c r="AT195" s="41" t="s">
        <v>210</v>
      </c>
      <c r="AU195" s="42" t="str">
        <f>IF('GNI per capita'!AU195&lt;=Thresholds!$C$44,"L",IF('GNI per capita'!AU195&lt;=Thresholds!$D$44,"LM",IF('GNI per capita'!AU195&lt;=Thresholds!$E$44,"UM","H")))</f>
        <v>LM</v>
      </c>
      <c r="AV195" s="42" t="str">
        <f>IF('GNI per capita'!AV195&lt;=Thresholds!$C$45,"L",IF('GNI per capita'!AV195&lt;=Thresholds!$D$45,"LM",IF('GNI per capita'!AV195&lt;=Thresholds!$E$45,"UM","H")))</f>
        <v>LM</v>
      </c>
      <c r="AW195" s="42" t="str">
        <f>IF('GNI per capita'!AW195&lt;=Thresholds!$C$46,"L",IF('GNI per capita'!AW195&lt;=Thresholds!$D$46,"LM",IF('GNI per capita'!AW195&lt;=Thresholds!$E$46,"UM","H")))</f>
        <v>LM</v>
      </c>
      <c r="AX195" s="42" t="str">
        <f>IF('GNI per capita'!AX195&lt;=Thresholds!$C$47,"L",IF('GNI per capita'!AX195&lt;=Thresholds!$D$47,"LM",IF('GNI per capita'!AX195&lt;=Thresholds!$E$47,"UM","H")))</f>
        <v>LM</v>
      </c>
      <c r="AY195" s="42" t="str">
        <f>IF('GNI per capita'!AY195&lt;=Thresholds!$C$48,"L",IF('GNI per capita'!AY195&lt;=Thresholds!$D$48,"LM",IF('GNI per capita'!AY195&lt;=Thresholds!$E$48,"UM","H")))</f>
        <v>LM</v>
      </c>
      <c r="AZ195" s="42" t="str">
        <f>IF('GNI per capita'!AZ195&lt;=Thresholds!$C$49,"L",IF('GNI per capita'!AZ195&lt;=Thresholds!$D$49,"LM",IF('GNI per capita'!AZ195&lt;=Thresholds!$E$49,"UM","H")))</f>
        <v>LM</v>
      </c>
      <c r="BA195" s="42" t="str">
        <f>IF('GNI per capita'!BA195&lt;=Thresholds!$C$50,"L",IF('GNI per capita'!BA195&lt;=Thresholds!$D$50,"LM",IF('GNI per capita'!BA195&lt;=Thresholds!$E$50,"UM","H")))</f>
        <v>LM</v>
      </c>
      <c r="BB195" s="42" t="str">
        <f>IF('GNI per capita'!BB195&lt;=Thresholds!$C$51,"L",IF('GNI per capita'!BB195&lt;=Thresholds!$D$51,"LM",IF('GNI per capita'!BB195&lt;=Thresholds!$E$51,"UM","H")))</f>
        <v>LM</v>
      </c>
      <c r="BC195" s="42" t="str">
        <f>IF('GNI per capita'!BC195&lt;=Thresholds!$C$52,"L",IF('GNI per capita'!BC195&lt;=Thresholds!$D$52,"LM",IF('GNI per capita'!BC195&lt;=Thresholds!$E$52,"UM","H")))</f>
        <v>LM</v>
      </c>
      <c r="BD195" s="42" t="str">
        <f>IF('GNI per capita'!BD195&lt;=Thresholds!$C$53,"L",IF('GNI per capita'!BD195&lt;=Thresholds!$D$53,"LM",IF('GNI per capita'!BD195&lt;=Thresholds!$E$53,"UM","H")))</f>
        <v>LM</v>
      </c>
      <c r="BE195" s="42" t="str">
        <f>IF('GNI per capita'!BE195&lt;=Thresholds!$C$54,"L",IF('GNI per capita'!BE195&lt;=Thresholds!$D$54,"LM",IF('GNI per capita'!BE195&lt;=Thresholds!$E$54,"UM","H")))</f>
        <v>LM</v>
      </c>
      <c r="BF195" s="42" t="str">
        <f>IF('GNI per capita'!BF195&lt;=Thresholds!$C$55,"L",IF('GNI per capita'!BF195&lt;=Thresholds!$D$55,"LM",IF('GNI per capita'!BF195&lt;=Thresholds!$E$55,"UM","H")))</f>
        <v>LM</v>
      </c>
      <c r="BG195" s="42" t="str">
        <f>IF('GNI per capita'!BG195&lt;=Thresholds!$C$56,"L",IF('GNI per capita'!BG195&lt;=Thresholds!$D$56,"LM",IF('GNI per capita'!BG195&lt;=Thresholds!$E$56,"UM","H")))</f>
        <v>LM</v>
      </c>
      <c r="BH195" s="42" t="str">
        <f>IF('GNI per capita'!BH195&lt;=Thresholds!$C$57,"L",IF('GNI per capita'!BH195&lt;=Thresholds!$D$57,"LM",IF('GNI per capita'!BH195&lt;=Thresholds!$E$57,"UM","H")))</f>
        <v>LM</v>
      </c>
      <c r="BI195" s="42" t="str">
        <f>IF('GNI per capita'!BI195&lt;=Thresholds!$C$58,"L",IF('GNI per capita'!BI195&lt;=Thresholds!$D$58,"LM",IF('GNI per capita'!BI195&lt;=Thresholds!$E$58,"UM","H")))</f>
        <v>LM</v>
      </c>
      <c r="BJ195" s="42" t="str">
        <f>IF('GNI per capita'!BJ195&lt;=Thresholds!$C$59,"L",IF('GNI per capita'!BJ195&lt;=Thresholds!$D$59,"LM",IF('GNI per capita'!BJ195&lt;=Thresholds!$E$59,"UM","H")))</f>
        <v>LM</v>
      </c>
      <c r="BK195" s="42" t="str">
        <f>IF('GNI per capita'!BK195&lt;=Thresholds!$C$60,"L",IF('GNI per capita'!BK195&lt;=Thresholds!$D$60,"LM",IF('GNI per capita'!BK195&lt;=Thresholds!$E$60,"UM","H")))</f>
        <v>LM</v>
      </c>
      <c r="BL195" s="42" t="str">
        <f>IF('GNI per capita'!BL195&lt;=Thresholds!$C$61,"L",IF('GNI per capita'!BL195&lt;=Thresholds!$D$61,"LM",IF('GNI per capita'!BL195&lt;=Thresholds!$E$61,"UM","H")))</f>
        <v>LM</v>
      </c>
      <c r="BM195" s="42" t="str">
        <f>IF('GNI per capita'!BM195&lt;=Thresholds!$C$62,"L",IF('GNI per capita'!BM195&lt;=Thresholds!$D$62,"LM",IF('GNI per capita'!BM195&lt;=Thresholds!$E$62,"UM","H")))</f>
        <v>LM</v>
      </c>
      <c r="BN195" s="42" t="str">
        <f>IF('GNI per capita'!BN195&lt;=Thresholds!$C$63,"L",IF('GNI per capita'!BN195&lt;=Thresholds!$D$63,"LM",IF('GNI per capita'!BN195&lt;=Thresholds!$E$63,"UM","H")))</f>
        <v>LM</v>
      </c>
      <c r="BO195" s="42" t="str">
        <f>IF('GNI per capita'!BO195&lt;=Thresholds!$C$64,"L",IF('GNI per capita'!BO195&lt;=Thresholds!$D$64,"LM",IF('GNI per capita'!BO195&lt;=Thresholds!$E$64,"UM","H")))</f>
        <v>LM</v>
      </c>
      <c r="BP195" s="42" t="str">
        <f>IF('GNI per capita'!BP195&lt;=Thresholds!$C$65,"L",IF('GNI per capita'!BP195&lt;=Thresholds!$D$65,"LM",IF('GNI per capita'!BP195&lt;=Thresholds!$E$65,"UM","H")))</f>
        <v>LM</v>
      </c>
      <c r="BQ195" s="42" t="str">
        <f>IF('GNI per capita'!BQ195&lt;=Thresholds!$C$66,"L",IF('GNI per capita'!BQ195&lt;=Thresholds!$D$66,"LM",IF('GNI per capita'!BQ195&lt;=Thresholds!$E$66,"UM","H")))</f>
        <v>LM</v>
      </c>
      <c r="BR195" s="42" t="str">
        <f>IF('GNI per capita'!BR195&lt;=Thresholds!$C$67,"L",IF('GNI per capita'!BR195&lt;=Thresholds!$D$67,"LM",IF('GNI per capita'!BR195&lt;=Thresholds!$E$67,"UM","H")))</f>
        <v>LM</v>
      </c>
      <c r="BS195" s="42" t="str">
        <f>IF('GNI per capita'!BS195&lt;=Thresholds!$C$68,"L",IF('GNI per capita'!BS195&lt;=Thresholds!$D$68,"LM",IF('GNI per capita'!BS195&lt;=Thresholds!$E$68,"UM","H")))</f>
        <v>LM</v>
      </c>
    </row>
    <row r="196" spans="1:71" x14ac:dyDescent="0.2">
      <c r="A196" s="2" t="s">
        <v>621</v>
      </c>
      <c r="B196" s="2" t="s">
        <v>622</v>
      </c>
      <c r="C196" s="11" t="s">
        <v>210</v>
      </c>
      <c r="G196" s="2" t="s">
        <v>162</v>
      </c>
      <c r="H196" s="41" t="s">
        <v>75</v>
      </c>
      <c r="I196" s="41" t="s">
        <v>75</v>
      </c>
      <c r="J196" s="41" t="s">
        <v>75</v>
      </c>
      <c r="K196" s="41" t="s">
        <v>75</v>
      </c>
      <c r="L196" s="41" t="s">
        <v>75</v>
      </c>
      <c r="M196" s="41" t="s">
        <v>75</v>
      </c>
      <c r="N196" s="41" t="s">
        <v>75</v>
      </c>
      <c r="O196" s="41" t="s">
        <v>75</v>
      </c>
      <c r="P196" s="41" t="s">
        <v>75</v>
      </c>
      <c r="Q196" s="41" t="s">
        <v>75</v>
      </c>
      <c r="R196" s="41" t="s">
        <v>75</v>
      </c>
      <c r="S196" s="41" t="s">
        <v>75</v>
      </c>
      <c r="T196" s="41" t="s">
        <v>75</v>
      </c>
      <c r="U196" s="41" t="s">
        <v>75</v>
      </c>
      <c r="V196" s="41" t="s">
        <v>75</v>
      </c>
      <c r="W196" s="41" t="s">
        <v>75</v>
      </c>
      <c r="X196" s="41" t="s">
        <v>75</v>
      </c>
      <c r="Y196" s="41" t="s">
        <v>75</v>
      </c>
      <c r="Z196" s="41" t="s">
        <v>75</v>
      </c>
      <c r="AA196" s="41" t="s">
        <v>75</v>
      </c>
      <c r="AB196" s="41" t="s">
        <v>75</v>
      </c>
      <c r="AC196" s="41" t="s">
        <v>75</v>
      </c>
      <c r="AD196" s="41" t="s">
        <v>75</v>
      </c>
      <c r="AE196" s="41" t="s">
        <v>75</v>
      </c>
      <c r="AF196" s="41" t="s">
        <v>75</v>
      </c>
      <c r="AG196" s="41" t="s">
        <v>75</v>
      </c>
      <c r="AH196" s="41" t="s">
        <v>75</v>
      </c>
      <c r="AI196" s="41" t="s">
        <v>75</v>
      </c>
      <c r="AJ196" s="41" t="s">
        <v>75</v>
      </c>
      <c r="AK196" s="41" t="s">
        <v>75</v>
      </c>
      <c r="AL196" s="41" t="s">
        <v>75</v>
      </c>
      <c r="AM196" s="41" t="s">
        <v>75</v>
      </c>
      <c r="AN196" s="41" t="s">
        <v>210</v>
      </c>
      <c r="AO196" s="41" t="s">
        <v>210</v>
      </c>
      <c r="AP196" s="41" t="s">
        <v>210</v>
      </c>
      <c r="AQ196" s="41" t="s">
        <v>210</v>
      </c>
      <c r="AR196" s="41" t="s">
        <v>210</v>
      </c>
      <c r="AS196" s="41" t="s">
        <v>210</v>
      </c>
      <c r="AT196" s="41" t="s">
        <v>210</v>
      </c>
      <c r="AU196" s="42" t="str">
        <f>IF('GNI per capita'!AU196&lt;=Thresholds!$C$44,"L",IF('GNI per capita'!AU196&lt;=Thresholds!$D$44,"LM",IF('GNI per capita'!AU196&lt;=Thresholds!$E$44,"UM","H")))</f>
        <v>LM</v>
      </c>
      <c r="AV196" s="42" t="str">
        <f>IF('GNI per capita'!AV196&lt;=Thresholds!$C$45,"L",IF('GNI per capita'!AV196&lt;=Thresholds!$D$45,"LM",IF('GNI per capita'!AV196&lt;=Thresholds!$E$45,"UM","H")))</f>
        <v>LM</v>
      </c>
      <c r="AW196" s="42" t="str">
        <f>IF('GNI per capita'!AW196&lt;=Thresholds!$C$46,"L",IF('GNI per capita'!AW196&lt;=Thresholds!$D$46,"LM",IF('GNI per capita'!AW196&lt;=Thresholds!$E$46,"UM","H")))</f>
        <v>LM</v>
      </c>
      <c r="AX196" s="42" t="str">
        <f>IF('GNI per capita'!AX196&lt;=Thresholds!$C$47,"L",IF('GNI per capita'!AX196&lt;=Thresholds!$D$47,"LM",IF('GNI per capita'!AX196&lt;=Thresholds!$E$47,"UM","H")))</f>
        <v>LM</v>
      </c>
      <c r="AY196" s="42" t="str">
        <f>IF('GNI per capita'!AY196&lt;=Thresholds!$C$48,"L",IF('GNI per capita'!AY196&lt;=Thresholds!$D$48,"LM",IF('GNI per capita'!AY196&lt;=Thresholds!$E$48,"UM","H")))</f>
        <v>LM</v>
      </c>
      <c r="AZ196" s="42" t="str">
        <f>IF('GNI per capita'!AZ196&lt;=Thresholds!$C$49,"L",IF('GNI per capita'!AZ196&lt;=Thresholds!$D$49,"LM",IF('GNI per capita'!AZ196&lt;=Thresholds!$E$49,"UM","H")))</f>
        <v>LM</v>
      </c>
      <c r="BA196" s="42" t="str">
        <f>IF('GNI per capita'!BA196&lt;=Thresholds!$C$50,"L",IF('GNI per capita'!BA196&lt;=Thresholds!$D$50,"LM",IF('GNI per capita'!BA196&lt;=Thresholds!$E$50,"UM","H")))</f>
        <v>LM</v>
      </c>
      <c r="BB196" s="42" t="str">
        <f>IF('GNI per capita'!BB196&lt;=Thresholds!$C$51,"L",IF('GNI per capita'!BB196&lt;=Thresholds!$D$51,"LM",IF('GNI per capita'!BB196&lt;=Thresholds!$E$51,"UM","H")))</f>
        <v>LM</v>
      </c>
      <c r="BC196" s="42" t="str">
        <f>IF('GNI per capita'!BC196&lt;=Thresholds!$C$52,"L",IF('GNI per capita'!BC196&lt;=Thresholds!$D$52,"LM",IF('GNI per capita'!BC196&lt;=Thresholds!$E$52,"UM","H")))</f>
        <v>LM</v>
      </c>
      <c r="BD196" s="42" t="str">
        <f>IF('GNI per capita'!BD196&lt;=Thresholds!$C$53,"L",IF('GNI per capita'!BD196&lt;=Thresholds!$D$53,"LM",IF('GNI per capita'!BD196&lt;=Thresholds!$E$53,"UM","H")))</f>
        <v>LM</v>
      </c>
      <c r="BE196" s="42" t="str">
        <f>IF('GNI per capita'!BE196&lt;=Thresholds!$C$54,"L",IF('GNI per capita'!BE196&lt;=Thresholds!$D$54,"LM",IF('GNI per capita'!BE196&lt;=Thresholds!$E$54,"UM","H")))</f>
        <v>LM</v>
      </c>
      <c r="BF196" s="42" t="str">
        <f>IF('GNI per capita'!BF196&lt;=Thresholds!$C$55,"L",IF('GNI per capita'!BF196&lt;=Thresholds!$D$55,"LM",IF('GNI per capita'!BF196&lt;=Thresholds!$E$55,"UM","H")))</f>
        <v>LM</v>
      </c>
      <c r="BG196" s="42" t="str">
        <f>IF('GNI per capita'!BG196&lt;=Thresholds!$C$56,"L",IF('GNI per capita'!BG196&lt;=Thresholds!$D$56,"LM",IF('GNI per capita'!BG196&lt;=Thresholds!$E$56,"UM","H")))</f>
        <v>LM</v>
      </c>
      <c r="BH196" s="42" t="str">
        <f>IF('GNI per capita'!BH196&lt;=Thresholds!$C$57,"L",IF('GNI per capita'!BH196&lt;=Thresholds!$D$57,"LM",IF('GNI per capita'!BH196&lt;=Thresholds!$E$57,"UM","H")))</f>
        <v>LM</v>
      </c>
      <c r="BI196" s="42" t="str">
        <f>IF('GNI per capita'!BI196&lt;=Thresholds!$C$58,"L",IF('GNI per capita'!BI196&lt;=Thresholds!$D$58,"LM",IF('GNI per capita'!BI196&lt;=Thresholds!$E$58,"UM","H")))</f>
        <v>LM</v>
      </c>
      <c r="BJ196" s="42" t="str">
        <f>IF('GNI per capita'!BJ196&lt;=Thresholds!$C$59,"L",IF('GNI per capita'!BJ196&lt;=Thresholds!$D$59,"LM",IF('GNI per capita'!BJ196&lt;=Thresholds!$E$59,"UM","H")))</f>
        <v>LM</v>
      </c>
      <c r="BK196" s="42" t="str">
        <f>IF('GNI per capita'!BK196&lt;=Thresholds!$C$60,"L",IF('GNI per capita'!BK196&lt;=Thresholds!$D$60,"LM",IF('GNI per capita'!BK196&lt;=Thresholds!$E$60,"UM","H")))</f>
        <v>LM</v>
      </c>
      <c r="BL196" s="42" t="str">
        <f>IF('GNI per capita'!BL196&lt;=Thresholds!$C$61,"L",IF('GNI per capita'!BL196&lt;=Thresholds!$D$61,"LM",IF('GNI per capita'!BL196&lt;=Thresholds!$E$61,"UM","H")))</f>
        <v>LM</v>
      </c>
      <c r="BM196" s="42" t="str">
        <f>IF('GNI per capita'!BM196&lt;=Thresholds!$C$62,"L",IF('GNI per capita'!BM196&lt;=Thresholds!$D$62,"LM",IF('GNI per capita'!BM196&lt;=Thresholds!$E$62,"UM","H")))</f>
        <v>LM</v>
      </c>
      <c r="BN196" s="42" t="str">
        <f>IF('GNI per capita'!BN196&lt;=Thresholds!$C$63,"L",IF('GNI per capita'!BN196&lt;=Thresholds!$D$63,"LM",IF('GNI per capita'!BN196&lt;=Thresholds!$E$63,"UM","H")))</f>
        <v>LM</v>
      </c>
      <c r="BO196" s="42" t="str">
        <f>IF('GNI per capita'!BO196&lt;=Thresholds!$C$64,"L",IF('GNI per capita'!BO196&lt;=Thresholds!$D$64,"LM",IF('GNI per capita'!BO196&lt;=Thresholds!$E$64,"UM","H")))</f>
        <v>LM</v>
      </c>
      <c r="BP196" s="42" t="str">
        <f>IF('GNI per capita'!BP196&lt;=Thresholds!$C$65,"L",IF('GNI per capita'!BP196&lt;=Thresholds!$D$65,"LM",IF('GNI per capita'!BP196&lt;=Thresholds!$E$65,"UM","H")))</f>
        <v>LM</v>
      </c>
      <c r="BQ196" s="42" t="str">
        <f>IF('GNI per capita'!BQ196&lt;=Thresholds!$C$66,"L",IF('GNI per capita'!BQ196&lt;=Thresholds!$D$66,"LM",IF('GNI per capita'!BQ196&lt;=Thresholds!$E$66,"UM","H")))</f>
        <v>LM</v>
      </c>
      <c r="BR196" s="42" t="str">
        <f>IF('GNI per capita'!BR196&lt;=Thresholds!$C$67,"L",IF('GNI per capita'!BR196&lt;=Thresholds!$D$67,"LM",IF('GNI per capita'!BR196&lt;=Thresholds!$E$67,"UM","H")))</f>
        <v>LM</v>
      </c>
      <c r="BS196" s="42" t="str">
        <f>IF('GNI per capita'!BS196&lt;=Thresholds!$C$68,"L",IF('GNI per capita'!BS196&lt;=Thresholds!$D$68,"LM",IF('GNI per capita'!BS196&lt;=Thresholds!$E$68,"UM","H")))</f>
        <v>LM</v>
      </c>
    </row>
    <row r="197" spans="1:71" x14ac:dyDescent="0.2">
      <c r="A197" s="2" t="s">
        <v>623</v>
      </c>
      <c r="B197" s="2" t="s">
        <v>624</v>
      </c>
      <c r="C197" s="11" t="s">
        <v>82</v>
      </c>
      <c r="G197" s="2" t="s">
        <v>162</v>
      </c>
      <c r="H197" s="41" t="s">
        <v>210</v>
      </c>
      <c r="I197" s="41" t="s">
        <v>210</v>
      </c>
      <c r="J197" s="41" t="s">
        <v>210</v>
      </c>
      <c r="K197" s="41" t="s">
        <v>210</v>
      </c>
      <c r="L197" s="41" t="s">
        <v>210</v>
      </c>
      <c r="M197" s="41" t="s">
        <v>210</v>
      </c>
      <c r="N197" s="41" t="s">
        <v>210</v>
      </c>
      <c r="O197" s="41" t="s">
        <v>210</v>
      </c>
      <c r="P197" s="41" t="s">
        <v>210</v>
      </c>
      <c r="Q197" s="41" t="s">
        <v>210</v>
      </c>
      <c r="R197" s="41" t="s">
        <v>210</v>
      </c>
      <c r="S197" s="41" t="s">
        <v>210</v>
      </c>
      <c r="T197" s="41" t="s">
        <v>210</v>
      </c>
      <c r="U197" s="41" t="s">
        <v>210</v>
      </c>
      <c r="V197" s="41" t="s">
        <v>210</v>
      </c>
      <c r="W197" s="41" t="s">
        <v>210</v>
      </c>
      <c r="X197" s="41" t="s">
        <v>210</v>
      </c>
      <c r="Y197" s="41" t="s">
        <v>210</v>
      </c>
      <c r="Z197" s="41" t="s">
        <v>210</v>
      </c>
      <c r="AA197" s="41" t="s">
        <v>210</v>
      </c>
      <c r="AB197" s="41" t="s">
        <v>210</v>
      </c>
      <c r="AC197" s="41" t="s">
        <v>210</v>
      </c>
      <c r="AD197" s="41" t="s">
        <v>210</v>
      </c>
      <c r="AE197" s="41" t="s">
        <v>82</v>
      </c>
      <c r="AF197" s="41" t="s">
        <v>82</v>
      </c>
      <c r="AG197" s="41" t="s">
        <v>82</v>
      </c>
      <c r="AH197" s="41" t="s">
        <v>82</v>
      </c>
      <c r="AI197" s="41" t="s">
        <v>82</v>
      </c>
      <c r="AJ197" s="41" t="s">
        <v>82</v>
      </c>
      <c r="AK197" s="41" t="s">
        <v>82</v>
      </c>
      <c r="AL197" s="41" t="s">
        <v>82</v>
      </c>
      <c r="AM197" s="41" t="s">
        <v>82</v>
      </c>
      <c r="AN197" s="41" t="s">
        <v>82</v>
      </c>
      <c r="AO197" s="41" t="s">
        <v>82</v>
      </c>
      <c r="AP197" s="41" t="s">
        <v>82</v>
      </c>
      <c r="AQ197" s="41" t="s">
        <v>82</v>
      </c>
      <c r="AR197" s="41" t="s">
        <v>82</v>
      </c>
      <c r="AS197" s="41" t="s">
        <v>82</v>
      </c>
      <c r="AT197" s="41" t="s">
        <v>82</v>
      </c>
      <c r="AU197" s="42" t="str">
        <f>IF('GNI per capita'!AU197&lt;=Thresholds!$C$44,"L",IF('GNI per capita'!AU197&lt;=Thresholds!$D$44,"LM",IF('GNI per capita'!AU197&lt;=Thresholds!$E$44,"UM","H")))</f>
        <v>UM</v>
      </c>
      <c r="AV197" s="42" t="str">
        <f>IF('GNI per capita'!AV197&lt;=Thresholds!$C$45,"L",IF('GNI per capita'!AV197&lt;=Thresholds!$D$45,"LM",IF('GNI per capita'!AV197&lt;=Thresholds!$E$45,"UM","H")))</f>
        <v>UM</v>
      </c>
      <c r="AW197" s="42" t="str">
        <f>IF('GNI per capita'!AW197&lt;=Thresholds!$C$46,"L",IF('GNI per capita'!AW197&lt;=Thresholds!$D$46,"LM",IF('GNI per capita'!AW197&lt;=Thresholds!$E$46,"UM","H")))</f>
        <v>UM</v>
      </c>
      <c r="AX197" s="42" t="str">
        <f>IF('GNI per capita'!AX197&lt;=Thresholds!$C$47,"L",IF('GNI per capita'!AX197&lt;=Thresholds!$D$47,"LM",IF('GNI per capita'!AX197&lt;=Thresholds!$E$47,"UM","H")))</f>
        <v>UM</v>
      </c>
      <c r="AY197" s="42" t="str">
        <f>IF('GNI per capita'!AY197&lt;=Thresholds!$C$48,"L",IF('GNI per capita'!AY197&lt;=Thresholds!$D$48,"LM",IF('GNI per capita'!AY197&lt;=Thresholds!$E$48,"UM","H")))</f>
        <v>UM</v>
      </c>
      <c r="AZ197" s="42" t="str">
        <f>IF('GNI per capita'!AZ197&lt;=Thresholds!$C$49,"L",IF('GNI per capita'!AZ197&lt;=Thresholds!$D$49,"LM",IF('GNI per capita'!AZ197&lt;=Thresholds!$E$49,"UM","H")))</f>
        <v>UM</v>
      </c>
      <c r="BA197" s="42" t="str">
        <f>IF('GNI per capita'!BA197&lt;=Thresholds!$C$50,"L",IF('GNI per capita'!BA197&lt;=Thresholds!$D$50,"LM",IF('GNI per capita'!BA197&lt;=Thresholds!$E$50,"UM","H")))</f>
        <v>UM</v>
      </c>
      <c r="BB197" s="42" t="str">
        <f>IF('GNI per capita'!BB197&lt;=Thresholds!$C$51,"L",IF('GNI per capita'!BB197&lt;=Thresholds!$D$51,"LM",IF('GNI per capita'!BB197&lt;=Thresholds!$E$51,"UM","H")))</f>
        <v>UM</v>
      </c>
      <c r="BC197" s="42" t="str">
        <f>IF('GNI per capita'!BC197&lt;=Thresholds!$C$52,"L",IF('GNI per capita'!BC197&lt;=Thresholds!$D$52,"LM",IF('GNI per capita'!BC197&lt;=Thresholds!$E$52,"UM","H")))</f>
        <v>UM</v>
      </c>
      <c r="BD197" s="42" t="str">
        <f>IF('GNI per capita'!BD197&lt;=Thresholds!$C$53,"L",IF('GNI per capita'!BD197&lt;=Thresholds!$D$53,"LM",IF('GNI per capita'!BD197&lt;=Thresholds!$E$53,"UM","H")))</f>
        <v>UM</v>
      </c>
      <c r="BE197" s="42" t="str">
        <f>IF('GNI per capita'!BE197&lt;=Thresholds!$C$54,"L",IF('GNI per capita'!BE197&lt;=Thresholds!$D$54,"LM",IF('GNI per capita'!BE197&lt;=Thresholds!$E$54,"UM","H")))</f>
        <v>UM</v>
      </c>
      <c r="BF197" s="42" t="str">
        <f>IF('GNI per capita'!BF197&lt;=Thresholds!$C$55,"L",IF('GNI per capita'!BF197&lt;=Thresholds!$D$55,"LM",IF('GNI per capita'!BF197&lt;=Thresholds!$E$55,"UM","H")))</f>
        <v>UM</v>
      </c>
      <c r="BG197" s="42" t="str">
        <f>IF('GNI per capita'!BG197&lt;=Thresholds!$C$56,"L",IF('GNI per capita'!BG197&lt;=Thresholds!$D$56,"LM",IF('GNI per capita'!BG197&lt;=Thresholds!$E$56,"UM","H")))</f>
        <v>UM</v>
      </c>
      <c r="BH197" s="42" t="str">
        <f>IF('GNI per capita'!BH197&lt;=Thresholds!$C$57,"L",IF('GNI per capita'!BH197&lt;=Thresholds!$D$57,"LM",IF('GNI per capita'!BH197&lt;=Thresholds!$E$57,"UM","H")))</f>
        <v>UM</v>
      </c>
      <c r="BI197" s="42" t="str">
        <f>IF('GNI per capita'!BI197&lt;=Thresholds!$C$58,"L",IF('GNI per capita'!BI197&lt;=Thresholds!$D$58,"LM",IF('GNI per capita'!BI197&lt;=Thresholds!$E$58,"UM","H")))</f>
        <v>UM</v>
      </c>
      <c r="BJ197" s="42" t="str">
        <f>IF('GNI per capita'!BJ197&lt;=Thresholds!$C$59,"L",IF('GNI per capita'!BJ197&lt;=Thresholds!$D$59,"LM",IF('GNI per capita'!BJ197&lt;=Thresholds!$E$59,"UM","H")))</f>
        <v>UM</v>
      </c>
      <c r="BK197" s="42" t="str">
        <f>IF('GNI per capita'!BK197&lt;=Thresholds!$C$60,"L",IF('GNI per capita'!BK197&lt;=Thresholds!$D$60,"LM",IF('GNI per capita'!BK197&lt;=Thresholds!$E$60,"UM","H")))</f>
        <v>UM</v>
      </c>
      <c r="BL197" s="42" t="str">
        <f>IF('GNI per capita'!BL197&lt;=Thresholds!$C$61,"L",IF('GNI per capita'!BL197&lt;=Thresholds!$D$61,"LM",IF('GNI per capita'!BL197&lt;=Thresholds!$E$61,"UM","H")))</f>
        <v>UM</v>
      </c>
      <c r="BM197" s="42" t="str">
        <f>IF('GNI per capita'!BM197&lt;=Thresholds!$C$62,"L",IF('GNI per capita'!BM197&lt;=Thresholds!$D$62,"LM",IF('GNI per capita'!BM197&lt;=Thresholds!$E$62,"UM","H")))</f>
        <v>UM</v>
      </c>
      <c r="BN197" s="42" t="str">
        <f>IF('GNI per capita'!BN197&lt;=Thresholds!$C$63,"L",IF('GNI per capita'!BN197&lt;=Thresholds!$D$63,"LM",IF('GNI per capita'!BN197&lt;=Thresholds!$E$63,"UM","H")))</f>
        <v>UM</v>
      </c>
      <c r="BO197" s="42" t="str">
        <f>IF('GNI per capita'!BO197&lt;=Thresholds!$C$64,"L",IF('GNI per capita'!BO197&lt;=Thresholds!$D$64,"LM",IF('GNI per capita'!BO197&lt;=Thresholds!$E$64,"UM","H")))</f>
        <v>UM</v>
      </c>
      <c r="BP197" s="42" t="str">
        <f>IF('GNI per capita'!BP197&lt;=Thresholds!$C$65,"L",IF('GNI per capita'!BP197&lt;=Thresholds!$D$65,"LM",IF('GNI per capita'!BP197&lt;=Thresholds!$E$65,"UM","H")))</f>
        <v>UM</v>
      </c>
      <c r="BQ197" s="42" t="str">
        <f>IF('GNI per capita'!BQ197&lt;=Thresholds!$C$66,"L",IF('GNI per capita'!BQ197&lt;=Thresholds!$D$66,"LM",IF('GNI per capita'!BQ197&lt;=Thresholds!$E$66,"UM","H")))</f>
        <v>UM</v>
      </c>
      <c r="BR197" s="42" t="str">
        <f>IF('GNI per capita'!BR197&lt;=Thresholds!$C$67,"L",IF('GNI per capita'!BR197&lt;=Thresholds!$D$67,"LM",IF('GNI per capita'!BR197&lt;=Thresholds!$E$67,"UM","H")))</f>
        <v>UM</v>
      </c>
      <c r="BS197" s="42" t="str">
        <f>IF('GNI per capita'!BS197&lt;=Thresholds!$C$68,"L",IF('GNI per capita'!BS197&lt;=Thresholds!$D$68,"LM",IF('GNI per capita'!BS197&lt;=Thresholds!$E$68,"UM","H")))</f>
        <v>UM</v>
      </c>
    </row>
    <row r="198" spans="1:71" x14ac:dyDescent="0.2">
      <c r="A198" s="2" t="s">
        <v>625</v>
      </c>
      <c r="B198" s="2" t="s">
        <v>626</v>
      </c>
      <c r="C198" s="11" t="s">
        <v>210</v>
      </c>
      <c r="G198" s="2" t="s">
        <v>627</v>
      </c>
      <c r="H198" s="41"/>
      <c r="I198" s="41"/>
      <c r="J198" s="41"/>
      <c r="K198" s="41"/>
      <c r="L198" s="41"/>
      <c r="M198" s="41"/>
      <c r="N198" s="41"/>
      <c r="O198" s="41"/>
      <c r="P198" s="41"/>
      <c r="Q198" s="41"/>
      <c r="R198" s="41"/>
      <c r="S198" s="41"/>
      <c r="T198" s="41"/>
      <c r="U198" s="41"/>
      <c r="V198" s="41" t="s">
        <v>75</v>
      </c>
      <c r="W198" s="41" t="s">
        <v>75</v>
      </c>
      <c r="X198" s="41" t="s">
        <v>75</v>
      </c>
      <c r="Y198" s="41" t="s">
        <v>75</v>
      </c>
      <c r="Z198" s="41" t="s">
        <v>75</v>
      </c>
      <c r="AA198" s="41" t="s">
        <v>75</v>
      </c>
      <c r="AB198" s="41" t="s">
        <v>210</v>
      </c>
      <c r="AC198" s="41" t="s">
        <v>210</v>
      </c>
      <c r="AD198" s="41" t="s">
        <v>210</v>
      </c>
      <c r="AE198" s="41" t="s">
        <v>210</v>
      </c>
      <c r="AF198" s="41" t="s">
        <v>210</v>
      </c>
      <c r="AG198" s="41" t="s">
        <v>210</v>
      </c>
      <c r="AH198" s="41" t="s">
        <v>210</v>
      </c>
      <c r="AI198" s="41" t="s">
        <v>210</v>
      </c>
      <c r="AJ198" s="41" t="s">
        <v>210</v>
      </c>
      <c r="AK198" s="41" t="s">
        <v>210</v>
      </c>
      <c r="AL198" s="41" t="s">
        <v>210</v>
      </c>
      <c r="AM198" s="41" t="s">
        <v>210</v>
      </c>
      <c r="AN198" s="41" t="s">
        <v>210</v>
      </c>
      <c r="AO198" s="41" t="s">
        <v>210</v>
      </c>
      <c r="AP198" s="41" t="s">
        <v>210</v>
      </c>
      <c r="AQ198" s="41" t="s">
        <v>210</v>
      </c>
      <c r="AR198" s="41" t="s">
        <v>210</v>
      </c>
      <c r="AS198" s="41" t="s">
        <v>210</v>
      </c>
      <c r="AT198" s="41" t="s">
        <v>210</v>
      </c>
      <c r="AU198" s="42" t="str">
        <f>IF('GNI per capita'!AU198&lt;=Thresholds!$C$44,"L",IF('GNI per capita'!AU198&lt;=Thresholds!$D$44,"LM",IF('GNI per capita'!AU198&lt;=Thresholds!$E$44,"UM","H")))</f>
        <v>LM</v>
      </c>
      <c r="AV198" s="42" t="str">
        <f>IF('GNI per capita'!AV198&lt;=Thresholds!$C$45,"L",IF('GNI per capita'!AV198&lt;=Thresholds!$D$45,"LM",IF('GNI per capita'!AV198&lt;=Thresholds!$E$45,"UM","H")))</f>
        <v>LM</v>
      </c>
      <c r="AW198" s="42" t="str">
        <f>IF('GNI per capita'!AW198&lt;=Thresholds!$C$46,"L",IF('GNI per capita'!AW198&lt;=Thresholds!$D$46,"LM",IF('GNI per capita'!AW198&lt;=Thresholds!$E$46,"UM","H")))</f>
        <v>LM</v>
      </c>
      <c r="AX198" s="42" t="str">
        <f>IF('GNI per capita'!AX198&lt;=Thresholds!$C$47,"L",IF('GNI per capita'!AX198&lt;=Thresholds!$D$47,"LM",IF('GNI per capita'!AX198&lt;=Thresholds!$E$47,"UM","H")))</f>
        <v>LM</v>
      </c>
      <c r="AY198" s="42" t="str">
        <f>IF('GNI per capita'!AY198&lt;=Thresholds!$C$48,"L",IF('GNI per capita'!AY198&lt;=Thresholds!$D$48,"LM",IF('GNI per capita'!AY198&lt;=Thresholds!$E$48,"UM","H")))</f>
        <v>LM</v>
      </c>
      <c r="AZ198" s="42" t="str">
        <f>IF('GNI per capita'!AZ198&lt;=Thresholds!$C$49,"L",IF('GNI per capita'!AZ198&lt;=Thresholds!$D$49,"LM",IF('GNI per capita'!AZ198&lt;=Thresholds!$E$49,"UM","H")))</f>
        <v>LM</v>
      </c>
      <c r="BA198" s="42" t="str">
        <f>IF('GNI per capita'!BA198&lt;=Thresholds!$C$50,"L",IF('GNI per capita'!BA198&lt;=Thresholds!$D$50,"LM",IF('GNI per capita'!BA198&lt;=Thresholds!$E$50,"UM","H")))</f>
        <v>LM</v>
      </c>
      <c r="BB198" s="42" t="str">
        <f>IF('GNI per capita'!BB198&lt;=Thresholds!$C$51,"L",IF('GNI per capita'!BB198&lt;=Thresholds!$D$51,"LM",IF('GNI per capita'!BB198&lt;=Thresholds!$E$51,"UM","H")))</f>
        <v>LM</v>
      </c>
      <c r="BC198" s="42" t="str">
        <f>IF('GNI per capita'!BC198&lt;=Thresholds!$C$52,"L",IF('GNI per capita'!BC198&lt;=Thresholds!$D$52,"LM",IF('GNI per capita'!BC198&lt;=Thresholds!$E$52,"UM","H")))</f>
        <v>LM</v>
      </c>
      <c r="BD198" s="42" t="str">
        <f>IF('GNI per capita'!BD198&lt;=Thresholds!$C$53,"L",IF('GNI per capita'!BD198&lt;=Thresholds!$D$53,"LM",IF('GNI per capita'!BD198&lt;=Thresholds!$E$53,"UM","H")))</f>
        <v>LM</v>
      </c>
      <c r="BE198" s="42" t="str">
        <f>IF('GNI per capita'!BE198&lt;=Thresholds!$C$54,"L",IF('GNI per capita'!BE198&lt;=Thresholds!$D$54,"LM",IF('GNI per capita'!BE198&lt;=Thresholds!$E$54,"UM","H")))</f>
        <v>LM</v>
      </c>
      <c r="BF198" s="42" t="str">
        <f>IF('GNI per capita'!BF198&lt;=Thresholds!$C$55,"L",IF('GNI per capita'!BF198&lt;=Thresholds!$D$55,"LM",IF('GNI per capita'!BF198&lt;=Thresholds!$E$55,"UM","H")))</f>
        <v>LM</v>
      </c>
      <c r="BG198" s="42" t="str">
        <f>IF('GNI per capita'!BG198&lt;=Thresholds!$C$56,"L",IF('GNI per capita'!BG198&lt;=Thresholds!$D$56,"LM",IF('GNI per capita'!BG198&lt;=Thresholds!$E$56,"UM","H")))</f>
        <v>LM</v>
      </c>
      <c r="BH198" s="42" t="str">
        <f>IF('GNI per capita'!BH198&lt;=Thresholds!$C$57,"L",IF('GNI per capita'!BH198&lt;=Thresholds!$D$57,"LM",IF('GNI per capita'!BH198&lt;=Thresholds!$E$57,"UM","H")))</f>
        <v>LM</v>
      </c>
      <c r="BI198" s="42" t="str">
        <f>IF('GNI per capita'!BI198&lt;=Thresholds!$C$58,"L",IF('GNI per capita'!BI198&lt;=Thresholds!$D$58,"LM",IF('GNI per capita'!BI198&lt;=Thresholds!$E$58,"UM","H")))</f>
        <v>LM</v>
      </c>
      <c r="BJ198" s="42" t="str">
        <f>IF('GNI per capita'!BJ198&lt;=Thresholds!$C$59,"L",IF('GNI per capita'!BJ198&lt;=Thresholds!$D$59,"LM",IF('GNI per capita'!BJ198&lt;=Thresholds!$E$59,"UM","H")))</f>
        <v>LM</v>
      </c>
      <c r="BK198" s="42" t="str">
        <f>IF('GNI per capita'!BK198&lt;=Thresholds!$C$60,"L",IF('GNI per capita'!BK198&lt;=Thresholds!$D$60,"LM",IF('GNI per capita'!BK198&lt;=Thresholds!$E$60,"UM","H")))</f>
        <v>LM</v>
      </c>
      <c r="BL198" s="42" t="str">
        <f>IF('GNI per capita'!BL198&lt;=Thresholds!$C$61,"L",IF('GNI per capita'!BL198&lt;=Thresholds!$D$61,"LM",IF('GNI per capita'!BL198&lt;=Thresholds!$E$61,"UM","H")))</f>
        <v>LM</v>
      </c>
      <c r="BM198" s="42" t="str">
        <f>IF('GNI per capita'!BM198&lt;=Thresholds!$C$62,"L",IF('GNI per capita'!BM198&lt;=Thresholds!$D$62,"LM",IF('GNI per capita'!BM198&lt;=Thresholds!$E$62,"UM","H")))</f>
        <v>LM</v>
      </c>
      <c r="BN198" s="42" t="str">
        <f>IF('GNI per capita'!BN198&lt;=Thresholds!$C$63,"L",IF('GNI per capita'!BN198&lt;=Thresholds!$D$63,"LM",IF('GNI per capita'!BN198&lt;=Thresholds!$E$63,"UM","H")))</f>
        <v>LM</v>
      </c>
      <c r="BO198" s="42" t="str">
        <f>IF('GNI per capita'!BO198&lt;=Thresholds!$C$64,"L",IF('GNI per capita'!BO198&lt;=Thresholds!$D$64,"LM",IF('GNI per capita'!BO198&lt;=Thresholds!$E$64,"UM","H")))</f>
        <v>LM</v>
      </c>
      <c r="BP198" s="42" t="str">
        <f>IF('GNI per capita'!BP198&lt;=Thresholds!$C$65,"L",IF('GNI per capita'!BP198&lt;=Thresholds!$D$65,"LM",IF('GNI per capita'!BP198&lt;=Thresholds!$E$65,"UM","H")))</f>
        <v>LM</v>
      </c>
      <c r="BQ198" s="42" t="str">
        <f>IF('GNI per capita'!BQ198&lt;=Thresholds!$C$66,"L",IF('GNI per capita'!BQ198&lt;=Thresholds!$D$66,"LM",IF('GNI per capita'!BQ198&lt;=Thresholds!$E$66,"UM","H")))</f>
        <v>LM</v>
      </c>
      <c r="BR198" s="42" t="str">
        <f>IF('GNI per capita'!BR198&lt;=Thresholds!$C$67,"L",IF('GNI per capita'!BR198&lt;=Thresholds!$D$67,"LM",IF('GNI per capita'!BR198&lt;=Thresholds!$E$67,"UM","H")))</f>
        <v>LM</v>
      </c>
      <c r="BS198" s="42" t="str">
        <f>IF('GNI per capita'!BS198&lt;=Thresholds!$C$68,"L",IF('GNI per capita'!BS198&lt;=Thresholds!$D$68,"LM",IF('GNI per capita'!BS198&lt;=Thresholds!$E$68,"UM","H")))</f>
        <v>LM</v>
      </c>
    </row>
    <row r="199" spans="1:71" x14ac:dyDescent="0.2">
      <c r="A199" s="2" t="s">
        <v>628</v>
      </c>
      <c r="B199" s="2" t="s">
        <v>629</v>
      </c>
      <c r="C199" s="11" t="s">
        <v>210</v>
      </c>
      <c r="G199" s="2" t="s">
        <v>162</v>
      </c>
      <c r="H199" s="41" t="s">
        <v>75</v>
      </c>
      <c r="I199" s="41" t="s">
        <v>75</v>
      </c>
      <c r="J199" s="41" t="s">
        <v>75</v>
      </c>
      <c r="K199" s="41" t="s">
        <v>75</v>
      </c>
      <c r="L199" s="41" t="s">
        <v>75</v>
      </c>
      <c r="M199" s="41" t="s">
        <v>75</v>
      </c>
      <c r="N199" s="41" t="s">
        <v>75</v>
      </c>
      <c r="O199" s="41" t="s">
        <v>75</v>
      </c>
      <c r="P199" s="41" t="s">
        <v>75</v>
      </c>
      <c r="Q199" s="41" t="s">
        <v>75</v>
      </c>
      <c r="R199" s="41" t="s">
        <v>75</v>
      </c>
      <c r="S199" s="41" t="s">
        <v>75</v>
      </c>
      <c r="T199" s="41" t="s">
        <v>75</v>
      </c>
      <c r="U199" s="41" t="s">
        <v>75</v>
      </c>
      <c r="V199" s="41" t="s">
        <v>75</v>
      </c>
      <c r="W199" s="41" t="s">
        <v>75</v>
      </c>
      <c r="X199" s="41" t="s">
        <v>75</v>
      </c>
      <c r="Y199" s="41" t="s">
        <v>75</v>
      </c>
      <c r="Z199" s="41" t="s">
        <v>75</v>
      </c>
      <c r="AA199" s="41" t="s">
        <v>75</v>
      </c>
      <c r="AB199" s="41" t="s">
        <v>75</v>
      </c>
      <c r="AC199" s="41" t="s">
        <v>75</v>
      </c>
      <c r="AD199" s="41" t="s">
        <v>75</v>
      </c>
      <c r="AE199" s="41" t="s">
        <v>75</v>
      </c>
      <c r="AF199" s="41" t="s">
        <v>75</v>
      </c>
      <c r="AG199" s="41" t="s">
        <v>75</v>
      </c>
      <c r="AH199" s="41" t="s">
        <v>75</v>
      </c>
      <c r="AI199" s="41" t="s">
        <v>75</v>
      </c>
      <c r="AJ199" s="41" t="s">
        <v>75</v>
      </c>
      <c r="AK199" s="41" t="s">
        <v>75</v>
      </c>
      <c r="AL199" s="41" t="s">
        <v>75</v>
      </c>
      <c r="AM199" s="41" t="s">
        <v>75</v>
      </c>
      <c r="AN199" s="41" t="s">
        <v>75</v>
      </c>
      <c r="AO199" s="41" t="s">
        <v>75</v>
      </c>
      <c r="AP199" s="41" t="s">
        <v>75</v>
      </c>
      <c r="AQ199" s="41" t="s">
        <v>75</v>
      </c>
      <c r="AR199" s="41" t="s">
        <v>75</v>
      </c>
      <c r="AS199" s="41" t="s">
        <v>75</v>
      </c>
      <c r="AT199" s="41" t="s">
        <v>210</v>
      </c>
      <c r="AU199" s="42" t="str">
        <f>IF('GNI per capita'!AU199&lt;=Thresholds!$C$44,"L",IF('GNI per capita'!AU199&lt;=Thresholds!$D$44,"LM",IF('GNI per capita'!AU199&lt;=Thresholds!$E$44,"UM","H")))</f>
        <v>LM</v>
      </c>
      <c r="AV199" s="42" t="str">
        <f>IF('GNI per capita'!AV199&lt;=Thresholds!$C$45,"L",IF('GNI per capita'!AV199&lt;=Thresholds!$D$45,"LM",IF('GNI per capita'!AV199&lt;=Thresholds!$E$45,"UM","H")))</f>
        <v>LM</v>
      </c>
      <c r="AW199" s="42" t="str">
        <f>IF('GNI per capita'!AW199&lt;=Thresholds!$C$46,"L",IF('GNI per capita'!AW199&lt;=Thresholds!$D$46,"LM",IF('GNI per capita'!AW199&lt;=Thresholds!$E$46,"UM","H")))</f>
        <v>LM</v>
      </c>
      <c r="AX199" s="42" t="str">
        <f>IF('GNI per capita'!AX199&lt;=Thresholds!$C$47,"L",IF('GNI per capita'!AX199&lt;=Thresholds!$D$47,"LM",IF('GNI per capita'!AX199&lt;=Thresholds!$E$47,"UM","H")))</f>
        <v>LM</v>
      </c>
      <c r="AY199" s="42" t="str">
        <f>IF('GNI per capita'!AY199&lt;=Thresholds!$C$48,"L",IF('GNI per capita'!AY199&lt;=Thresholds!$D$48,"LM",IF('GNI per capita'!AY199&lt;=Thresholds!$E$48,"UM","H")))</f>
        <v>LM</v>
      </c>
      <c r="AZ199" s="42" t="str">
        <f>IF('GNI per capita'!AZ199&lt;=Thresholds!$C$49,"L",IF('GNI per capita'!AZ199&lt;=Thresholds!$D$49,"LM",IF('GNI per capita'!AZ199&lt;=Thresholds!$E$49,"UM","H")))</f>
        <v>LM</v>
      </c>
      <c r="BA199" s="42" t="str">
        <f>IF('GNI per capita'!BA199&lt;=Thresholds!$C$50,"L",IF('GNI per capita'!BA199&lt;=Thresholds!$D$50,"LM",IF('GNI per capita'!BA199&lt;=Thresholds!$E$50,"UM","H")))</f>
        <v>LM</v>
      </c>
      <c r="BB199" s="42" t="str">
        <f>IF('GNI per capita'!BB199&lt;=Thresholds!$C$51,"L",IF('GNI per capita'!BB199&lt;=Thresholds!$D$51,"LM",IF('GNI per capita'!BB199&lt;=Thresholds!$E$51,"UM","H")))</f>
        <v>LM</v>
      </c>
      <c r="BC199" s="42" t="str">
        <f>IF('GNI per capita'!BC199&lt;=Thresholds!$C$52,"L",IF('GNI per capita'!BC199&lt;=Thresholds!$D$52,"LM",IF('GNI per capita'!BC199&lt;=Thresholds!$E$52,"UM","H")))</f>
        <v>LM</v>
      </c>
      <c r="BD199" s="42" t="str">
        <f>IF('GNI per capita'!BD199&lt;=Thresholds!$C$53,"L",IF('GNI per capita'!BD199&lt;=Thresholds!$D$53,"LM",IF('GNI per capita'!BD199&lt;=Thresholds!$E$53,"UM","H")))</f>
        <v>LM</v>
      </c>
      <c r="BE199" s="42" t="str">
        <f>IF('GNI per capita'!BE199&lt;=Thresholds!$C$54,"L",IF('GNI per capita'!BE199&lt;=Thresholds!$D$54,"LM",IF('GNI per capita'!BE199&lt;=Thresholds!$E$54,"UM","H")))</f>
        <v>LM</v>
      </c>
      <c r="BF199" s="42" t="str">
        <f>IF('GNI per capita'!BF199&lt;=Thresholds!$C$55,"L",IF('GNI per capita'!BF199&lt;=Thresholds!$D$55,"LM",IF('GNI per capita'!BF199&lt;=Thresholds!$E$55,"UM","H")))</f>
        <v>LM</v>
      </c>
      <c r="BG199" s="42" t="str">
        <f>IF('GNI per capita'!BG199&lt;=Thresholds!$C$56,"L",IF('GNI per capita'!BG199&lt;=Thresholds!$D$56,"LM",IF('GNI per capita'!BG199&lt;=Thresholds!$E$56,"UM","H")))</f>
        <v>LM</v>
      </c>
      <c r="BH199" s="42" t="str">
        <f>IF('GNI per capita'!BH199&lt;=Thresholds!$C$57,"L",IF('GNI per capita'!BH199&lt;=Thresholds!$D$57,"LM",IF('GNI per capita'!BH199&lt;=Thresholds!$E$57,"UM","H")))</f>
        <v>LM</v>
      </c>
      <c r="BI199" s="42" t="str">
        <f>IF('GNI per capita'!BI199&lt;=Thresholds!$C$58,"L",IF('GNI per capita'!BI199&lt;=Thresholds!$D$58,"LM",IF('GNI per capita'!BI199&lt;=Thresholds!$E$58,"UM","H")))</f>
        <v>LM</v>
      </c>
      <c r="BJ199" s="42" t="str">
        <f>IF('GNI per capita'!BJ199&lt;=Thresholds!$C$59,"L",IF('GNI per capita'!BJ199&lt;=Thresholds!$D$59,"LM",IF('GNI per capita'!BJ199&lt;=Thresholds!$E$59,"UM","H")))</f>
        <v>LM</v>
      </c>
      <c r="BK199" s="42" t="str">
        <f>IF('GNI per capita'!BK199&lt;=Thresholds!$C$60,"L",IF('GNI per capita'!BK199&lt;=Thresholds!$D$60,"LM",IF('GNI per capita'!BK199&lt;=Thresholds!$E$60,"UM","H")))</f>
        <v>LM</v>
      </c>
      <c r="BL199" s="42" t="str">
        <f>IF('GNI per capita'!BL199&lt;=Thresholds!$C$61,"L",IF('GNI per capita'!BL199&lt;=Thresholds!$D$61,"LM",IF('GNI per capita'!BL199&lt;=Thresholds!$E$61,"UM","H")))</f>
        <v>LM</v>
      </c>
      <c r="BM199" s="42" t="str">
        <f>IF('GNI per capita'!BM199&lt;=Thresholds!$C$62,"L",IF('GNI per capita'!BM199&lt;=Thresholds!$D$62,"LM",IF('GNI per capita'!BM199&lt;=Thresholds!$E$62,"UM","H")))</f>
        <v>LM</v>
      </c>
      <c r="BN199" s="42" t="str">
        <f>IF('GNI per capita'!BN199&lt;=Thresholds!$C$63,"L",IF('GNI per capita'!BN199&lt;=Thresholds!$D$63,"LM",IF('GNI per capita'!BN199&lt;=Thresholds!$E$63,"UM","H")))</f>
        <v>LM</v>
      </c>
      <c r="BO199" s="42" t="str">
        <f>IF('GNI per capita'!BO199&lt;=Thresholds!$C$64,"L",IF('GNI per capita'!BO199&lt;=Thresholds!$D$64,"LM",IF('GNI per capita'!BO199&lt;=Thresholds!$E$64,"UM","H")))</f>
        <v>LM</v>
      </c>
      <c r="BP199" s="42" t="str">
        <f>IF('GNI per capita'!BP199&lt;=Thresholds!$C$65,"L",IF('GNI per capita'!BP199&lt;=Thresholds!$D$65,"LM",IF('GNI per capita'!BP199&lt;=Thresholds!$E$65,"UM","H")))</f>
        <v>LM</v>
      </c>
      <c r="BQ199" s="42" t="str">
        <f>IF('GNI per capita'!BQ199&lt;=Thresholds!$C$66,"L",IF('GNI per capita'!BQ199&lt;=Thresholds!$D$66,"LM",IF('GNI per capita'!BQ199&lt;=Thresholds!$E$66,"UM","H")))</f>
        <v>LM</v>
      </c>
      <c r="BR199" s="42" t="str">
        <f>IF('GNI per capita'!BR199&lt;=Thresholds!$C$67,"L",IF('GNI per capita'!BR199&lt;=Thresholds!$D$67,"LM",IF('GNI per capita'!BR199&lt;=Thresholds!$E$67,"UM","H")))</f>
        <v>LM</v>
      </c>
      <c r="BS199" s="42" t="str">
        <f>IF('GNI per capita'!BS199&lt;=Thresholds!$C$68,"L",IF('GNI per capita'!BS199&lt;=Thresholds!$D$68,"LM",IF('GNI per capita'!BS199&lt;=Thresholds!$E$68,"UM","H")))</f>
        <v>LM</v>
      </c>
    </row>
    <row r="200" spans="1:71" x14ac:dyDescent="0.2">
      <c r="A200" s="2" t="s">
        <v>630</v>
      </c>
      <c r="B200" s="2" t="s">
        <v>631</v>
      </c>
      <c r="C200" s="11" t="s">
        <v>82</v>
      </c>
      <c r="G200" s="2" t="s">
        <v>162</v>
      </c>
      <c r="H200" s="41" t="s">
        <v>210</v>
      </c>
      <c r="I200" s="41" t="s">
        <v>210</v>
      </c>
      <c r="J200" s="41" t="s">
        <v>210</v>
      </c>
      <c r="K200" s="41" t="s">
        <v>210</v>
      </c>
      <c r="L200" s="41" t="s">
        <v>210</v>
      </c>
      <c r="M200" s="41" t="s">
        <v>210</v>
      </c>
      <c r="N200" s="41" t="s">
        <v>210</v>
      </c>
      <c r="O200" s="41" t="s">
        <v>210</v>
      </c>
      <c r="P200" s="41" t="s">
        <v>210</v>
      </c>
      <c r="Q200" s="41" t="s">
        <v>210</v>
      </c>
      <c r="R200" s="41" t="s">
        <v>210</v>
      </c>
      <c r="S200" s="41" t="s">
        <v>210</v>
      </c>
      <c r="T200" s="41" t="s">
        <v>210</v>
      </c>
      <c r="U200" s="41" t="s">
        <v>210</v>
      </c>
      <c r="V200" s="41" t="s">
        <v>210</v>
      </c>
      <c r="W200" s="41" t="s">
        <v>210</v>
      </c>
      <c r="X200" s="41" t="s">
        <v>210</v>
      </c>
      <c r="Y200" s="41" t="s">
        <v>210</v>
      </c>
      <c r="Z200" s="41" t="s">
        <v>210</v>
      </c>
      <c r="AA200" s="41" t="s">
        <v>210</v>
      </c>
      <c r="AB200" s="41" t="s">
        <v>210</v>
      </c>
      <c r="AC200" s="41" t="s">
        <v>210</v>
      </c>
      <c r="AD200" s="41" t="s">
        <v>210</v>
      </c>
      <c r="AE200" s="41" t="s">
        <v>210</v>
      </c>
      <c r="AF200" s="41" t="s">
        <v>210</v>
      </c>
      <c r="AG200" s="41" t="s">
        <v>82</v>
      </c>
      <c r="AH200" s="41" t="s">
        <v>82</v>
      </c>
      <c r="AI200" s="41" t="s">
        <v>82</v>
      </c>
      <c r="AJ200" s="41" t="s">
        <v>210</v>
      </c>
      <c r="AK200" s="41" t="s">
        <v>82</v>
      </c>
      <c r="AL200" s="41" t="s">
        <v>82</v>
      </c>
      <c r="AM200" s="41" t="s">
        <v>82</v>
      </c>
      <c r="AN200" s="41" t="s">
        <v>82</v>
      </c>
      <c r="AO200" s="41" t="s">
        <v>82</v>
      </c>
      <c r="AP200" s="41" t="s">
        <v>82</v>
      </c>
      <c r="AQ200" s="41" t="s">
        <v>82</v>
      </c>
      <c r="AR200" s="41" t="s">
        <v>82</v>
      </c>
      <c r="AS200" s="41" t="s">
        <v>82</v>
      </c>
      <c r="AT200" s="41" t="s">
        <v>82</v>
      </c>
      <c r="AU200" s="42" t="str">
        <f>IF('GNI per capita'!AU200&lt;=Thresholds!$C$44,"L",IF('GNI per capita'!AU200&lt;=Thresholds!$D$44,"LM",IF('GNI per capita'!AU200&lt;=Thresholds!$E$44,"UM","H")))</f>
        <v>UM</v>
      </c>
      <c r="AV200" s="42" t="str">
        <f>IF('GNI per capita'!AV200&lt;=Thresholds!$C$45,"L",IF('GNI per capita'!AV200&lt;=Thresholds!$D$45,"LM",IF('GNI per capita'!AV200&lt;=Thresholds!$E$45,"UM","H")))</f>
        <v>UM</v>
      </c>
      <c r="AW200" s="42" t="str">
        <f>IF('GNI per capita'!AW200&lt;=Thresholds!$C$46,"L",IF('GNI per capita'!AW200&lt;=Thresholds!$D$46,"LM",IF('GNI per capita'!AW200&lt;=Thresholds!$E$46,"UM","H")))</f>
        <v>UM</v>
      </c>
      <c r="AX200" s="42" t="str">
        <f>IF('GNI per capita'!AX200&lt;=Thresholds!$C$47,"L",IF('GNI per capita'!AX200&lt;=Thresholds!$D$47,"LM",IF('GNI per capita'!AX200&lt;=Thresholds!$E$47,"UM","H")))</f>
        <v>UM</v>
      </c>
      <c r="AY200" s="42" t="str">
        <f>IF('GNI per capita'!AY200&lt;=Thresholds!$C$48,"L",IF('GNI per capita'!AY200&lt;=Thresholds!$D$48,"LM",IF('GNI per capita'!AY200&lt;=Thresholds!$E$48,"UM","H")))</f>
        <v>UM</v>
      </c>
      <c r="AZ200" s="42" t="str">
        <f>IF('GNI per capita'!AZ200&lt;=Thresholds!$C$49,"L",IF('GNI per capita'!AZ200&lt;=Thresholds!$D$49,"LM",IF('GNI per capita'!AZ200&lt;=Thresholds!$E$49,"UM","H")))</f>
        <v>UM</v>
      </c>
      <c r="BA200" s="42" t="str">
        <f>IF('GNI per capita'!BA200&lt;=Thresholds!$C$50,"L",IF('GNI per capita'!BA200&lt;=Thresholds!$D$50,"LM",IF('GNI per capita'!BA200&lt;=Thresholds!$E$50,"UM","H")))</f>
        <v>UM</v>
      </c>
      <c r="BB200" s="42" t="str">
        <f>IF('GNI per capita'!BB200&lt;=Thresholds!$C$51,"L",IF('GNI per capita'!BB200&lt;=Thresholds!$D$51,"LM",IF('GNI per capita'!BB200&lt;=Thresholds!$E$51,"UM","H")))</f>
        <v>UM</v>
      </c>
      <c r="BC200" s="42" t="str">
        <f>IF('GNI per capita'!BC200&lt;=Thresholds!$C$52,"L",IF('GNI per capita'!BC200&lt;=Thresholds!$D$52,"LM",IF('GNI per capita'!BC200&lt;=Thresholds!$E$52,"UM","H")))</f>
        <v>UM</v>
      </c>
      <c r="BD200" s="42" t="str">
        <f>IF('GNI per capita'!BD200&lt;=Thresholds!$C$53,"L",IF('GNI per capita'!BD200&lt;=Thresholds!$D$53,"LM",IF('GNI per capita'!BD200&lt;=Thresholds!$E$53,"UM","H")))</f>
        <v>UM</v>
      </c>
      <c r="BE200" s="42" t="str">
        <f>IF('GNI per capita'!BE200&lt;=Thresholds!$C$54,"L",IF('GNI per capita'!BE200&lt;=Thresholds!$D$54,"LM",IF('GNI per capita'!BE200&lt;=Thresholds!$E$54,"UM","H")))</f>
        <v>UM</v>
      </c>
      <c r="BF200" s="42" t="str">
        <f>IF('GNI per capita'!BF200&lt;=Thresholds!$C$55,"L",IF('GNI per capita'!BF200&lt;=Thresholds!$D$55,"LM",IF('GNI per capita'!BF200&lt;=Thresholds!$E$55,"UM","H")))</f>
        <v>UM</v>
      </c>
      <c r="BG200" s="42" t="str">
        <f>IF('GNI per capita'!BG200&lt;=Thresholds!$C$56,"L",IF('GNI per capita'!BG200&lt;=Thresholds!$D$56,"LM",IF('GNI per capita'!BG200&lt;=Thresholds!$E$56,"UM","H")))</f>
        <v>UM</v>
      </c>
      <c r="BH200" s="42" t="str">
        <f>IF('GNI per capita'!BH200&lt;=Thresholds!$C$57,"L",IF('GNI per capita'!BH200&lt;=Thresholds!$D$57,"LM",IF('GNI per capita'!BH200&lt;=Thresholds!$E$57,"UM","H")))</f>
        <v>UM</v>
      </c>
      <c r="BI200" s="42" t="str">
        <f>IF('GNI per capita'!BI200&lt;=Thresholds!$C$58,"L",IF('GNI per capita'!BI200&lt;=Thresholds!$D$58,"LM",IF('GNI per capita'!BI200&lt;=Thresholds!$E$58,"UM","H")))</f>
        <v>UM</v>
      </c>
      <c r="BJ200" s="42" t="str">
        <f>IF('GNI per capita'!BJ200&lt;=Thresholds!$C$59,"L",IF('GNI per capita'!BJ200&lt;=Thresholds!$D$59,"LM",IF('GNI per capita'!BJ200&lt;=Thresholds!$E$59,"UM","H")))</f>
        <v>UM</v>
      </c>
      <c r="BK200" s="42" t="str">
        <f>IF('GNI per capita'!BK200&lt;=Thresholds!$C$60,"L",IF('GNI per capita'!BK200&lt;=Thresholds!$D$60,"LM",IF('GNI per capita'!BK200&lt;=Thresholds!$E$60,"UM","H")))</f>
        <v>UM</v>
      </c>
      <c r="BL200" s="42" t="str">
        <f>IF('GNI per capita'!BL200&lt;=Thresholds!$C$61,"L",IF('GNI per capita'!BL200&lt;=Thresholds!$D$61,"LM",IF('GNI per capita'!BL200&lt;=Thresholds!$E$61,"UM","H")))</f>
        <v>UM</v>
      </c>
      <c r="BM200" s="42" t="str">
        <f>IF('GNI per capita'!BM200&lt;=Thresholds!$C$62,"L",IF('GNI per capita'!BM200&lt;=Thresholds!$D$62,"LM",IF('GNI per capita'!BM200&lt;=Thresholds!$E$62,"UM","H")))</f>
        <v>UM</v>
      </c>
      <c r="BN200" s="42" t="str">
        <f>IF('GNI per capita'!BN200&lt;=Thresholds!$C$63,"L",IF('GNI per capita'!BN200&lt;=Thresholds!$D$63,"LM",IF('GNI per capita'!BN200&lt;=Thresholds!$E$63,"UM","H")))</f>
        <v>UM</v>
      </c>
      <c r="BO200" s="42" t="str">
        <f>IF('GNI per capita'!BO200&lt;=Thresholds!$C$64,"L",IF('GNI per capita'!BO200&lt;=Thresholds!$D$64,"LM",IF('GNI per capita'!BO200&lt;=Thresholds!$E$64,"UM","H")))</f>
        <v>UM</v>
      </c>
      <c r="BP200" s="42" t="str">
        <f>IF('GNI per capita'!BP200&lt;=Thresholds!$C$65,"L",IF('GNI per capita'!BP200&lt;=Thresholds!$D$65,"LM",IF('GNI per capita'!BP200&lt;=Thresholds!$E$65,"UM","H")))</f>
        <v>UM</v>
      </c>
      <c r="BQ200" s="42" t="str">
        <f>IF('GNI per capita'!BQ200&lt;=Thresholds!$C$66,"L",IF('GNI per capita'!BQ200&lt;=Thresholds!$D$66,"LM",IF('GNI per capita'!BQ200&lt;=Thresholds!$E$66,"UM","H")))</f>
        <v>UM</v>
      </c>
      <c r="BR200" s="42" t="str">
        <f>IF('GNI per capita'!BR200&lt;=Thresholds!$C$67,"L",IF('GNI per capita'!BR200&lt;=Thresholds!$D$67,"LM",IF('GNI per capita'!BR200&lt;=Thresholds!$E$67,"UM","H")))</f>
        <v>H</v>
      </c>
      <c r="BS200" s="42" t="str">
        <f>IF('GNI per capita'!BS200&lt;=Thresholds!$C$68,"L",IF('GNI per capita'!BS200&lt;=Thresholds!$D$68,"LM",IF('GNI per capita'!BS200&lt;=Thresholds!$E$68,"UM","H")))</f>
        <v>H</v>
      </c>
    </row>
    <row r="201" spans="1:71" x14ac:dyDescent="0.2">
      <c r="A201" s="2" t="s">
        <v>632</v>
      </c>
      <c r="B201" s="2" t="s">
        <v>633</v>
      </c>
      <c r="C201" s="11" t="s">
        <v>79</v>
      </c>
      <c r="G201" s="2" t="s">
        <v>634</v>
      </c>
      <c r="H201" s="41" t="s">
        <v>82</v>
      </c>
      <c r="I201" s="41" t="s">
        <v>82</v>
      </c>
      <c r="J201" s="41" t="s">
        <v>82</v>
      </c>
      <c r="K201" s="41" t="s">
        <v>82</v>
      </c>
      <c r="L201" s="41" t="s">
        <v>82</v>
      </c>
      <c r="M201" s="41" t="s">
        <v>82</v>
      </c>
      <c r="N201" s="41" t="s">
        <v>82</v>
      </c>
      <c r="O201" s="41" t="s">
        <v>82</v>
      </c>
      <c r="P201" s="41" t="s">
        <v>82</v>
      </c>
      <c r="Q201" s="41" t="s">
        <v>82</v>
      </c>
      <c r="R201" s="41" t="s">
        <v>82</v>
      </c>
      <c r="S201" s="41" t="s">
        <v>82</v>
      </c>
      <c r="T201" s="41" t="s">
        <v>82</v>
      </c>
      <c r="U201" s="41" t="s">
        <v>82</v>
      </c>
      <c r="V201" s="41" t="s">
        <v>82</v>
      </c>
      <c r="W201" s="41" t="s">
        <v>82</v>
      </c>
      <c r="X201" s="41" t="s">
        <v>82</v>
      </c>
      <c r="Y201" s="41" t="s">
        <v>82</v>
      </c>
      <c r="Z201" s="41" t="s">
        <v>82</v>
      </c>
      <c r="AA201" s="41" t="s">
        <v>79</v>
      </c>
      <c r="AB201" s="41" t="s">
        <v>79</v>
      </c>
      <c r="AC201" s="41" t="s">
        <v>79</v>
      </c>
      <c r="AD201" s="41" t="s">
        <v>79</v>
      </c>
      <c r="AE201" s="41" t="s">
        <v>79</v>
      </c>
      <c r="AF201" s="41" t="s">
        <v>79</v>
      </c>
      <c r="AG201" s="41" t="s">
        <v>79</v>
      </c>
      <c r="AH201" s="41" t="s">
        <v>79</v>
      </c>
      <c r="AI201" s="41" t="s">
        <v>79</v>
      </c>
      <c r="AJ201" s="41" t="s">
        <v>79</v>
      </c>
      <c r="AK201" s="41" t="s">
        <v>79</v>
      </c>
      <c r="AL201" s="41" t="s">
        <v>79</v>
      </c>
      <c r="AM201" s="41" t="s">
        <v>79</v>
      </c>
      <c r="AN201" s="41" t="s">
        <v>79</v>
      </c>
      <c r="AO201" s="41" t="s">
        <v>79</v>
      </c>
      <c r="AP201" s="41" t="s">
        <v>79</v>
      </c>
      <c r="AQ201" s="41" t="s">
        <v>79</v>
      </c>
      <c r="AR201" s="41" t="s">
        <v>79</v>
      </c>
      <c r="AS201" s="41" t="s">
        <v>79</v>
      </c>
      <c r="AT201" s="41" t="s">
        <v>79</v>
      </c>
      <c r="AU201" s="42" t="str">
        <f>IF('GNI per capita'!AU201&lt;=Thresholds!$C$44,"L",IF('GNI per capita'!AU201&lt;=Thresholds!$D$44,"LM",IF('GNI per capita'!AU201&lt;=Thresholds!$E$44,"UM","H")))</f>
        <v>H</v>
      </c>
      <c r="AV201" s="42" t="str">
        <f>IF('GNI per capita'!AV201&lt;=Thresholds!$C$45,"L",IF('GNI per capita'!AV201&lt;=Thresholds!$D$45,"LM",IF('GNI per capita'!AV201&lt;=Thresholds!$E$45,"UM","H")))</f>
        <v>H</v>
      </c>
      <c r="AW201" s="42" t="str">
        <f>IF('GNI per capita'!AW201&lt;=Thresholds!$C$46,"L",IF('GNI per capita'!AW201&lt;=Thresholds!$D$46,"LM",IF('GNI per capita'!AW201&lt;=Thresholds!$E$46,"UM","H")))</f>
        <v>H</v>
      </c>
      <c r="AX201" s="42" t="str">
        <f>IF('GNI per capita'!AX201&lt;=Thresholds!$C$47,"L",IF('GNI per capita'!AX201&lt;=Thresholds!$D$47,"LM",IF('GNI per capita'!AX201&lt;=Thresholds!$E$47,"UM","H")))</f>
        <v>H</v>
      </c>
      <c r="AY201" s="42" t="str">
        <f>IF('GNI per capita'!AY201&lt;=Thresholds!$C$48,"L",IF('GNI per capita'!AY201&lt;=Thresholds!$D$48,"LM",IF('GNI per capita'!AY201&lt;=Thresholds!$E$48,"UM","H")))</f>
        <v>H</v>
      </c>
      <c r="AZ201" s="42" t="str">
        <f>IF('GNI per capita'!AZ201&lt;=Thresholds!$C$49,"L",IF('GNI per capita'!AZ201&lt;=Thresholds!$D$49,"LM",IF('GNI per capita'!AZ201&lt;=Thresholds!$E$49,"UM","H")))</f>
        <v>H</v>
      </c>
      <c r="BA201" s="42" t="str">
        <f>IF('GNI per capita'!BA201&lt;=Thresholds!$C$50,"L",IF('GNI per capita'!BA201&lt;=Thresholds!$D$50,"LM",IF('GNI per capita'!BA201&lt;=Thresholds!$E$50,"UM","H")))</f>
        <v>H</v>
      </c>
      <c r="BB201" s="42" t="str">
        <f>IF('GNI per capita'!BB201&lt;=Thresholds!$C$51,"L",IF('GNI per capita'!BB201&lt;=Thresholds!$D$51,"LM",IF('GNI per capita'!BB201&lt;=Thresholds!$E$51,"UM","H")))</f>
        <v>H</v>
      </c>
      <c r="BC201" s="42" t="str">
        <f>IF('GNI per capita'!BC201&lt;=Thresholds!$C$52,"L",IF('GNI per capita'!BC201&lt;=Thresholds!$D$52,"LM",IF('GNI per capita'!BC201&lt;=Thresholds!$E$52,"UM","H")))</f>
        <v>H</v>
      </c>
      <c r="BD201" s="42" t="str">
        <f>IF('GNI per capita'!BD201&lt;=Thresholds!$C$53,"L",IF('GNI per capita'!BD201&lt;=Thresholds!$D$53,"LM",IF('GNI per capita'!BD201&lt;=Thresholds!$E$53,"UM","H")))</f>
        <v>H</v>
      </c>
      <c r="BE201" s="42" t="str">
        <f>IF('GNI per capita'!BE201&lt;=Thresholds!$C$54,"L",IF('GNI per capita'!BE201&lt;=Thresholds!$D$54,"LM",IF('GNI per capita'!BE201&lt;=Thresholds!$E$54,"UM","H")))</f>
        <v>H</v>
      </c>
      <c r="BF201" s="42" t="str">
        <f>IF('GNI per capita'!BF201&lt;=Thresholds!$C$55,"L",IF('GNI per capita'!BF201&lt;=Thresholds!$D$55,"LM",IF('GNI per capita'!BF201&lt;=Thresholds!$E$55,"UM","H")))</f>
        <v>H</v>
      </c>
      <c r="BG201" s="42" t="str">
        <f>IF('GNI per capita'!BG201&lt;=Thresholds!$C$56,"L",IF('GNI per capita'!BG201&lt;=Thresholds!$D$56,"LM",IF('GNI per capita'!BG201&lt;=Thresholds!$E$56,"UM","H")))</f>
        <v>H</v>
      </c>
      <c r="BH201" s="42" t="str">
        <f>IF('GNI per capita'!BH201&lt;=Thresholds!$C$57,"L",IF('GNI per capita'!BH201&lt;=Thresholds!$D$57,"LM",IF('GNI per capita'!BH201&lt;=Thresholds!$E$57,"UM","H")))</f>
        <v>H</v>
      </c>
      <c r="BI201" s="42" t="str">
        <f>IF('GNI per capita'!BI201&lt;=Thresholds!$C$58,"L",IF('GNI per capita'!BI201&lt;=Thresholds!$D$58,"LM",IF('GNI per capita'!BI201&lt;=Thresholds!$E$58,"UM","H")))</f>
        <v>H</v>
      </c>
      <c r="BJ201" s="42" t="str">
        <f>IF('GNI per capita'!BJ201&lt;=Thresholds!$C$59,"L",IF('GNI per capita'!BJ201&lt;=Thresholds!$D$59,"LM",IF('GNI per capita'!BJ201&lt;=Thresholds!$E$59,"UM","H")))</f>
        <v>H</v>
      </c>
      <c r="BK201" s="42" t="str">
        <f>IF('GNI per capita'!BK201&lt;=Thresholds!$C$60,"L",IF('GNI per capita'!BK201&lt;=Thresholds!$D$60,"LM",IF('GNI per capita'!BK201&lt;=Thresholds!$E$60,"UM","H")))</f>
        <v>H</v>
      </c>
      <c r="BL201" s="42" t="str">
        <f>IF('GNI per capita'!BL201&lt;=Thresholds!$C$61,"L",IF('GNI per capita'!BL201&lt;=Thresholds!$D$61,"LM",IF('GNI per capita'!BL201&lt;=Thresholds!$E$61,"UM","H")))</f>
        <v>H</v>
      </c>
      <c r="BM201" s="42" t="str">
        <f>IF('GNI per capita'!BM201&lt;=Thresholds!$C$62,"L",IF('GNI per capita'!BM201&lt;=Thresholds!$D$62,"LM",IF('GNI per capita'!BM201&lt;=Thresholds!$E$62,"UM","H")))</f>
        <v>H</v>
      </c>
      <c r="BN201" s="42" t="str">
        <f>IF('GNI per capita'!BN201&lt;=Thresholds!$C$63,"L",IF('GNI per capita'!BN201&lt;=Thresholds!$D$63,"LM",IF('GNI per capita'!BN201&lt;=Thresholds!$E$63,"UM","H")))</f>
        <v>H</v>
      </c>
      <c r="BO201" s="42" t="str">
        <f>IF('GNI per capita'!BO201&lt;=Thresholds!$C$64,"L",IF('GNI per capita'!BO201&lt;=Thresholds!$D$64,"LM",IF('GNI per capita'!BO201&lt;=Thresholds!$E$64,"UM","H")))</f>
        <v>H</v>
      </c>
      <c r="BP201" s="42" t="str">
        <f>IF('GNI per capita'!BP201&lt;=Thresholds!$C$65,"L",IF('GNI per capita'!BP201&lt;=Thresholds!$D$65,"LM",IF('GNI per capita'!BP201&lt;=Thresholds!$E$65,"UM","H")))</f>
        <v>H</v>
      </c>
      <c r="BQ201" s="42" t="str">
        <f>IF('GNI per capita'!BQ201&lt;=Thresholds!$C$66,"L",IF('GNI per capita'!BQ201&lt;=Thresholds!$D$66,"LM",IF('GNI per capita'!BQ201&lt;=Thresholds!$E$66,"UM","H")))</f>
        <v>H</v>
      </c>
      <c r="BR201" s="42" t="str">
        <f>IF('GNI per capita'!BR201&lt;=Thresholds!$C$67,"L",IF('GNI per capita'!BR201&lt;=Thresholds!$D$67,"LM",IF('GNI per capita'!BR201&lt;=Thresholds!$E$67,"UM","H")))</f>
        <v>H</v>
      </c>
      <c r="BS201" s="42" t="str">
        <f>IF('GNI per capita'!BS201&lt;=Thresholds!$C$68,"L",IF('GNI per capita'!BS201&lt;=Thresholds!$D$68,"LM",IF('GNI per capita'!BS201&lt;=Thresholds!$E$68,"UM","H")))</f>
        <v>H</v>
      </c>
    </row>
    <row r="202" spans="1:71" x14ac:dyDescent="0.2">
      <c r="A202" s="2" t="s">
        <v>635</v>
      </c>
      <c r="B202" s="2" t="s">
        <v>636</v>
      </c>
      <c r="C202" s="11" t="s">
        <v>210</v>
      </c>
      <c r="G202" s="2" t="s">
        <v>637</v>
      </c>
      <c r="H202" s="41" t="s">
        <v>210</v>
      </c>
      <c r="I202" s="41" t="s">
        <v>210</v>
      </c>
      <c r="J202" s="41" t="s">
        <v>210</v>
      </c>
      <c r="K202" s="41" t="s">
        <v>210</v>
      </c>
      <c r="L202" s="41" t="s">
        <v>210</v>
      </c>
      <c r="M202" s="41" t="s">
        <v>210</v>
      </c>
      <c r="N202" s="41" t="s">
        <v>210</v>
      </c>
      <c r="O202" s="41" t="s">
        <v>210</v>
      </c>
      <c r="P202" s="41" t="s">
        <v>210</v>
      </c>
      <c r="Q202" s="41" t="s">
        <v>210</v>
      </c>
      <c r="R202" s="41" t="s">
        <v>210</v>
      </c>
      <c r="S202" s="41" t="s">
        <v>210</v>
      </c>
      <c r="T202" s="41" t="s">
        <v>210</v>
      </c>
      <c r="U202" s="41" t="s">
        <v>210</v>
      </c>
      <c r="V202" s="41" t="s">
        <v>210</v>
      </c>
      <c r="W202" s="41" t="s">
        <v>210</v>
      </c>
      <c r="X202" s="41" t="s">
        <v>210</v>
      </c>
      <c r="Y202" s="41" t="s">
        <v>210</v>
      </c>
      <c r="Z202" s="41" t="s">
        <v>210</v>
      </c>
      <c r="AA202" s="41" t="s">
        <v>210</v>
      </c>
      <c r="AB202" s="41" t="s">
        <v>210</v>
      </c>
      <c r="AC202" s="41" t="s">
        <v>210</v>
      </c>
      <c r="AD202" s="41" t="s">
        <v>210</v>
      </c>
      <c r="AE202" s="41" t="s">
        <v>82</v>
      </c>
      <c r="AF202" s="41" t="s">
        <v>82</v>
      </c>
      <c r="AG202" s="41" t="s">
        <v>82</v>
      </c>
      <c r="AH202" s="41" t="s">
        <v>82</v>
      </c>
      <c r="AI202" s="41" t="s">
        <v>82</v>
      </c>
      <c r="AJ202" s="41" t="s">
        <v>210</v>
      </c>
      <c r="AK202" s="41" t="s">
        <v>210</v>
      </c>
      <c r="AL202" s="41" t="s">
        <v>210</v>
      </c>
      <c r="AM202" s="41" t="s">
        <v>210</v>
      </c>
      <c r="AN202" s="41" t="s">
        <v>210</v>
      </c>
      <c r="AO202" s="41" t="s">
        <v>210</v>
      </c>
      <c r="AP202" s="41" t="s">
        <v>210</v>
      </c>
      <c r="AQ202" s="41" t="s">
        <v>210</v>
      </c>
      <c r="AR202" s="41" t="s">
        <v>210</v>
      </c>
      <c r="AS202" s="41" t="s">
        <v>210</v>
      </c>
      <c r="AT202" s="41" t="s">
        <v>210</v>
      </c>
      <c r="AU202" s="42" t="str">
        <f>IF('GNI per capita'!AU202&lt;=Thresholds!$C$44,"L",IF('GNI per capita'!AU202&lt;=Thresholds!$D$44,"LM",IF('GNI per capita'!AU202&lt;=Thresholds!$E$44,"UM","H")))</f>
        <v>LM</v>
      </c>
      <c r="AV202" s="42" t="str">
        <f>IF('GNI per capita'!AV202&lt;=Thresholds!$C$45,"L",IF('GNI per capita'!AV202&lt;=Thresholds!$D$45,"LM",IF('GNI per capita'!AV202&lt;=Thresholds!$E$45,"UM","H")))</f>
        <v>LM</v>
      </c>
      <c r="AW202" s="42" t="str">
        <f>IF('GNI per capita'!AW202&lt;=Thresholds!$C$46,"L",IF('GNI per capita'!AW202&lt;=Thresholds!$D$46,"LM",IF('GNI per capita'!AW202&lt;=Thresholds!$E$46,"UM","H")))</f>
        <v>LM</v>
      </c>
      <c r="AX202" s="42" t="str">
        <f>IF('GNI per capita'!AX202&lt;=Thresholds!$C$47,"L",IF('GNI per capita'!AX202&lt;=Thresholds!$D$47,"LM",IF('GNI per capita'!AX202&lt;=Thresholds!$E$47,"UM","H")))</f>
        <v>LM</v>
      </c>
      <c r="AY202" s="42" t="str">
        <f>IF('GNI per capita'!AY202&lt;=Thresholds!$C$48,"L",IF('GNI per capita'!AY202&lt;=Thresholds!$D$48,"LM",IF('GNI per capita'!AY202&lt;=Thresholds!$E$48,"UM","H")))</f>
        <v>LM</v>
      </c>
      <c r="AZ202" s="42" t="str">
        <f>IF('GNI per capita'!AZ202&lt;=Thresholds!$C$49,"L",IF('GNI per capita'!AZ202&lt;=Thresholds!$D$49,"LM",IF('GNI per capita'!AZ202&lt;=Thresholds!$E$49,"UM","H")))</f>
        <v>LM</v>
      </c>
      <c r="BA202" s="42" t="str">
        <f>IF('GNI per capita'!BA202&lt;=Thresholds!$C$50,"L",IF('GNI per capita'!BA202&lt;=Thresholds!$D$50,"LM",IF('GNI per capita'!BA202&lt;=Thresholds!$E$50,"UM","H")))</f>
        <v>LM</v>
      </c>
      <c r="BB202" s="42" t="str">
        <f>IF('GNI per capita'!BB202&lt;=Thresholds!$C$51,"L",IF('GNI per capita'!BB202&lt;=Thresholds!$D$51,"LM",IF('GNI per capita'!BB202&lt;=Thresholds!$E$51,"UM","H")))</f>
        <v>LM</v>
      </c>
      <c r="BC202" s="42" t="str">
        <f>IF('GNI per capita'!BC202&lt;=Thresholds!$C$52,"L",IF('GNI per capita'!BC202&lt;=Thresholds!$D$52,"LM",IF('GNI per capita'!BC202&lt;=Thresholds!$E$52,"UM","H")))</f>
        <v>LM</v>
      </c>
      <c r="BD202" s="42" t="str">
        <f>IF('GNI per capita'!BD202&lt;=Thresholds!$C$53,"L",IF('GNI per capita'!BD202&lt;=Thresholds!$D$53,"LM",IF('GNI per capita'!BD202&lt;=Thresholds!$E$53,"UM","H")))</f>
        <v>LM</v>
      </c>
      <c r="BE202" s="42" t="str">
        <f>IF('GNI per capita'!BE202&lt;=Thresholds!$C$54,"L",IF('GNI per capita'!BE202&lt;=Thresholds!$D$54,"LM",IF('GNI per capita'!BE202&lt;=Thresholds!$E$54,"UM","H")))</f>
        <v>LM</v>
      </c>
      <c r="BF202" s="42" t="str">
        <f>IF('GNI per capita'!BF202&lt;=Thresholds!$C$55,"L",IF('GNI per capita'!BF202&lt;=Thresholds!$D$55,"LM",IF('GNI per capita'!BF202&lt;=Thresholds!$E$55,"UM","H")))</f>
        <v>LM</v>
      </c>
      <c r="BG202" s="42" t="str">
        <f>IF('GNI per capita'!BG202&lt;=Thresholds!$C$56,"L",IF('GNI per capita'!BG202&lt;=Thresholds!$D$56,"LM",IF('GNI per capita'!BG202&lt;=Thresholds!$E$56,"UM","H")))</f>
        <v>LM</v>
      </c>
      <c r="BH202" s="42" t="str">
        <f>IF('GNI per capita'!BH202&lt;=Thresholds!$C$57,"L",IF('GNI per capita'!BH202&lt;=Thresholds!$D$57,"LM",IF('GNI per capita'!BH202&lt;=Thresholds!$E$57,"UM","H")))</f>
        <v>LM</v>
      </c>
      <c r="BI202" s="42" t="str">
        <f>IF('GNI per capita'!BI202&lt;=Thresholds!$C$58,"L",IF('GNI per capita'!BI202&lt;=Thresholds!$D$58,"LM",IF('GNI per capita'!BI202&lt;=Thresholds!$E$58,"UM","H")))</f>
        <v>LM</v>
      </c>
      <c r="BJ202" s="42" t="str">
        <f>IF('GNI per capita'!BJ202&lt;=Thresholds!$C$59,"L",IF('GNI per capita'!BJ202&lt;=Thresholds!$D$59,"LM",IF('GNI per capita'!BJ202&lt;=Thresholds!$E$59,"UM","H")))</f>
        <v>LM</v>
      </c>
      <c r="BK202" s="42" t="str">
        <f>IF('GNI per capita'!BK202&lt;=Thresholds!$C$60,"L",IF('GNI per capita'!BK202&lt;=Thresholds!$D$60,"LM",IF('GNI per capita'!BK202&lt;=Thresholds!$E$60,"UM","H")))</f>
        <v>LM</v>
      </c>
      <c r="BL202" s="42" t="str">
        <f>IF('GNI per capita'!BL202&lt;=Thresholds!$C$61,"L",IF('GNI per capita'!BL202&lt;=Thresholds!$D$61,"LM",IF('GNI per capita'!BL202&lt;=Thresholds!$E$61,"UM","H")))</f>
        <v>LM</v>
      </c>
      <c r="BM202" s="42" t="str">
        <f>IF('GNI per capita'!BM202&lt;=Thresholds!$C$62,"L",IF('GNI per capita'!BM202&lt;=Thresholds!$D$62,"LM",IF('GNI per capita'!BM202&lt;=Thresholds!$E$62,"UM","H")))</f>
        <v>LM</v>
      </c>
      <c r="BN202" s="42" t="str">
        <f>IF('GNI per capita'!BN202&lt;=Thresholds!$C$63,"L",IF('GNI per capita'!BN202&lt;=Thresholds!$D$63,"LM",IF('GNI per capita'!BN202&lt;=Thresholds!$E$63,"UM","H")))</f>
        <v>LM</v>
      </c>
      <c r="BO202" s="42" t="str">
        <f>IF('GNI per capita'!BO202&lt;=Thresholds!$C$64,"L",IF('GNI per capita'!BO202&lt;=Thresholds!$D$64,"LM",IF('GNI per capita'!BO202&lt;=Thresholds!$E$64,"UM","H")))</f>
        <v>LM</v>
      </c>
      <c r="BP202" s="42" t="str">
        <f>IF('GNI per capita'!BP202&lt;=Thresholds!$C$65,"L",IF('GNI per capita'!BP202&lt;=Thresholds!$D$65,"LM",IF('GNI per capita'!BP202&lt;=Thresholds!$E$65,"UM","H")))</f>
        <v>LM</v>
      </c>
      <c r="BQ202" s="42" t="str">
        <f>IF('GNI per capita'!BQ202&lt;=Thresholds!$C$66,"L",IF('GNI per capita'!BQ202&lt;=Thresholds!$D$66,"LM",IF('GNI per capita'!BQ202&lt;=Thresholds!$E$66,"UM","H")))</f>
        <v>LM</v>
      </c>
      <c r="BR202" s="42" t="str">
        <f>IF('GNI per capita'!BR202&lt;=Thresholds!$C$67,"L",IF('GNI per capita'!BR202&lt;=Thresholds!$D$67,"LM",IF('GNI per capita'!BR202&lt;=Thresholds!$E$67,"UM","H")))</f>
        <v>LM</v>
      </c>
      <c r="BS202" s="42" t="str">
        <f>IF('GNI per capita'!BS202&lt;=Thresholds!$C$68,"L",IF('GNI per capita'!BS202&lt;=Thresholds!$D$68,"LM",IF('GNI per capita'!BS202&lt;=Thresholds!$E$68,"UM","H")))</f>
        <v>LM</v>
      </c>
    </row>
    <row r="203" spans="1:71" x14ac:dyDescent="0.2">
      <c r="A203" s="2" t="s">
        <v>638</v>
      </c>
      <c r="B203" s="2" t="s">
        <v>639</v>
      </c>
      <c r="C203" s="11" t="s">
        <v>82</v>
      </c>
      <c r="G203" s="2" t="s">
        <v>640</v>
      </c>
      <c r="H203" s="41"/>
      <c r="I203" s="41"/>
      <c r="J203" s="41"/>
      <c r="K203" s="41"/>
      <c r="L203" s="41" t="s">
        <v>210</v>
      </c>
      <c r="M203" s="41" t="s">
        <v>210</v>
      </c>
      <c r="N203" s="41" t="s">
        <v>210</v>
      </c>
      <c r="O203" s="41" t="s">
        <v>210</v>
      </c>
      <c r="P203" s="41" t="s">
        <v>210</v>
      </c>
      <c r="Q203" s="41" t="s">
        <v>210</v>
      </c>
      <c r="R203" s="41" t="s">
        <v>75</v>
      </c>
      <c r="S203" s="41" t="s">
        <v>75</v>
      </c>
      <c r="T203" s="41" t="s">
        <v>75</v>
      </c>
      <c r="U203" s="41" t="s">
        <v>210</v>
      </c>
      <c r="V203" s="41" t="s">
        <v>210</v>
      </c>
      <c r="W203" s="41" t="s">
        <v>210</v>
      </c>
      <c r="X203" s="41" t="s">
        <v>210</v>
      </c>
      <c r="Y203" s="41" t="s">
        <v>210</v>
      </c>
      <c r="Z203" s="41" t="s">
        <v>210</v>
      </c>
      <c r="AA203" s="41" t="s">
        <v>210</v>
      </c>
      <c r="AB203" s="41" t="s">
        <v>210</v>
      </c>
      <c r="AC203" s="41" t="s">
        <v>210</v>
      </c>
      <c r="AD203" s="41" t="s">
        <v>210</v>
      </c>
      <c r="AE203" s="41" t="s">
        <v>210</v>
      </c>
      <c r="AF203" s="41" t="s">
        <v>82</v>
      </c>
      <c r="AG203" s="41" t="s">
        <v>82</v>
      </c>
      <c r="AH203" s="41" t="s">
        <v>82</v>
      </c>
      <c r="AI203" s="41" t="s">
        <v>82</v>
      </c>
      <c r="AJ203" s="41" t="s">
        <v>82</v>
      </c>
      <c r="AK203" s="41" t="s">
        <v>82</v>
      </c>
      <c r="AL203" s="41" t="s">
        <v>82</v>
      </c>
      <c r="AM203" s="41" t="s">
        <v>82</v>
      </c>
      <c r="AN203" s="41" t="s">
        <v>82</v>
      </c>
      <c r="AO203" s="41" t="s">
        <v>82</v>
      </c>
      <c r="AP203" s="41" t="s">
        <v>82</v>
      </c>
      <c r="AQ203" s="41" t="s">
        <v>82</v>
      </c>
      <c r="AR203" s="41" t="s">
        <v>82</v>
      </c>
      <c r="AS203" s="41" t="s">
        <v>82</v>
      </c>
      <c r="AT203" s="41" t="s">
        <v>82</v>
      </c>
      <c r="AU203" s="42" t="str">
        <f>IF('GNI per capita'!AU203&lt;=Thresholds!$C$44,"L",IF('GNI per capita'!AU203&lt;=Thresholds!$D$44,"LM",IF('GNI per capita'!AU203&lt;=Thresholds!$E$44,"UM","H")))</f>
        <v>UM</v>
      </c>
      <c r="AV203" s="42" t="str">
        <f>IF('GNI per capita'!AV203&lt;=Thresholds!$C$45,"L",IF('GNI per capita'!AV203&lt;=Thresholds!$D$45,"LM",IF('GNI per capita'!AV203&lt;=Thresholds!$E$45,"UM","H")))</f>
        <v>UM</v>
      </c>
      <c r="AW203" s="42" t="str">
        <f>IF('GNI per capita'!AW203&lt;=Thresholds!$C$46,"L",IF('GNI per capita'!AW203&lt;=Thresholds!$D$46,"LM",IF('GNI per capita'!AW203&lt;=Thresholds!$E$46,"UM","H")))</f>
        <v>UM</v>
      </c>
      <c r="AX203" s="42" t="str">
        <f>IF('GNI per capita'!AX203&lt;=Thresholds!$C$47,"L",IF('GNI per capita'!AX203&lt;=Thresholds!$D$47,"LM",IF('GNI per capita'!AX203&lt;=Thresholds!$E$47,"UM","H")))</f>
        <v>UM</v>
      </c>
      <c r="AY203" s="42" t="str">
        <f>IF('GNI per capita'!AY203&lt;=Thresholds!$C$48,"L",IF('GNI per capita'!AY203&lt;=Thresholds!$D$48,"LM",IF('GNI per capita'!AY203&lt;=Thresholds!$E$48,"UM","H")))</f>
        <v>UM</v>
      </c>
      <c r="AZ203" s="42" t="str">
        <f>IF('GNI per capita'!AZ203&lt;=Thresholds!$C$49,"L",IF('GNI per capita'!AZ203&lt;=Thresholds!$D$49,"LM",IF('GNI per capita'!AZ203&lt;=Thresholds!$E$49,"UM","H")))</f>
        <v>UM</v>
      </c>
      <c r="BA203" s="42" t="str">
        <f>IF('GNI per capita'!BA203&lt;=Thresholds!$C$50,"L",IF('GNI per capita'!BA203&lt;=Thresholds!$D$50,"LM",IF('GNI per capita'!BA203&lt;=Thresholds!$E$50,"UM","H")))</f>
        <v>UM</v>
      </c>
      <c r="BB203" s="42" t="str">
        <f>IF('GNI per capita'!BB203&lt;=Thresholds!$C$51,"L",IF('GNI per capita'!BB203&lt;=Thresholds!$D$51,"LM",IF('GNI per capita'!BB203&lt;=Thresholds!$E$51,"UM","H")))</f>
        <v>UM</v>
      </c>
      <c r="BC203" s="42" t="str">
        <f>IF('GNI per capita'!BC203&lt;=Thresholds!$C$52,"L",IF('GNI per capita'!BC203&lt;=Thresholds!$D$52,"LM",IF('GNI per capita'!BC203&lt;=Thresholds!$E$52,"UM","H")))</f>
        <v>UM</v>
      </c>
      <c r="BD203" s="42" t="str">
        <f>IF('GNI per capita'!BD203&lt;=Thresholds!$C$53,"L",IF('GNI per capita'!BD203&lt;=Thresholds!$D$53,"LM",IF('GNI per capita'!BD203&lt;=Thresholds!$E$53,"UM","H")))</f>
        <v>UM</v>
      </c>
      <c r="BE203" s="42" t="str">
        <f>IF('GNI per capita'!BE203&lt;=Thresholds!$C$54,"L",IF('GNI per capita'!BE203&lt;=Thresholds!$D$54,"LM",IF('GNI per capita'!BE203&lt;=Thresholds!$E$54,"UM","H")))</f>
        <v>UM</v>
      </c>
      <c r="BF203" s="42" t="str">
        <f>IF('GNI per capita'!BF203&lt;=Thresholds!$C$55,"L",IF('GNI per capita'!BF203&lt;=Thresholds!$D$55,"LM",IF('GNI per capita'!BF203&lt;=Thresholds!$E$55,"UM","H")))</f>
        <v>UM</v>
      </c>
      <c r="BG203" s="42" t="str">
        <f>IF('GNI per capita'!BG203&lt;=Thresholds!$C$56,"L",IF('GNI per capita'!BG203&lt;=Thresholds!$D$56,"LM",IF('GNI per capita'!BG203&lt;=Thresholds!$E$56,"UM","H")))</f>
        <v>UM</v>
      </c>
      <c r="BH203" s="42" t="str">
        <f>IF('GNI per capita'!BH203&lt;=Thresholds!$C$57,"L",IF('GNI per capita'!BH203&lt;=Thresholds!$D$57,"LM",IF('GNI per capita'!BH203&lt;=Thresholds!$E$57,"UM","H")))</f>
        <v>UM</v>
      </c>
      <c r="BI203" s="42" t="str">
        <f>IF('GNI per capita'!BI203&lt;=Thresholds!$C$58,"L",IF('GNI per capita'!BI203&lt;=Thresholds!$D$58,"LM",IF('GNI per capita'!BI203&lt;=Thresholds!$E$58,"UM","H")))</f>
        <v>UM</v>
      </c>
      <c r="BJ203" s="42" t="str">
        <f>IF('GNI per capita'!BJ203&lt;=Thresholds!$C$59,"L",IF('GNI per capita'!BJ203&lt;=Thresholds!$D$59,"LM",IF('GNI per capita'!BJ203&lt;=Thresholds!$E$59,"UM","H")))</f>
        <v>UM</v>
      </c>
      <c r="BK203" s="42" t="str">
        <f>IF('GNI per capita'!BK203&lt;=Thresholds!$C$60,"L",IF('GNI per capita'!BK203&lt;=Thresholds!$D$60,"LM",IF('GNI per capita'!BK203&lt;=Thresholds!$E$60,"UM","H")))</f>
        <v>UM</v>
      </c>
      <c r="BL203" s="42" t="str">
        <f>IF('GNI per capita'!BL203&lt;=Thresholds!$C$61,"L",IF('GNI per capita'!BL203&lt;=Thresholds!$D$61,"LM",IF('GNI per capita'!BL203&lt;=Thresholds!$E$61,"UM","H")))</f>
        <v>UM</v>
      </c>
      <c r="BM203" s="42" t="str">
        <f>IF('GNI per capita'!BM203&lt;=Thresholds!$C$62,"L",IF('GNI per capita'!BM203&lt;=Thresholds!$D$62,"LM",IF('GNI per capita'!BM203&lt;=Thresholds!$E$62,"UM","H")))</f>
        <v>UM</v>
      </c>
      <c r="BN203" s="42" t="str">
        <f>IF('GNI per capita'!BN203&lt;=Thresholds!$C$63,"L",IF('GNI per capita'!BN203&lt;=Thresholds!$D$63,"LM",IF('GNI per capita'!BN203&lt;=Thresholds!$E$63,"UM","H")))</f>
        <v>UM</v>
      </c>
      <c r="BO203" s="42" t="str">
        <f>IF('GNI per capita'!BO203&lt;=Thresholds!$C$64,"L",IF('GNI per capita'!BO203&lt;=Thresholds!$D$64,"LM",IF('GNI per capita'!BO203&lt;=Thresholds!$E$64,"UM","H")))</f>
        <v>UM</v>
      </c>
      <c r="BP203" s="42" t="str">
        <f>IF('GNI per capita'!BP203&lt;=Thresholds!$C$65,"L",IF('GNI per capita'!BP203&lt;=Thresholds!$D$65,"LM",IF('GNI per capita'!BP203&lt;=Thresholds!$E$65,"UM","H")))</f>
        <v>UM</v>
      </c>
      <c r="BQ203" s="42" t="str">
        <f>IF('GNI per capita'!BQ203&lt;=Thresholds!$C$66,"L",IF('GNI per capita'!BQ203&lt;=Thresholds!$D$66,"LM",IF('GNI per capita'!BQ203&lt;=Thresholds!$E$66,"UM","H")))</f>
        <v>UM</v>
      </c>
      <c r="BR203" s="42" t="str">
        <f>IF('GNI per capita'!BR203&lt;=Thresholds!$C$67,"L",IF('GNI per capita'!BR203&lt;=Thresholds!$D$67,"LM",IF('GNI per capita'!BR203&lt;=Thresholds!$E$67,"UM","H")))</f>
        <v>UM</v>
      </c>
      <c r="BS203" s="42" t="str">
        <f>IF('GNI per capita'!BS203&lt;=Thresholds!$C$68,"L",IF('GNI per capita'!BS203&lt;=Thresholds!$D$68,"LM",IF('GNI per capita'!BS203&lt;=Thresholds!$E$68,"UM","H")))</f>
        <v>UM</v>
      </c>
    </row>
    <row r="204" spans="1:71" x14ac:dyDescent="0.2">
      <c r="A204" s="2" t="s">
        <v>641</v>
      </c>
      <c r="B204" s="2" t="s">
        <v>642</v>
      </c>
      <c r="C204" s="11" t="s">
        <v>79</v>
      </c>
      <c r="G204" s="2" t="s">
        <v>162</v>
      </c>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t="s">
        <v>79</v>
      </c>
      <c r="AE204" s="41" t="s">
        <v>79</v>
      </c>
      <c r="AF204" s="41" t="s">
        <v>79</v>
      </c>
      <c r="AG204" s="41" t="s">
        <v>79</v>
      </c>
      <c r="AH204" s="41" t="s">
        <v>79</v>
      </c>
      <c r="AI204" s="41" t="s">
        <v>79</v>
      </c>
      <c r="AJ204" s="41" t="s">
        <v>79</v>
      </c>
      <c r="AK204" s="41" t="s">
        <v>79</v>
      </c>
      <c r="AL204" s="41" t="s">
        <v>79</v>
      </c>
      <c r="AM204" s="41" t="s">
        <v>79</v>
      </c>
      <c r="AN204" s="41" t="s">
        <v>79</v>
      </c>
      <c r="AO204" s="41" t="s">
        <v>79</v>
      </c>
      <c r="AP204" s="41" t="s">
        <v>79</v>
      </c>
      <c r="AQ204" s="41" t="s">
        <v>79</v>
      </c>
      <c r="AR204" s="41" t="s">
        <v>79</v>
      </c>
      <c r="AS204" s="41" t="s">
        <v>79</v>
      </c>
      <c r="AT204" s="41" t="s">
        <v>79</v>
      </c>
      <c r="AU204" s="42" t="str">
        <f>IF('GNI per capita'!AU204&lt;=Thresholds!$C$44,"L",IF('GNI per capita'!AU204&lt;=Thresholds!$D$44,"LM",IF('GNI per capita'!AU204&lt;=Thresholds!$E$44,"UM","H")))</f>
        <v>H</v>
      </c>
      <c r="AV204" s="42" t="str">
        <f>IF('GNI per capita'!AV204&lt;=Thresholds!$C$45,"L",IF('GNI per capita'!AV204&lt;=Thresholds!$D$45,"LM",IF('GNI per capita'!AV204&lt;=Thresholds!$E$45,"UM","H")))</f>
        <v>H</v>
      </c>
      <c r="AW204" s="42" t="str">
        <f>IF('GNI per capita'!AW204&lt;=Thresholds!$C$46,"L",IF('GNI per capita'!AW204&lt;=Thresholds!$D$46,"LM",IF('GNI per capita'!AW204&lt;=Thresholds!$E$46,"UM","H")))</f>
        <v>H</v>
      </c>
      <c r="AX204" s="42" t="str">
        <f>IF('GNI per capita'!AX204&lt;=Thresholds!$C$47,"L",IF('GNI per capita'!AX204&lt;=Thresholds!$D$47,"LM",IF('GNI per capita'!AX204&lt;=Thresholds!$E$47,"UM","H")))</f>
        <v>H</v>
      </c>
      <c r="AY204" s="42" t="str">
        <f>IF('GNI per capita'!AY204&lt;=Thresholds!$C$48,"L",IF('GNI per capita'!AY204&lt;=Thresholds!$D$48,"LM",IF('GNI per capita'!AY204&lt;=Thresholds!$E$48,"UM","H")))</f>
        <v>H</v>
      </c>
      <c r="AZ204" s="42" t="str">
        <f>IF('GNI per capita'!AZ204&lt;=Thresholds!$C$49,"L",IF('GNI per capita'!AZ204&lt;=Thresholds!$D$49,"LM",IF('GNI per capita'!AZ204&lt;=Thresholds!$E$49,"UM","H")))</f>
        <v>H</v>
      </c>
      <c r="BA204" s="42" t="str">
        <f>IF('GNI per capita'!BA204&lt;=Thresholds!$C$50,"L",IF('GNI per capita'!BA204&lt;=Thresholds!$D$50,"LM",IF('GNI per capita'!BA204&lt;=Thresholds!$E$50,"UM","H")))</f>
        <v>H</v>
      </c>
      <c r="BB204" s="42" t="str">
        <f>IF('GNI per capita'!BB204&lt;=Thresholds!$C$51,"L",IF('GNI per capita'!BB204&lt;=Thresholds!$D$51,"LM",IF('GNI per capita'!BB204&lt;=Thresholds!$E$51,"UM","H")))</f>
        <v>H</v>
      </c>
      <c r="BC204" s="42" t="str">
        <f>IF('GNI per capita'!BC204&lt;=Thresholds!$C$52,"L",IF('GNI per capita'!BC204&lt;=Thresholds!$D$52,"LM",IF('GNI per capita'!BC204&lt;=Thresholds!$E$52,"UM","H")))</f>
        <v>H</v>
      </c>
      <c r="BD204" s="42" t="str">
        <f>IF('GNI per capita'!BD204&lt;=Thresholds!$C$53,"L",IF('GNI per capita'!BD204&lt;=Thresholds!$D$53,"LM",IF('GNI per capita'!BD204&lt;=Thresholds!$E$53,"UM","H")))</f>
        <v>H</v>
      </c>
      <c r="BE204" s="42" t="str">
        <f>IF('GNI per capita'!BE204&lt;=Thresholds!$C$54,"L",IF('GNI per capita'!BE204&lt;=Thresholds!$D$54,"LM",IF('GNI per capita'!BE204&lt;=Thresholds!$E$54,"UM","H")))</f>
        <v>H</v>
      </c>
      <c r="BF204" s="42" t="str">
        <f>IF('GNI per capita'!BF204&lt;=Thresholds!$C$55,"L",IF('GNI per capita'!BF204&lt;=Thresholds!$D$55,"LM",IF('GNI per capita'!BF204&lt;=Thresholds!$E$55,"UM","H")))</f>
        <v>H</v>
      </c>
      <c r="BG204" s="42" t="str">
        <f>IF('GNI per capita'!BG204&lt;=Thresholds!$C$56,"L",IF('GNI per capita'!BG204&lt;=Thresholds!$D$56,"LM",IF('GNI per capita'!BG204&lt;=Thresholds!$E$56,"UM","H")))</f>
        <v>H</v>
      </c>
      <c r="BH204" s="42" t="str">
        <f>IF('GNI per capita'!BH204&lt;=Thresholds!$C$57,"L",IF('GNI per capita'!BH204&lt;=Thresholds!$D$57,"LM",IF('GNI per capita'!BH204&lt;=Thresholds!$E$57,"UM","H")))</f>
        <v>H</v>
      </c>
      <c r="BI204" s="42" t="str">
        <f>IF('GNI per capita'!BI204&lt;=Thresholds!$C$58,"L",IF('GNI per capita'!BI204&lt;=Thresholds!$D$58,"LM",IF('GNI per capita'!BI204&lt;=Thresholds!$E$58,"UM","H")))</f>
        <v>H</v>
      </c>
      <c r="BJ204" s="42" t="str">
        <f>IF('GNI per capita'!BJ204&lt;=Thresholds!$C$59,"L",IF('GNI per capita'!BJ204&lt;=Thresholds!$D$59,"LM",IF('GNI per capita'!BJ204&lt;=Thresholds!$E$59,"UM","H")))</f>
        <v>H</v>
      </c>
      <c r="BK204" s="42" t="str">
        <f>IF('GNI per capita'!BK204&lt;=Thresholds!$C$60,"L",IF('GNI per capita'!BK204&lt;=Thresholds!$D$60,"LM",IF('GNI per capita'!BK204&lt;=Thresholds!$E$60,"UM","H")))</f>
        <v>H</v>
      </c>
      <c r="BL204" s="42" t="str">
        <f>IF('GNI per capita'!BL204&lt;=Thresholds!$C$61,"L",IF('GNI per capita'!BL204&lt;=Thresholds!$D$61,"LM",IF('GNI per capita'!BL204&lt;=Thresholds!$E$61,"UM","H")))</f>
        <v>H</v>
      </c>
      <c r="BM204" s="42" t="str">
        <f>IF('GNI per capita'!BM204&lt;=Thresholds!$C$62,"L",IF('GNI per capita'!BM204&lt;=Thresholds!$D$62,"LM",IF('GNI per capita'!BM204&lt;=Thresholds!$E$62,"UM","H")))</f>
        <v>H</v>
      </c>
      <c r="BN204" s="42" t="str">
        <f>IF('GNI per capita'!BN204&lt;=Thresholds!$C$63,"L",IF('GNI per capita'!BN204&lt;=Thresholds!$D$63,"LM",IF('GNI per capita'!BN204&lt;=Thresholds!$E$63,"UM","H")))</f>
        <v>H</v>
      </c>
      <c r="BO204" s="42" t="str">
        <f>IF('GNI per capita'!BO204&lt;=Thresholds!$C$64,"L",IF('GNI per capita'!BO204&lt;=Thresholds!$D$64,"LM",IF('GNI per capita'!BO204&lt;=Thresholds!$E$64,"UM","H")))</f>
        <v>H</v>
      </c>
      <c r="BP204" s="42" t="str">
        <f>IF('GNI per capita'!BP204&lt;=Thresholds!$C$65,"L",IF('GNI per capita'!BP204&lt;=Thresholds!$D$65,"LM",IF('GNI per capita'!BP204&lt;=Thresholds!$E$65,"UM","H")))</f>
        <v>H</v>
      </c>
      <c r="BQ204" s="42" t="str">
        <f>IF('GNI per capita'!BQ204&lt;=Thresholds!$C$66,"L",IF('GNI per capita'!BQ204&lt;=Thresholds!$D$66,"LM",IF('GNI per capita'!BQ204&lt;=Thresholds!$E$66,"UM","H")))</f>
        <v>H</v>
      </c>
      <c r="BR204" s="42" t="str">
        <f>IF('GNI per capita'!BR204&lt;=Thresholds!$C$67,"L",IF('GNI per capita'!BR204&lt;=Thresholds!$D$67,"LM",IF('GNI per capita'!BR204&lt;=Thresholds!$E$67,"UM","H")))</f>
        <v>H</v>
      </c>
      <c r="BS204" s="42" t="str">
        <f>IF('GNI per capita'!BS204&lt;=Thresholds!$C$68,"L",IF('GNI per capita'!BS204&lt;=Thresholds!$D$68,"LM",IF('GNI per capita'!BS204&lt;=Thresholds!$E$68,"UM","H")))</f>
        <v>H</v>
      </c>
    </row>
    <row r="205" spans="1:71" x14ac:dyDescent="0.2">
      <c r="A205" s="2" t="s">
        <v>643</v>
      </c>
      <c r="B205" s="2" t="s">
        <v>644</v>
      </c>
      <c r="C205" s="11" t="s">
        <v>82</v>
      </c>
      <c r="G205" s="2" t="s">
        <v>162</v>
      </c>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t="s">
        <v>210</v>
      </c>
      <c r="AE205" s="41" t="s">
        <v>210</v>
      </c>
      <c r="AF205" s="41" t="s">
        <v>82</v>
      </c>
      <c r="AG205" s="41" t="s">
        <v>82</v>
      </c>
      <c r="AH205" s="41" t="s">
        <v>82</v>
      </c>
      <c r="AI205" s="41" t="s">
        <v>82</v>
      </c>
      <c r="AJ205" s="41" t="s">
        <v>82</v>
      </c>
      <c r="AK205" s="41" t="s">
        <v>82</v>
      </c>
      <c r="AL205" s="41" t="s">
        <v>82</v>
      </c>
      <c r="AM205" s="41" t="s">
        <v>82</v>
      </c>
      <c r="AN205" s="41" t="s">
        <v>82</v>
      </c>
      <c r="AO205" s="41" t="s">
        <v>82</v>
      </c>
      <c r="AP205" s="41" t="s">
        <v>82</v>
      </c>
      <c r="AQ205" s="41" t="s">
        <v>82</v>
      </c>
      <c r="AR205" s="41" t="s">
        <v>82</v>
      </c>
      <c r="AS205" s="41" t="s">
        <v>82</v>
      </c>
      <c r="AT205" s="41" t="s">
        <v>82</v>
      </c>
      <c r="AU205" s="42" t="str">
        <f>IF('GNI per capita'!AU205&lt;=Thresholds!$C$44,"L",IF('GNI per capita'!AU205&lt;=Thresholds!$D$44,"LM",IF('GNI per capita'!AU205&lt;=Thresholds!$E$44,"UM","H")))</f>
        <v>UM</v>
      </c>
      <c r="AV205" s="42" t="str">
        <f>IF('GNI per capita'!AV205&lt;=Thresholds!$C$45,"L",IF('GNI per capita'!AV205&lt;=Thresholds!$D$45,"LM",IF('GNI per capita'!AV205&lt;=Thresholds!$E$45,"UM","H")))</f>
        <v>UM</v>
      </c>
      <c r="AW205" s="42" t="str">
        <f>IF('GNI per capita'!AW205&lt;=Thresholds!$C$46,"L",IF('GNI per capita'!AW205&lt;=Thresholds!$D$46,"LM",IF('GNI per capita'!AW205&lt;=Thresholds!$E$46,"UM","H")))</f>
        <v>UM</v>
      </c>
      <c r="AX205" s="42" t="str">
        <f>IF('GNI per capita'!AX205&lt;=Thresholds!$C$47,"L",IF('GNI per capita'!AX205&lt;=Thresholds!$D$47,"LM",IF('GNI per capita'!AX205&lt;=Thresholds!$E$47,"UM","H")))</f>
        <v>UM</v>
      </c>
      <c r="AY205" s="42" t="str">
        <f>IF('GNI per capita'!AY205&lt;=Thresholds!$C$48,"L",IF('GNI per capita'!AY205&lt;=Thresholds!$D$48,"LM",IF('GNI per capita'!AY205&lt;=Thresholds!$E$48,"UM","H")))</f>
        <v>UM</v>
      </c>
      <c r="AZ205" s="42" t="str">
        <f>IF('GNI per capita'!AZ205&lt;=Thresholds!$C$49,"L",IF('GNI per capita'!AZ205&lt;=Thresholds!$D$49,"LM",IF('GNI per capita'!AZ205&lt;=Thresholds!$E$49,"UM","H")))</f>
        <v>UM</v>
      </c>
      <c r="BA205" s="42" t="str">
        <f>IF('GNI per capita'!BA205&lt;=Thresholds!$C$50,"L",IF('GNI per capita'!BA205&lt;=Thresholds!$D$50,"LM",IF('GNI per capita'!BA205&lt;=Thresholds!$E$50,"UM","H")))</f>
        <v>UM</v>
      </c>
      <c r="BB205" s="42" t="str">
        <f>IF('GNI per capita'!BB205&lt;=Thresholds!$C$51,"L",IF('GNI per capita'!BB205&lt;=Thresholds!$D$51,"LM",IF('GNI per capita'!BB205&lt;=Thresholds!$E$51,"UM","H")))</f>
        <v>UM</v>
      </c>
      <c r="BC205" s="42" t="str">
        <f>IF('GNI per capita'!BC205&lt;=Thresholds!$C$52,"L",IF('GNI per capita'!BC205&lt;=Thresholds!$D$52,"LM",IF('GNI per capita'!BC205&lt;=Thresholds!$E$52,"UM","H")))</f>
        <v>UM</v>
      </c>
      <c r="BD205" s="42" t="str">
        <f>IF('GNI per capita'!BD205&lt;=Thresholds!$C$53,"L",IF('GNI per capita'!BD205&lt;=Thresholds!$D$53,"LM",IF('GNI per capita'!BD205&lt;=Thresholds!$E$53,"UM","H")))</f>
        <v>UM</v>
      </c>
      <c r="BE205" s="42" t="str">
        <f>IF('GNI per capita'!BE205&lt;=Thresholds!$C$54,"L",IF('GNI per capita'!BE205&lt;=Thresholds!$D$54,"LM",IF('GNI per capita'!BE205&lt;=Thresholds!$E$54,"UM","H")))</f>
        <v>UM</v>
      </c>
      <c r="BF205" s="42" t="str">
        <f>IF('GNI per capita'!BF205&lt;=Thresholds!$C$55,"L",IF('GNI per capita'!BF205&lt;=Thresholds!$D$55,"LM",IF('GNI per capita'!BF205&lt;=Thresholds!$E$55,"UM","H")))</f>
        <v>UM</v>
      </c>
      <c r="BG205" s="42" t="str">
        <f>IF('GNI per capita'!BG205&lt;=Thresholds!$C$56,"L",IF('GNI per capita'!BG205&lt;=Thresholds!$D$56,"LM",IF('GNI per capita'!BG205&lt;=Thresholds!$E$56,"UM","H")))</f>
        <v>UM</v>
      </c>
      <c r="BH205" s="42" t="str">
        <f>IF('GNI per capita'!BH205&lt;=Thresholds!$C$57,"L",IF('GNI per capita'!BH205&lt;=Thresholds!$D$57,"LM",IF('GNI per capita'!BH205&lt;=Thresholds!$E$57,"UM","H")))</f>
        <v>UM</v>
      </c>
      <c r="BI205" s="42" t="str">
        <f>IF('GNI per capita'!BI205&lt;=Thresholds!$C$58,"L",IF('GNI per capita'!BI205&lt;=Thresholds!$D$58,"LM",IF('GNI per capita'!BI205&lt;=Thresholds!$E$58,"UM","H")))</f>
        <v>UM</v>
      </c>
      <c r="BJ205" s="42" t="str">
        <f>IF('GNI per capita'!BJ205&lt;=Thresholds!$C$59,"L",IF('GNI per capita'!BJ205&lt;=Thresholds!$D$59,"LM",IF('GNI per capita'!BJ205&lt;=Thresholds!$E$59,"UM","H")))</f>
        <v>UM</v>
      </c>
      <c r="BK205" s="42" t="str">
        <f>IF('GNI per capita'!BK205&lt;=Thresholds!$C$60,"L",IF('GNI per capita'!BK205&lt;=Thresholds!$D$60,"LM",IF('GNI per capita'!BK205&lt;=Thresholds!$E$60,"UM","H")))</f>
        <v>UM</v>
      </c>
      <c r="BL205" s="42" t="str">
        <f>IF('GNI per capita'!BL205&lt;=Thresholds!$C$61,"L",IF('GNI per capita'!BL205&lt;=Thresholds!$D$61,"LM",IF('GNI per capita'!BL205&lt;=Thresholds!$E$61,"UM","H")))</f>
        <v>UM</v>
      </c>
      <c r="BM205" s="42" t="str">
        <f>IF('GNI per capita'!BM205&lt;=Thresholds!$C$62,"L",IF('GNI per capita'!BM205&lt;=Thresholds!$D$62,"LM",IF('GNI per capita'!BM205&lt;=Thresholds!$E$62,"UM","H")))</f>
        <v>H</v>
      </c>
      <c r="BN205" s="42" t="str">
        <f>IF('GNI per capita'!BN205&lt;=Thresholds!$C$63,"L",IF('GNI per capita'!BN205&lt;=Thresholds!$D$63,"LM",IF('GNI per capita'!BN205&lt;=Thresholds!$E$63,"UM","H")))</f>
        <v>H</v>
      </c>
      <c r="BO205" s="42" t="str">
        <f>IF('GNI per capita'!BO205&lt;=Thresholds!$C$64,"L",IF('GNI per capita'!BO205&lt;=Thresholds!$D$64,"LM",IF('GNI per capita'!BO205&lt;=Thresholds!$E$64,"UM","H")))</f>
        <v>H</v>
      </c>
      <c r="BP205" s="42" t="str">
        <f>IF('GNI per capita'!BP205&lt;=Thresholds!$C$65,"L",IF('GNI per capita'!BP205&lt;=Thresholds!$D$65,"LM",IF('GNI per capita'!BP205&lt;=Thresholds!$E$65,"UM","H")))</f>
        <v>H</v>
      </c>
      <c r="BQ205" s="42" t="str">
        <f>IF('GNI per capita'!BQ205&lt;=Thresholds!$C$66,"L",IF('GNI per capita'!BQ205&lt;=Thresholds!$D$66,"LM",IF('GNI per capita'!BQ205&lt;=Thresholds!$E$66,"UM","H")))</f>
        <v>H</v>
      </c>
      <c r="BR205" s="42" t="str">
        <f>IF('GNI per capita'!BR205&lt;=Thresholds!$C$67,"L",IF('GNI per capita'!BR205&lt;=Thresholds!$D$67,"LM",IF('GNI per capita'!BR205&lt;=Thresholds!$E$67,"UM","H")))</f>
        <v>H</v>
      </c>
      <c r="BS205" s="42" t="str">
        <f>IF('GNI per capita'!BS205&lt;=Thresholds!$C$68,"L",IF('GNI per capita'!BS205&lt;=Thresholds!$D$68,"LM",IF('GNI per capita'!BS205&lt;=Thresholds!$E$68,"UM","H")))</f>
        <v>H</v>
      </c>
    </row>
    <row r="206" spans="1:71" x14ac:dyDescent="0.2">
      <c r="A206" s="2" t="s">
        <v>645</v>
      </c>
      <c r="B206" s="2" t="s">
        <v>646</v>
      </c>
      <c r="C206" s="11" t="s">
        <v>82</v>
      </c>
      <c r="G206" s="2" t="s">
        <v>162</v>
      </c>
      <c r="H206" s="41" t="s">
        <v>210</v>
      </c>
      <c r="I206" s="41" t="s">
        <v>210</v>
      </c>
      <c r="J206" s="41" t="s">
        <v>210</v>
      </c>
      <c r="K206" s="41" t="s">
        <v>210</v>
      </c>
      <c r="L206" s="41" t="s">
        <v>210</v>
      </c>
      <c r="M206" s="41" t="s">
        <v>210</v>
      </c>
      <c r="N206" s="41" t="s">
        <v>210</v>
      </c>
      <c r="O206" s="41" t="s">
        <v>210</v>
      </c>
      <c r="P206" s="41" t="s">
        <v>210</v>
      </c>
      <c r="Q206" s="41" t="s">
        <v>210</v>
      </c>
      <c r="R206" s="41" t="s">
        <v>82</v>
      </c>
      <c r="S206" s="41" t="s">
        <v>82</v>
      </c>
      <c r="T206" s="41" t="s">
        <v>210</v>
      </c>
      <c r="U206" s="41" t="s">
        <v>82</v>
      </c>
      <c r="V206" s="41" t="s">
        <v>210</v>
      </c>
      <c r="W206" s="41" t="s">
        <v>210</v>
      </c>
      <c r="X206" s="41" t="s">
        <v>210</v>
      </c>
      <c r="Y206" s="41" t="s">
        <v>82</v>
      </c>
      <c r="Z206" s="41" t="s">
        <v>82</v>
      </c>
      <c r="AA206" s="41" t="s">
        <v>82</v>
      </c>
      <c r="AB206" s="41" t="s">
        <v>82</v>
      </c>
      <c r="AC206" s="41" t="s">
        <v>82</v>
      </c>
      <c r="AD206" s="41" t="s">
        <v>82</v>
      </c>
      <c r="AE206" s="41" t="s">
        <v>82</v>
      </c>
      <c r="AF206" s="41" t="s">
        <v>82</v>
      </c>
      <c r="AG206" s="41" t="s">
        <v>82</v>
      </c>
      <c r="AH206" s="41" t="s">
        <v>82</v>
      </c>
      <c r="AI206" s="41" t="s">
        <v>82</v>
      </c>
      <c r="AJ206" s="41" t="s">
        <v>82</v>
      </c>
      <c r="AK206" s="41" t="s">
        <v>82</v>
      </c>
      <c r="AL206" s="41" t="s">
        <v>82</v>
      </c>
      <c r="AM206" s="41" t="s">
        <v>82</v>
      </c>
      <c r="AN206" s="41" t="s">
        <v>82</v>
      </c>
      <c r="AO206" s="41" t="s">
        <v>82</v>
      </c>
      <c r="AP206" s="41" t="s">
        <v>82</v>
      </c>
      <c r="AQ206" s="41" t="s">
        <v>82</v>
      </c>
      <c r="AR206" s="41" t="s">
        <v>82</v>
      </c>
      <c r="AS206" s="41" t="s">
        <v>82</v>
      </c>
      <c r="AT206" s="41" t="s">
        <v>82</v>
      </c>
      <c r="AU206" s="42" t="str">
        <f>IF('GNI per capita'!AU206&lt;=Thresholds!$C$44,"L",IF('GNI per capita'!AU206&lt;=Thresholds!$D$44,"LM",IF('GNI per capita'!AU206&lt;=Thresholds!$E$44,"UM","H")))</f>
        <v>H</v>
      </c>
      <c r="AV206" s="42" t="str">
        <f>IF('GNI per capita'!AV206&lt;=Thresholds!$C$45,"L",IF('GNI per capita'!AV206&lt;=Thresholds!$D$45,"LM",IF('GNI per capita'!AV206&lt;=Thresholds!$E$45,"UM","H")))</f>
        <v>H</v>
      </c>
      <c r="AW206" s="42" t="str">
        <f>IF('GNI per capita'!AW206&lt;=Thresholds!$C$46,"L",IF('GNI per capita'!AW206&lt;=Thresholds!$D$46,"LM",IF('GNI per capita'!AW206&lt;=Thresholds!$E$46,"UM","H")))</f>
        <v>H</v>
      </c>
      <c r="AX206" s="42" t="str">
        <f>IF('GNI per capita'!AX206&lt;=Thresholds!$C$47,"L",IF('GNI per capita'!AX206&lt;=Thresholds!$D$47,"LM",IF('GNI per capita'!AX206&lt;=Thresholds!$E$47,"UM","H")))</f>
        <v>H</v>
      </c>
      <c r="AY206" s="42" t="str">
        <f>IF('GNI per capita'!AY206&lt;=Thresholds!$C$48,"L",IF('GNI per capita'!AY206&lt;=Thresholds!$D$48,"LM",IF('GNI per capita'!AY206&lt;=Thresholds!$E$48,"UM","H")))</f>
        <v>H</v>
      </c>
      <c r="AZ206" s="42" t="str">
        <f>IF('GNI per capita'!AZ206&lt;=Thresholds!$C$49,"L",IF('GNI per capita'!AZ206&lt;=Thresholds!$D$49,"LM",IF('GNI per capita'!AZ206&lt;=Thresholds!$E$49,"UM","H")))</f>
        <v>H</v>
      </c>
      <c r="BA206" s="42" t="str">
        <f>IF('GNI per capita'!BA206&lt;=Thresholds!$C$50,"L",IF('GNI per capita'!BA206&lt;=Thresholds!$D$50,"LM",IF('GNI per capita'!BA206&lt;=Thresholds!$E$50,"UM","H")))</f>
        <v>H</v>
      </c>
      <c r="BB206" s="42" t="str">
        <f>IF('GNI per capita'!BB206&lt;=Thresholds!$C$51,"L",IF('GNI per capita'!BB206&lt;=Thresholds!$D$51,"LM",IF('GNI per capita'!BB206&lt;=Thresholds!$E$51,"UM","H")))</f>
        <v>H</v>
      </c>
      <c r="BC206" s="42" t="str">
        <f>IF('GNI per capita'!BC206&lt;=Thresholds!$C$52,"L",IF('GNI per capita'!BC206&lt;=Thresholds!$D$52,"LM",IF('GNI per capita'!BC206&lt;=Thresholds!$E$52,"UM","H")))</f>
        <v>H</v>
      </c>
      <c r="BD206" s="42" t="str">
        <f>IF('GNI per capita'!BD206&lt;=Thresholds!$C$53,"L",IF('GNI per capita'!BD206&lt;=Thresholds!$D$53,"LM",IF('GNI per capita'!BD206&lt;=Thresholds!$E$53,"UM","H")))</f>
        <v>H</v>
      </c>
      <c r="BE206" s="42" t="str">
        <f>IF('GNI per capita'!BE206&lt;=Thresholds!$C$54,"L",IF('GNI per capita'!BE206&lt;=Thresholds!$D$54,"LM",IF('GNI per capita'!BE206&lt;=Thresholds!$E$54,"UM","H")))</f>
        <v>H</v>
      </c>
      <c r="BF206" s="42" t="str">
        <f>IF('GNI per capita'!BF206&lt;=Thresholds!$C$55,"L",IF('GNI per capita'!BF206&lt;=Thresholds!$D$55,"LM",IF('GNI per capita'!BF206&lt;=Thresholds!$E$55,"UM","H")))</f>
        <v>H</v>
      </c>
      <c r="BG206" s="42" t="str">
        <f>IF('GNI per capita'!BG206&lt;=Thresholds!$C$56,"L",IF('GNI per capita'!BG206&lt;=Thresholds!$D$56,"LM",IF('GNI per capita'!BG206&lt;=Thresholds!$E$56,"UM","H")))</f>
        <v>H</v>
      </c>
      <c r="BH206" s="42" t="str">
        <f>IF('GNI per capita'!BH206&lt;=Thresholds!$C$57,"L",IF('GNI per capita'!BH206&lt;=Thresholds!$D$57,"LM",IF('GNI per capita'!BH206&lt;=Thresholds!$E$57,"UM","H")))</f>
        <v>H</v>
      </c>
      <c r="BI206" s="42" t="str">
        <f>IF('GNI per capita'!BI206&lt;=Thresholds!$C$58,"L",IF('GNI per capita'!BI206&lt;=Thresholds!$D$58,"LM",IF('GNI per capita'!BI206&lt;=Thresholds!$E$58,"UM","H")))</f>
        <v>H</v>
      </c>
      <c r="BJ206" s="42" t="str">
        <f>IF('GNI per capita'!BJ206&lt;=Thresholds!$C$59,"L",IF('GNI per capita'!BJ206&lt;=Thresholds!$D$59,"LM",IF('GNI per capita'!BJ206&lt;=Thresholds!$E$59,"UM","H")))</f>
        <v>H</v>
      </c>
      <c r="BK206" s="42" t="str">
        <f>IF('GNI per capita'!BK206&lt;=Thresholds!$C$60,"L",IF('GNI per capita'!BK206&lt;=Thresholds!$D$60,"LM",IF('GNI per capita'!BK206&lt;=Thresholds!$E$60,"UM","H")))</f>
        <v>H</v>
      </c>
      <c r="BL206" s="42" t="str">
        <f>IF('GNI per capita'!BL206&lt;=Thresholds!$C$61,"L",IF('GNI per capita'!BL206&lt;=Thresholds!$D$61,"LM",IF('GNI per capita'!BL206&lt;=Thresholds!$E$61,"UM","H")))</f>
        <v>H</v>
      </c>
      <c r="BM206" s="42" t="str">
        <f>IF('GNI per capita'!BM206&lt;=Thresholds!$C$62,"L",IF('GNI per capita'!BM206&lt;=Thresholds!$D$62,"LM",IF('GNI per capita'!BM206&lt;=Thresholds!$E$62,"UM","H")))</f>
        <v>H</v>
      </c>
      <c r="BN206" s="42" t="str">
        <f>IF('GNI per capita'!BN206&lt;=Thresholds!$C$63,"L",IF('GNI per capita'!BN206&lt;=Thresholds!$D$63,"LM",IF('GNI per capita'!BN206&lt;=Thresholds!$E$63,"UM","H")))</f>
        <v>H</v>
      </c>
      <c r="BO206" s="42" t="str">
        <f>IF('GNI per capita'!BO206&lt;=Thresholds!$C$64,"L",IF('GNI per capita'!BO206&lt;=Thresholds!$D$64,"LM",IF('GNI per capita'!BO206&lt;=Thresholds!$E$64,"UM","H")))</f>
        <v>H</v>
      </c>
      <c r="BP206" s="42" t="str">
        <f>IF('GNI per capita'!BP206&lt;=Thresholds!$C$65,"L",IF('GNI per capita'!BP206&lt;=Thresholds!$D$65,"LM",IF('GNI per capita'!BP206&lt;=Thresholds!$E$65,"UM","H")))</f>
        <v>H</v>
      </c>
      <c r="BQ206" s="42" t="str">
        <f>IF('GNI per capita'!BQ206&lt;=Thresholds!$C$66,"L",IF('GNI per capita'!BQ206&lt;=Thresholds!$D$66,"LM",IF('GNI per capita'!BQ206&lt;=Thresholds!$E$66,"UM","H")))</f>
        <v>H</v>
      </c>
      <c r="BR206" s="42" t="str">
        <f>IF('GNI per capita'!BR206&lt;=Thresholds!$C$67,"L",IF('GNI per capita'!BR206&lt;=Thresholds!$D$67,"LM",IF('GNI per capita'!BR206&lt;=Thresholds!$E$67,"UM","H")))</f>
        <v>H</v>
      </c>
      <c r="BS206" s="42" t="str">
        <f>IF('GNI per capita'!BS206&lt;=Thresholds!$C$68,"L",IF('GNI per capita'!BS206&lt;=Thresholds!$D$68,"LM",IF('GNI per capita'!BS206&lt;=Thresholds!$E$68,"UM","H")))</f>
        <v>H</v>
      </c>
    </row>
    <row r="207" spans="1:71" x14ac:dyDescent="0.2">
      <c r="A207" s="2" t="s">
        <v>647</v>
      </c>
      <c r="B207" s="2" t="s">
        <v>648</v>
      </c>
      <c r="C207" s="11" t="s">
        <v>75</v>
      </c>
      <c r="G207" s="2" t="s">
        <v>162</v>
      </c>
      <c r="H207" s="41" t="s">
        <v>75</v>
      </c>
      <c r="I207" s="41" t="s">
        <v>75</v>
      </c>
      <c r="J207" s="41" t="s">
        <v>75</v>
      </c>
      <c r="K207" s="41" t="s">
        <v>75</v>
      </c>
      <c r="L207" s="41" t="s">
        <v>75</v>
      </c>
      <c r="M207" s="41" t="s">
        <v>75</v>
      </c>
      <c r="N207" s="41" t="s">
        <v>75</v>
      </c>
      <c r="O207" s="41" t="s">
        <v>75</v>
      </c>
      <c r="P207" s="41" t="s">
        <v>75</v>
      </c>
      <c r="Q207" s="41" t="s">
        <v>75</v>
      </c>
      <c r="R207" s="41" t="s">
        <v>75</v>
      </c>
      <c r="S207" s="41" t="s">
        <v>75</v>
      </c>
      <c r="T207" s="41" t="s">
        <v>75</v>
      </c>
      <c r="U207" s="41" t="s">
        <v>75</v>
      </c>
      <c r="V207" s="41" t="s">
        <v>75</v>
      </c>
      <c r="W207" s="41" t="s">
        <v>75</v>
      </c>
      <c r="X207" s="41" t="s">
        <v>75</v>
      </c>
      <c r="Y207" s="41" t="s">
        <v>75</v>
      </c>
      <c r="Z207" s="41" t="s">
        <v>75</v>
      </c>
      <c r="AA207" s="41" t="s">
        <v>75</v>
      </c>
      <c r="AB207" s="41" t="s">
        <v>75</v>
      </c>
      <c r="AC207" s="41" t="s">
        <v>75</v>
      </c>
      <c r="AD207" s="41" t="s">
        <v>75</v>
      </c>
      <c r="AE207" s="41" t="s">
        <v>75</v>
      </c>
      <c r="AF207" s="41" t="s">
        <v>75</v>
      </c>
      <c r="AG207" s="41" t="s">
        <v>75</v>
      </c>
      <c r="AH207" s="41" t="s">
        <v>75</v>
      </c>
      <c r="AI207" s="41" t="s">
        <v>75</v>
      </c>
      <c r="AJ207" s="41" t="s">
        <v>75</v>
      </c>
      <c r="AK207" s="41" t="s">
        <v>75</v>
      </c>
      <c r="AL207" s="41" t="s">
        <v>75</v>
      </c>
      <c r="AM207" s="41" t="s">
        <v>75</v>
      </c>
      <c r="AN207" s="41" t="s">
        <v>75</v>
      </c>
      <c r="AO207" s="41" t="s">
        <v>75</v>
      </c>
      <c r="AP207" s="41" t="s">
        <v>75</v>
      </c>
      <c r="AQ207" s="41" t="s">
        <v>75</v>
      </c>
      <c r="AR207" s="41" t="s">
        <v>75</v>
      </c>
      <c r="AS207" s="41" t="s">
        <v>75</v>
      </c>
      <c r="AT207" s="41" t="s">
        <v>75</v>
      </c>
      <c r="AU207" s="42" t="str">
        <f>IF('GNI per capita'!AU207&lt;=Thresholds!$C$44,"L",IF('GNI per capita'!AU207&lt;=Thresholds!$D$44,"LM",IF('GNI per capita'!AU207&lt;=Thresholds!$E$44,"UM","H")))</f>
        <v>L</v>
      </c>
      <c r="AV207" s="42" t="str">
        <f>IF('GNI per capita'!AV207&lt;=Thresholds!$C$45,"L",IF('GNI per capita'!AV207&lt;=Thresholds!$D$45,"LM",IF('GNI per capita'!AV207&lt;=Thresholds!$E$45,"UM","H")))</f>
        <v>LM</v>
      </c>
      <c r="AW207" s="42" t="str">
        <f>IF('GNI per capita'!AW207&lt;=Thresholds!$C$46,"L",IF('GNI per capita'!AW207&lt;=Thresholds!$D$46,"LM",IF('GNI per capita'!AW207&lt;=Thresholds!$E$46,"UM","H")))</f>
        <v>LM</v>
      </c>
      <c r="AX207" s="42" t="str">
        <f>IF('GNI per capita'!AX207&lt;=Thresholds!$C$47,"L",IF('GNI per capita'!AX207&lt;=Thresholds!$D$47,"LM",IF('GNI per capita'!AX207&lt;=Thresholds!$E$47,"UM","H")))</f>
        <v>LM</v>
      </c>
      <c r="AY207" s="42" t="str">
        <f>IF('GNI per capita'!AY207&lt;=Thresholds!$C$48,"L",IF('GNI per capita'!AY207&lt;=Thresholds!$D$48,"LM",IF('GNI per capita'!AY207&lt;=Thresholds!$E$48,"UM","H")))</f>
        <v>LM</v>
      </c>
      <c r="AZ207" s="42" t="str">
        <f>IF('GNI per capita'!AZ207&lt;=Thresholds!$C$49,"L",IF('GNI per capita'!AZ207&lt;=Thresholds!$D$49,"LM",IF('GNI per capita'!AZ207&lt;=Thresholds!$E$49,"UM","H")))</f>
        <v>LM</v>
      </c>
      <c r="BA207" s="42" t="str">
        <f>IF('GNI per capita'!BA207&lt;=Thresholds!$C$50,"L",IF('GNI per capita'!BA207&lt;=Thresholds!$D$50,"LM",IF('GNI per capita'!BA207&lt;=Thresholds!$E$50,"UM","H")))</f>
        <v>LM</v>
      </c>
      <c r="BB207" s="42" t="str">
        <f>IF('GNI per capita'!BB207&lt;=Thresholds!$C$51,"L",IF('GNI per capita'!BB207&lt;=Thresholds!$D$51,"LM",IF('GNI per capita'!BB207&lt;=Thresholds!$E$51,"UM","H")))</f>
        <v>LM</v>
      </c>
      <c r="BC207" s="42" t="str">
        <f>IF('GNI per capita'!BC207&lt;=Thresholds!$C$52,"L",IF('GNI per capita'!BC207&lt;=Thresholds!$D$52,"LM",IF('GNI per capita'!BC207&lt;=Thresholds!$E$52,"UM","H")))</f>
        <v>LM</v>
      </c>
      <c r="BD207" s="42" t="str">
        <f>IF('GNI per capita'!BD207&lt;=Thresholds!$C$53,"L",IF('GNI per capita'!BD207&lt;=Thresholds!$D$53,"LM",IF('GNI per capita'!BD207&lt;=Thresholds!$E$53,"UM","H")))</f>
        <v>LM</v>
      </c>
      <c r="BE207" s="42" t="str">
        <f>IF('GNI per capita'!BE207&lt;=Thresholds!$C$54,"L",IF('GNI per capita'!BE207&lt;=Thresholds!$D$54,"LM",IF('GNI per capita'!BE207&lt;=Thresholds!$E$54,"UM","H")))</f>
        <v>LM</v>
      </c>
      <c r="BF207" s="42" t="str">
        <f>IF('GNI per capita'!BF207&lt;=Thresholds!$C$55,"L",IF('GNI per capita'!BF207&lt;=Thresholds!$D$55,"LM",IF('GNI per capita'!BF207&lt;=Thresholds!$E$55,"UM","H")))</f>
        <v>LM</v>
      </c>
      <c r="BG207" s="42" t="str">
        <f>IF('GNI per capita'!BG207&lt;=Thresholds!$C$56,"L",IF('GNI per capita'!BG207&lt;=Thresholds!$D$56,"LM",IF('GNI per capita'!BG207&lt;=Thresholds!$E$56,"UM","H")))</f>
        <v>LM</v>
      </c>
      <c r="BH207" s="42" t="str">
        <f>IF('GNI per capita'!BH207&lt;=Thresholds!$C$57,"L",IF('GNI per capita'!BH207&lt;=Thresholds!$D$57,"LM",IF('GNI per capita'!BH207&lt;=Thresholds!$E$57,"UM","H")))</f>
        <v>LM</v>
      </c>
      <c r="BI207" s="42" t="str">
        <f>IF('GNI per capita'!BI207&lt;=Thresholds!$C$58,"L",IF('GNI per capita'!BI207&lt;=Thresholds!$D$58,"LM",IF('GNI per capita'!BI207&lt;=Thresholds!$E$58,"UM","H")))</f>
        <v>LM</v>
      </c>
      <c r="BJ207" s="42" t="str">
        <f>IF('GNI per capita'!BJ207&lt;=Thresholds!$C$59,"L",IF('GNI per capita'!BJ207&lt;=Thresholds!$D$59,"LM",IF('GNI per capita'!BJ207&lt;=Thresholds!$E$59,"UM","H")))</f>
        <v>LM</v>
      </c>
      <c r="BK207" s="42" t="str">
        <f>IF('GNI per capita'!BK207&lt;=Thresholds!$C$60,"L",IF('GNI per capita'!BK207&lt;=Thresholds!$D$60,"LM",IF('GNI per capita'!BK207&lt;=Thresholds!$E$60,"UM","H")))</f>
        <v>LM</v>
      </c>
      <c r="BL207" s="42" t="str">
        <f>IF('GNI per capita'!BL207&lt;=Thresholds!$C$61,"L",IF('GNI per capita'!BL207&lt;=Thresholds!$D$61,"LM",IF('GNI per capita'!BL207&lt;=Thresholds!$E$61,"UM","H")))</f>
        <v>LM</v>
      </c>
      <c r="BM207" s="42" t="str">
        <f>IF('GNI per capita'!BM207&lt;=Thresholds!$C$62,"L",IF('GNI per capita'!BM207&lt;=Thresholds!$D$62,"LM",IF('GNI per capita'!BM207&lt;=Thresholds!$E$62,"UM","H")))</f>
        <v>LM</v>
      </c>
      <c r="BN207" s="42" t="str">
        <f>IF('GNI per capita'!BN207&lt;=Thresholds!$C$63,"L",IF('GNI per capita'!BN207&lt;=Thresholds!$D$63,"LM",IF('GNI per capita'!BN207&lt;=Thresholds!$E$63,"UM","H")))</f>
        <v>LM</v>
      </c>
      <c r="BO207" s="42" t="str">
        <f>IF('GNI per capita'!BO207&lt;=Thresholds!$C$64,"L",IF('GNI per capita'!BO207&lt;=Thresholds!$D$64,"LM",IF('GNI per capita'!BO207&lt;=Thresholds!$E$64,"UM","H")))</f>
        <v>LM</v>
      </c>
      <c r="BP207" s="42" t="str">
        <f>IF('GNI per capita'!BP207&lt;=Thresholds!$C$65,"L",IF('GNI per capita'!BP207&lt;=Thresholds!$D$65,"LM",IF('GNI per capita'!BP207&lt;=Thresholds!$E$65,"UM","H")))</f>
        <v>LM</v>
      </c>
      <c r="BQ207" s="42" t="str">
        <f>IF('GNI per capita'!BQ207&lt;=Thresholds!$C$66,"L",IF('GNI per capita'!BQ207&lt;=Thresholds!$D$66,"LM",IF('GNI per capita'!BQ207&lt;=Thresholds!$E$66,"UM","H")))</f>
        <v>LM</v>
      </c>
      <c r="BR207" s="42" t="str">
        <f>IF('GNI per capita'!BR207&lt;=Thresholds!$C$67,"L",IF('GNI per capita'!BR207&lt;=Thresholds!$D$67,"LM",IF('GNI per capita'!BR207&lt;=Thresholds!$E$67,"UM","H")))</f>
        <v>LM</v>
      </c>
      <c r="BS207" s="42" t="str">
        <f>IF('GNI per capita'!BS207&lt;=Thresholds!$C$68,"L",IF('GNI per capita'!BS207&lt;=Thresholds!$D$68,"LM",IF('GNI per capita'!BS207&lt;=Thresholds!$E$68,"UM","H")))</f>
        <v>LM</v>
      </c>
    </row>
    <row r="208" spans="1:71" x14ac:dyDescent="0.2">
      <c r="A208" s="2" t="s">
        <v>649</v>
      </c>
      <c r="B208" s="2" t="s">
        <v>650</v>
      </c>
      <c r="C208" s="11" t="s">
        <v>82</v>
      </c>
      <c r="G208" s="2" t="s">
        <v>162</v>
      </c>
      <c r="H208" s="41"/>
      <c r="I208" s="41"/>
      <c r="J208" s="41"/>
      <c r="K208" s="41"/>
      <c r="L208" s="41" t="s">
        <v>210</v>
      </c>
      <c r="M208" s="41" t="s">
        <v>210</v>
      </c>
      <c r="N208" s="41" t="s">
        <v>210</v>
      </c>
      <c r="O208" s="41" t="s">
        <v>210</v>
      </c>
      <c r="P208" s="41" t="s">
        <v>210</v>
      </c>
      <c r="Q208" s="41" t="s">
        <v>210</v>
      </c>
      <c r="R208" s="41" t="s">
        <v>210</v>
      </c>
      <c r="S208" s="41" t="s">
        <v>210</v>
      </c>
      <c r="T208" s="41" t="s">
        <v>75</v>
      </c>
      <c r="U208" s="41" t="s">
        <v>75</v>
      </c>
      <c r="V208" s="41" t="s">
        <v>75</v>
      </c>
      <c r="W208" s="41" t="s">
        <v>210</v>
      </c>
      <c r="X208" s="41" t="s">
        <v>210</v>
      </c>
      <c r="Y208" s="41" t="s">
        <v>210</v>
      </c>
      <c r="Z208" s="41" t="s">
        <v>210</v>
      </c>
      <c r="AA208" s="41" t="s">
        <v>210</v>
      </c>
      <c r="AB208" s="41" t="s">
        <v>210</v>
      </c>
      <c r="AC208" s="41" t="s">
        <v>210</v>
      </c>
      <c r="AD208" s="41" t="s">
        <v>210</v>
      </c>
      <c r="AE208" s="41" t="s">
        <v>210</v>
      </c>
      <c r="AF208" s="41" t="s">
        <v>210</v>
      </c>
      <c r="AG208" s="41" t="s">
        <v>210</v>
      </c>
      <c r="AH208" s="41" t="s">
        <v>210</v>
      </c>
      <c r="AI208" s="41" t="s">
        <v>210</v>
      </c>
      <c r="AJ208" s="41" t="s">
        <v>210</v>
      </c>
      <c r="AK208" s="41" t="s">
        <v>210</v>
      </c>
      <c r="AL208" s="41" t="s">
        <v>210</v>
      </c>
      <c r="AM208" s="41" t="s">
        <v>210</v>
      </c>
      <c r="AN208" s="41" t="s">
        <v>210</v>
      </c>
      <c r="AO208" s="41" t="s">
        <v>210</v>
      </c>
      <c r="AP208" s="41" t="s">
        <v>210</v>
      </c>
      <c r="AQ208" s="41" t="s">
        <v>210</v>
      </c>
      <c r="AR208" s="41" t="s">
        <v>82</v>
      </c>
      <c r="AS208" s="41" t="s">
        <v>82</v>
      </c>
      <c r="AT208" s="41" t="s">
        <v>82</v>
      </c>
      <c r="AU208" s="42" t="str">
        <f>IF('GNI per capita'!AU208&lt;=Thresholds!$C$44,"L",IF('GNI per capita'!AU208&lt;=Thresholds!$D$44,"LM",IF('GNI per capita'!AU208&lt;=Thresholds!$E$44,"UM","H")))</f>
        <v>UM</v>
      </c>
      <c r="AV208" s="42" t="str">
        <f>IF('GNI per capita'!AV208&lt;=Thresholds!$C$45,"L",IF('GNI per capita'!AV208&lt;=Thresholds!$D$45,"LM",IF('GNI per capita'!AV208&lt;=Thresholds!$E$45,"UM","H")))</f>
        <v>UM</v>
      </c>
      <c r="AW208" s="42" t="str">
        <f>IF('GNI per capita'!AW208&lt;=Thresholds!$C$46,"L",IF('GNI per capita'!AW208&lt;=Thresholds!$D$46,"LM",IF('GNI per capita'!AW208&lt;=Thresholds!$E$46,"UM","H")))</f>
        <v>UM</v>
      </c>
      <c r="AX208" s="42" t="str">
        <f>IF('GNI per capita'!AX208&lt;=Thresholds!$C$47,"L",IF('GNI per capita'!AX208&lt;=Thresholds!$D$47,"LM",IF('GNI per capita'!AX208&lt;=Thresholds!$E$47,"UM","H")))</f>
        <v>UM</v>
      </c>
      <c r="AY208" s="42" t="str">
        <f>IF('GNI per capita'!AY208&lt;=Thresholds!$C$48,"L",IF('GNI per capita'!AY208&lt;=Thresholds!$D$48,"LM",IF('GNI per capita'!AY208&lt;=Thresholds!$E$48,"UM","H")))</f>
        <v>UM</v>
      </c>
      <c r="AZ208" s="42" t="str">
        <f>IF('GNI per capita'!AZ208&lt;=Thresholds!$C$49,"L",IF('GNI per capita'!AZ208&lt;=Thresholds!$D$49,"LM",IF('GNI per capita'!AZ208&lt;=Thresholds!$E$49,"UM","H")))</f>
        <v>UM</v>
      </c>
      <c r="BA208" s="42" t="str">
        <f>IF('GNI per capita'!BA208&lt;=Thresholds!$C$50,"L",IF('GNI per capita'!BA208&lt;=Thresholds!$D$50,"LM",IF('GNI per capita'!BA208&lt;=Thresholds!$E$50,"UM","H")))</f>
        <v>UM</v>
      </c>
      <c r="BB208" s="42" t="str">
        <f>IF('GNI per capita'!BB208&lt;=Thresholds!$C$51,"L",IF('GNI per capita'!BB208&lt;=Thresholds!$D$51,"LM",IF('GNI per capita'!BB208&lt;=Thresholds!$E$51,"UM","H")))</f>
        <v>UM</v>
      </c>
      <c r="BC208" s="42" t="str">
        <f>IF('GNI per capita'!BC208&lt;=Thresholds!$C$52,"L",IF('GNI per capita'!BC208&lt;=Thresholds!$D$52,"LM",IF('GNI per capita'!BC208&lt;=Thresholds!$E$52,"UM","H")))</f>
        <v>UM</v>
      </c>
      <c r="BD208" s="42" t="str">
        <f>IF('GNI per capita'!BD208&lt;=Thresholds!$C$53,"L",IF('GNI per capita'!BD208&lt;=Thresholds!$D$53,"LM",IF('GNI per capita'!BD208&lt;=Thresholds!$E$53,"UM","H")))</f>
        <v>UM</v>
      </c>
      <c r="BE208" s="42" t="str">
        <f>IF('GNI per capita'!BE208&lt;=Thresholds!$C$54,"L",IF('GNI per capita'!BE208&lt;=Thresholds!$D$54,"LM",IF('GNI per capita'!BE208&lt;=Thresholds!$E$54,"UM","H")))</f>
        <v>UM</v>
      </c>
      <c r="BF208" s="42" t="str">
        <f>IF('GNI per capita'!BF208&lt;=Thresholds!$C$55,"L",IF('GNI per capita'!BF208&lt;=Thresholds!$D$55,"LM",IF('GNI per capita'!BF208&lt;=Thresholds!$E$55,"UM","H")))</f>
        <v>UM</v>
      </c>
      <c r="BG208" s="42" t="str">
        <f>IF('GNI per capita'!BG208&lt;=Thresholds!$C$56,"L",IF('GNI per capita'!BG208&lt;=Thresholds!$D$56,"LM",IF('GNI per capita'!BG208&lt;=Thresholds!$E$56,"UM","H")))</f>
        <v>UM</v>
      </c>
      <c r="BH208" s="42" t="str">
        <f>IF('GNI per capita'!BH208&lt;=Thresholds!$C$57,"L",IF('GNI per capita'!BH208&lt;=Thresholds!$D$57,"LM",IF('GNI per capita'!BH208&lt;=Thresholds!$E$57,"UM","H")))</f>
        <v>UM</v>
      </c>
      <c r="BI208" s="42" t="str">
        <f>IF('GNI per capita'!BI208&lt;=Thresholds!$C$58,"L",IF('GNI per capita'!BI208&lt;=Thresholds!$D$58,"LM",IF('GNI per capita'!BI208&lt;=Thresholds!$E$58,"UM","H")))</f>
        <v>UM</v>
      </c>
      <c r="BJ208" s="42" t="str">
        <f>IF('GNI per capita'!BJ208&lt;=Thresholds!$C$59,"L",IF('GNI per capita'!BJ208&lt;=Thresholds!$D$59,"LM",IF('GNI per capita'!BJ208&lt;=Thresholds!$E$59,"UM","H")))</f>
        <v>UM</v>
      </c>
      <c r="BK208" s="42" t="str">
        <f>IF('GNI per capita'!BK208&lt;=Thresholds!$C$60,"L",IF('GNI per capita'!BK208&lt;=Thresholds!$D$60,"LM",IF('GNI per capita'!BK208&lt;=Thresholds!$E$60,"UM","H")))</f>
        <v>UM</v>
      </c>
      <c r="BL208" s="42" t="str">
        <f>IF('GNI per capita'!BL208&lt;=Thresholds!$C$61,"L",IF('GNI per capita'!BL208&lt;=Thresholds!$D$61,"LM",IF('GNI per capita'!BL208&lt;=Thresholds!$E$61,"UM","H")))</f>
        <v>UM</v>
      </c>
      <c r="BM208" s="42" t="str">
        <f>IF('GNI per capita'!BM208&lt;=Thresholds!$C$62,"L",IF('GNI per capita'!BM208&lt;=Thresholds!$D$62,"LM",IF('GNI per capita'!BM208&lt;=Thresholds!$E$62,"UM","H")))</f>
        <v>H</v>
      </c>
      <c r="BN208" s="42" t="str">
        <f>IF('GNI per capita'!BN208&lt;=Thresholds!$C$63,"L",IF('GNI per capita'!BN208&lt;=Thresholds!$D$63,"LM",IF('GNI per capita'!BN208&lt;=Thresholds!$E$63,"UM","H")))</f>
        <v>H</v>
      </c>
      <c r="BO208" s="42" t="str">
        <f>IF('GNI per capita'!BO208&lt;=Thresholds!$C$64,"L",IF('GNI per capita'!BO208&lt;=Thresholds!$D$64,"LM",IF('GNI per capita'!BO208&lt;=Thresholds!$E$64,"UM","H")))</f>
        <v>H</v>
      </c>
      <c r="BP208" s="42" t="str">
        <f>IF('GNI per capita'!BP208&lt;=Thresholds!$C$65,"L",IF('GNI per capita'!BP208&lt;=Thresholds!$D$65,"LM",IF('GNI per capita'!BP208&lt;=Thresholds!$E$65,"UM","H")))</f>
        <v>H</v>
      </c>
      <c r="BQ208" s="42" t="str">
        <f>IF('GNI per capita'!BQ208&lt;=Thresholds!$C$66,"L",IF('GNI per capita'!BQ208&lt;=Thresholds!$D$66,"LM",IF('GNI per capita'!BQ208&lt;=Thresholds!$E$66,"UM","H")))</f>
        <v>H</v>
      </c>
      <c r="BR208" s="42" t="str">
        <f>IF('GNI per capita'!BR208&lt;=Thresholds!$C$67,"L",IF('GNI per capita'!BR208&lt;=Thresholds!$D$67,"LM",IF('GNI per capita'!BR208&lt;=Thresholds!$E$67,"UM","H")))</f>
        <v>H</v>
      </c>
      <c r="BS208" s="42" t="str">
        <f>IF('GNI per capita'!BS208&lt;=Thresholds!$C$68,"L",IF('GNI per capita'!BS208&lt;=Thresholds!$D$68,"LM",IF('GNI per capita'!BS208&lt;=Thresholds!$E$68,"UM","H")))</f>
        <v>H</v>
      </c>
    </row>
    <row r="209" spans="1:71" x14ac:dyDescent="0.2">
      <c r="A209" s="2" t="s">
        <v>651</v>
      </c>
      <c r="B209" s="2" t="s">
        <v>652</v>
      </c>
      <c r="C209" s="11" t="s">
        <v>79</v>
      </c>
      <c r="G209" s="2" t="s">
        <v>162</v>
      </c>
      <c r="H209" s="41" t="s">
        <v>79</v>
      </c>
      <c r="I209" s="41" t="s">
        <v>79</v>
      </c>
      <c r="J209" s="41" t="s">
        <v>79</v>
      </c>
      <c r="K209" s="41" t="s">
        <v>79</v>
      </c>
      <c r="L209" s="41" t="s">
        <v>79</v>
      </c>
      <c r="M209" s="41" t="s">
        <v>79</v>
      </c>
      <c r="N209" s="41" t="s">
        <v>79</v>
      </c>
      <c r="O209" s="41" t="s">
        <v>79</v>
      </c>
      <c r="P209" s="41" t="s">
        <v>79</v>
      </c>
      <c r="Q209" s="41" t="s">
        <v>79</v>
      </c>
      <c r="R209" s="41" t="s">
        <v>79</v>
      </c>
      <c r="S209" s="41" t="s">
        <v>79</v>
      </c>
      <c r="T209" s="41" t="s">
        <v>79</v>
      </c>
      <c r="U209" s="41" t="s">
        <v>79</v>
      </c>
      <c r="V209" s="41" t="s">
        <v>79</v>
      </c>
      <c r="W209" s="41" t="s">
        <v>79</v>
      </c>
      <c r="X209" s="41" t="s">
        <v>79</v>
      </c>
      <c r="Y209" s="41" t="s">
        <v>79</v>
      </c>
      <c r="Z209" s="41" t="s">
        <v>79</v>
      </c>
      <c r="AA209" s="41" t="s">
        <v>79</v>
      </c>
      <c r="AB209" s="41" t="s">
        <v>79</v>
      </c>
      <c r="AC209" s="41" t="s">
        <v>79</v>
      </c>
      <c r="AD209" s="41" t="s">
        <v>79</v>
      </c>
      <c r="AE209" s="41" t="s">
        <v>79</v>
      </c>
      <c r="AF209" s="41" t="s">
        <v>79</v>
      </c>
      <c r="AG209" s="41" t="s">
        <v>79</v>
      </c>
      <c r="AH209" s="41" t="s">
        <v>79</v>
      </c>
      <c r="AI209" s="41" t="s">
        <v>79</v>
      </c>
      <c r="AJ209" s="41" t="s">
        <v>79</v>
      </c>
      <c r="AK209" s="41" t="s">
        <v>79</v>
      </c>
      <c r="AL209" s="41" t="s">
        <v>79</v>
      </c>
      <c r="AM209" s="41" t="s">
        <v>79</v>
      </c>
      <c r="AN209" s="41" t="s">
        <v>79</v>
      </c>
      <c r="AO209" s="41" t="s">
        <v>79</v>
      </c>
      <c r="AP209" s="41" t="s">
        <v>79</v>
      </c>
      <c r="AQ209" s="41" t="s">
        <v>79</v>
      </c>
      <c r="AR209" s="41" t="s">
        <v>79</v>
      </c>
      <c r="AS209" s="41" t="s">
        <v>79</v>
      </c>
      <c r="AT209" s="41" t="s">
        <v>79</v>
      </c>
      <c r="AU209" s="42" t="str">
        <f>IF('GNI per capita'!AU209&lt;=Thresholds!$C$44,"L",IF('GNI per capita'!AU209&lt;=Thresholds!$D$44,"LM",IF('GNI per capita'!AU209&lt;=Thresholds!$E$44,"UM","H")))</f>
        <v>H</v>
      </c>
      <c r="AV209" s="42" t="str">
        <f>IF('GNI per capita'!AV209&lt;=Thresholds!$C$45,"L",IF('GNI per capita'!AV209&lt;=Thresholds!$D$45,"LM",IF('GNI per capita'!AV209&lt;=Thresholds!$E$45,"UM","H")))</f>
        <v>H</v>
      </c>
      <c r="AW209" s="42" t="str">
        <f>IF('GNI per capita'!AW209&lt;=Thresholds!$C$46,"L",IF('GNI per capita'!AW209&lt;=Thresholds!$D$46,"LM",IF('GNI per capita'!AW209&lt;=Thresholds!$E$46,"UM","H")))</f>
        <v>H</v>
      </c>
      <c r="AX209" s="42" t="str">
        <f>IF('GNI per capita'!AX209&lt;=Thresholds!$C$47,"L",IF('GNI per capita'!AX209&lt;=Thresholds!$D$47,"LM",IF('GNI per capita'!AX209&lt;=Thresholds!$E$47,"UM","H")))</f>
        <v>H</v>
      </c>
      <c r="AY209" s="42" t="str">
        <f>IF('GNI per capita'!AY209&lt;=Thresholds!$C$48,"L",IF('GNI per capita'!AY209&lt;=Thresholds!$D$48,"LM",IF('GNI per capita'!AY209&lt;=Thresholds!$E$48,"UM","H")))</f>
        <v>H</v>
      </c>
      <c r="AZ209" s="42" t="str">
        <f>IF('GNI per capita'!AZ209&lt;=Thresholds!$C$49,"L",IF('GNI per capita'!AZ209&lt;=Thresholds!$D$49,"LM",IF('GNI per capita'!AZ209&lt;=Thresholds!$E$49,"UM","H")))</f>
        <v>H</v>
      </c>
      <c r="BA209" s="42" t="str">
        <f>IF('GNI per capita'!BA209&lt;=Thresholds!$C$50,"L",IF('GNI per capita'!BA209&lt;=Thresholds!$D$50,"LM",IF('GNI per capita'!BA209&lt;=Thresholds!$E$50,"UM","H")))</f>
        <v>H</v>
      </c>
      <c r="BB209" s="42" t="str">
        <f>IF('GNI per capita'!BB209&lt;=Thresholds!$C$51,"L",IF('GNI per capita'!BB209&lt;=Thresholds!$D$51,"LM",IF('GNI per capita'!BB209&lt;=Thresholds!$E$51,"UM","H")))</f>
        <v>H</v>
      </c>
      <c r="BC209" s="42" t="str">
        <f>IF('GNI per capita'!BC209&lt;=Thresholds!$C$52,"L",IF('GNI per capita'!BC209&lt;=Thresholds!$D$52,"LM",IF('GNI per capita'!BC209&lt;=Thresholds!$E$52,"UM","H")))</f>
        <v>H</v>
      </c>
      <c r="BD209" s="42" t="str">
        <f>IF('GNI per capita'!BD209&lt;=Thresholds!$C$53,"L",IF('GNI per capita'!BD209&lt;=Thresholds!$D$53,"LM",IF('GNI per capita'!BD209&lt;=Thresholds!$E$53,"UM","H")))</f>
        <v>H</v>
      </c>
      <c r="BE209" s="42" t="str">
        <f>IF('GNI per capita'!BE209&lt;=Thresholds!$C$54,"L",IF('GNI per capita'!BE209&lt;=Thresholds!$D$54,"LM",IF('GNI per capita'!BE209&lt;=Thresholds!$E$54,"UM","H")))</f>
        <v>H</v>
      </c>
      <c r="BF209" s="42" t="str">
        <f>IF('GNI per capita'!BF209&lt;=Thresholds!$C$55,"L",IF('GNI per capita'!BF209&lt;=Thresholds!$D$55,"LM",IF('GNI per capita'!BF209&lt;=Thresholds!$E$55,"UM","H")))</f>
        <v>H</v>
      </c>
      <c r="BG209" s="42" t="str">
        <f>IF('GNI per capita'!BG209&lt;=Thresholds!$C$56,"L",IF('GNI per capita'!BG209&lt;=Thresholds!$D$56,"LM",IF('GNI per capita'!BG209&lt;=Thresholds!$E$56,"UM","H")))</f>
        <v>H</v>
      </c>
      <c r="BH209" s="42" t="str">
        <f>IF('GNI per capita'!BH209&lt;=Thresholds!$C$57,"L",IF('GNI per capita'!BH209&lt;=Thresholds!$D$57,"LM",IF('GNI per capita'!BH209&lt;=Thresholds!$E$57,"UM","H")))</f>
        <v>H</v>
      </c>
      <c r="BI209" s="42" t="str">
        <f>IF('GNI per capita'!BI209&lt;=Thresholds!$C$58,"L",IF('GNI per capita'!BI209&lt;=Thresholds!$D$58,"LM",IF('GNI per capita'!BI209&lt;=Thresholds!$E$58,"UM","H")))</f>
        <v>H</v>
      </c>
      <c r="BJ209" s="42" t="str">
        <f>IF('GNI per capita'!BJ209&lt;=Thresholds!$C$59,"L",IF('GNI per capita'!BJ209&lt;=Thresholds!$D$59,"LM",IF('GNI per capita'!BJ209&lt;=Thresholds!$E$59,"UM","H")))</f>
        <v>H</v>
      </c>
      <c r="BK209" s="42" t="str">
        <f>IF('GNI per capita'!BK209&lt;=Thresholds!$C$60,"L",IF('GNI per capita'!BK209&lt;=Thresholds!$D$60,"LM",IF('GNI per capita'!BK209&lt;=Thresholds!$E$60,"UM","H")))</f>
        <v>H</v>
      </c>
      <c r="BL209" s="42" t="str">
        <f>IF('GNI per capita'!BL209&lt;=Thresholds!$C$61,"L",IF('GNI per capita'!BL209&lt;=Thresholds!$D$61,"LM",IF('GNI per capita'!BL209&lt;=Thresholds!$E$61,"UM","H")))</f>
        <v>H</v>
      </c>
      <c r="BM209" s="42" t="str">
        <f>IF('GNI per capita'!BM209&lt;=Thresholds!$C$62,"L",IF('GNI per capita'!BM209&lt;=Thresholds!$D$62,"LM",IF('GNI per capita'!BM209&lt;=Thresholds!$E$62,"UM","H")))</f>
        <v>H</v>
      </c>
      <c r="BN209" s="42" t="str">
        <f>IF('GNI per capita'!BN209&lt;=Thresholds!$C$63,"L",IF('GNI per capita'!BN209&lt;=Thresholds!$D$63,"LM",IF('GNI per capita'!BN209&lt;=Thresholds!$E$63,"UM","H")))</f>
        <v>H</v>
      </c>
      <c r="BO209" s="42" t="str">
        <f>IF('GNI per capita'!BO209&lt;=Thresholds!$C$64,"L",IF('GNI per capita'!BO209&lt;=Thresholds!$D$64,"LM",IF('GNI per capita'!BO209&lt;=Thresholds!$E$64,"UM","H")))</f>
        <v>H</v>
      </c>
      <c r="BP209" s="42" t="str">
        <f>IF('GNI per capita'!BP209&lt;=Thresholds!$C$65,"L",IF('GNI per capita'!BP209&lt;=Thresholds!$D$65,"LM",IF('GNI per capita'!BP209&lt;=Thresholds!$E$65,"UM","H")))</f>
        <v>H</v>
      </c>
      <c r="BQ209" s="42" t="str">
        <f>IF('GNI per capita'!BQ209&lt;=Thresholds!$C$66,"L",IF('GNI per capita'!BQ209&lt;=Thresholds!$D$66,"LM",IF('GNI per capita'!BQ209&lt;=Thresholds!$E$66,"UM","H")))</f>
        <v>H</v>
      </c>
      <c r="BR209" s="42" t="str">
        <f>IF('GNI per capita'!BR209&lt;=Thresholds!$C$67,"L",IF('GNI per capita'!BR209&lt;=Thresholds!$D$67,"LM",IF('GNI per capita'!BR209&lt;=Thresholds!$E$67,"UM","H")))</f>
        <v>H</v>
      </c>
      <c r="BS209" s="42" t="str">
        <f>IF('GNI per capita'!BS209&lt;=Thresholds!$C$68,"L",IF('GNI per capita'!BS209&lt;=Thresholds!$D$68,"LM",IF('GNI per capita'!BS209&lt;=Thresholds!$E$68,"UM","H")))</f>
        <v>H</v>
      </c>
    </row>
    <row r="210" spans="1:71" x14ac:dyDescent="0.2">
      <c r="A210" s="2" t="s">
        <v>653</v>
      </c>
      <c r="B210" s="2" t="s">
        <v>654</v>
      </c>
      <c r="C210" s="11" t="s">
        <v>79</v>
      </c>
      <c r="G210" s="2" t="s">
        <v>412</v>
      </c>
      <c r="H210" s="41" t="s">
        <v>79</v>
      </c>
      <c r="I210" s="41" t="s">
        <v>79</v>
      </c>
      <c r="J210" s="41" t="s">
        <v>79</v>
      </c>
      <c r="K210" s="41" t="s">
        <v>79</v>
      </c>
      <c r="L210" s="41" t="s">
        <v>79</v>
      </c>
      <c r="M210" s="41" t="s">
        <v>79</v>
      </c>
      <c r="N210" s="41" t="s">
        <v>79</v>
      </c>
      <c r="O210" s="41" t="s">
        <v>79</v>
      </c>
      <c r="P210" s="41" t="s">
        <v>79</v>
      </c>
      <c r="Q210" s="41" t="s">
        <v>79</v>
      </c>
      <c r="R210" s="41" t="s">
        <v>79</v>
      </c>
      <c r="S210" s="41" t="s">
        <v>79</v>
      </c>
      <c r="T210" s="41" t="s">
        <v>79</v>
      </c>
      <c r="U210" s="41" t="s">
        <v>79</v>
      </c>
      <c r="V210" s="41" t="s">
        <v>79</v>
      </c>
      <c r="W210" s="41" t="s">
        <v>79</v>
      </c>
      <c r="X210" s="41" t="s">
        <v>79</v>
      </c>
      <c r="Y210" s="41" t="s">
        <v>79</v>
      </c>
      <c r="Z210" s="41" t="s">
        <v>79</v>
      </c>
      <c r="AA210" s="41" t="s">
        <v>79</v>
      </c>
      <c r="AB210" s="41" t="s">
        <v>79</v>
      </c>
      <c r="AC210" s="41" t="s">
        <v>79</v>
      </c>
      <c r="AD210" s="41" t="s">
        <v>79</v>
      </c>
      <c r="AE210" s="41" t="s">
        <v>79</v>
      </c>
      <c r="AF210" s="41" t="s">
        <v>79</v>
      </c>
      <c r="AG210" s="41" t="s">
        <v>79</v>
      </c>
      <c r="AH210" s="41" t="s">
        <v>79</v>
      </c>
      <c r="AI210" s="41" t="s">
        <v>79</v>
      </c>
      <c r="AJ210" s="41" t="s">
        <v>79</v>
      </c>
      <c r="AK210" s="41" t="s">
        <v>79</v>
      </c>
      <c r="AL210" s="41" t="s">
        <v>79</v>
      </c>
      <c r="AM210" s="41" t="s">
        <v>79</v>
      </c>
      <c r="AN210" s="41" t="s">
        <v>79</v>
      </c>
      <c r="AO210" s="41" t="s">
        <v>79</v>
      </c>
      <c r="AP210" s="41" t="s">
        <v>79</v>
      </c>
      <c r="AQ210" s="41" t="s">
        <v>79</v>
      </c>
      <c r="AR210" s="41" t="s">
        <v>79</v>
      </c>
      <c r="AS210" s="41" t="s">
        <v>79</v>
      </c>
      <c r="AT210" s="41" t="s">
        <v>79</v>
      </c>
      <c r="AU210" s="42" t="str">
        <f>IF('GNI per capita'!AU210&lt;=Thresholds!$C$44,"L",IF('GNI per capita'!AU210&lt;=Thresholds!$D$44,"LM",IF('GNI per capita'!AU210&lt;=Thresholds!$E$44,"UM","H")))</f>
        <v>H</v>
      </c>
      <c r="AV210" s="42" t="str">
        <f>IF('GNI per capita'!AV210&lt;=Thresholds!$C$45,"L",IF('GNI per capita'!AV210&lt;=Thresholds!$D$45,"LM",IF('GNI per capita'!AV210&lt;=Thresholds!$E$45,"UM","H")))</f>
        <v>H</v>
      </c>
      <c r="AW210" s="42" t="str">
        <f>IF('GNI per capita'!AW210&lt;=Thresholds!$C$46,"L",IF('GNI per capita'!AW210&lt;=Thresholds!$D$46,"LM",IF('GNI per capita'!AW210&lt;=Thresholds!$E$46,"UM","H")))</f>
        <v>H</v>
      </c>
      <c r="AX210" s="42" t="str">
        <f>IF('GNI per capita'!AX210&lt;=Thresholds!$C$47,"L",IF('GNI per capita'!AX210&lt;=Thresholds!$D$47,"LM",IF('GNI per capita'!AX210&lt;=Thresholds!$E$47,"UM","H")))</f>
        <v>H</v>
      </c>
      <c r="AY210" s="42" t="str">
        <f>IF('GNI per capita'!AY210&lt;=Thresholds!$C$48,"L",IF('GNI per capita'!AY210&lt;=Thresholds!$D$48,"LM",IF('GNI per capita'!AY210&lt;=Thresholds!$E$48,"UM","H")))</f>
        <v>H</v>
      </c>
      <c r="AZ210" s="42" t="str">
        <f>IF('GNI per capita'!AZ210&lt;=Thresholds!$C$49,"L",IF('GNI per capita'!AZ210&lt;=Thresholds!$D$49,"LM",IF('GNI per capita'!AZ210&lt;=Thresholds!$E$49,"UM","H")))</f>
        <v>H</v>
      </c>
      <c r="BA210" s="42" t="str">
        <f>IF('GNI per capita'!BA210&lt;=Thresholds!$C$50,"L",IF('GNI per capita'!BA210&lt;=Thresholds!$D$50,"LM",IF('GNI per capita'!BA210&lt;=Thresholds!$E$50,"UM","H")))</f>
        <v>H</v>
      </c>
      <c r="BB210" s="42" t="str">
        <f>IF('GNI per capita'!BB210&lt;=Thresholds!$C$51,"L",IF('GNI per capita'!BB210&lt;=Thresholds!$D$51,"LM",IF('GNI per capita'!BB210&lt;=Thresholds!$E$51,"UM","H")))</f>
        <v>H</v>
      </c>
      <c r="BC210" s="42" t="str">
        <f>IF('GNI per capita'!BC210&lt;=Thresholds!$C$52,"L",IF('GNI per capita'!BC210&lt;=Thresholds!$D$52,"LM",IF('GNI per capita'!BC210&lt;=Thresholds!$E$52,"UM","H")))</f>
        <v>H</v>
      </c>
      <c r="BD210" s="42" t="str">
        <f>IF('GNI per capita'!BD210&lt;=Thresholds!$C$53,"L",IF('GNI per capita'!BD210&lt;=Thresholds!$D$53,"LM",IF('GNI per capita'!BD210&lt;=Thresholds!$E$53,"UM","H")))</f>
        <v>H</v>
      </c>
      <c r="BE210" s="42" t="str">
        <f>IF('GNI per capita'!BE210&lt;=Thresholds!$C$54,"L",IF('GNI per capita'!BE210&lt;=Thresholds!$D$54,"LM",IF('GNI per capita'!BE210&lt;=Thresholds!$E$54,"UM","H")))</f>
        <v>H</v>
      </c>
      <c r="BF210" s="42" t="str">
        <f>IF('GNI per capita'!BF210&lt;=Thresholds!$C$55,"L",IF('GNI per capita'!BF210&lt;=Thresholds!$D$55,"LM",IF('GNI per capita'!BF210&lt;=Thresholds!$E$55,"UM","H")))</f>
        <v>H</v>
      </c>
      <c r="BG210" s="42" t="str">
        <f>IF('GNI per capita'!BG210&lt;=Thresholds!$C$56,"L",IF('GNI per capita'!BG210&lt;=Thresholds!$D$56,"LM",IF('GNI per capita'!BG210&lt;=Thresholds!$E$56,"UM","H")))</f>
        <v>H</v>
      </c>
      <c r="BH210" s="42" t="str">
        <f>IF('GNI per capita'!BH210&lt;=Thresholds!$C$57,"L",IF('GNI per capita'!BH210&lt;=Thresholds!$D$57,"LM",IF('GNI per capita'!BH210&lt;=Thresholds!$E$57,"UM","H")))</f>
        <v>H</v>
      </c>
      <c r="BI210" s="42" t="str">
        <f>IF('GNI per capita'!BI210&lt;=Thresholds!$C$58,"L",IF('GNI per capita'!BI210&lt;=Thresholds!$D$58,"LM",IF('GNI per capita'!BI210&lt;=Thresholds!$E$58,"UM","H")))</f>
        <v>H</v>
      </c>
      <c r="BJ210" s="42" t="str">
        <f>IF('GNI per capita'!BJ210&lt;=Thresholds!$C$59,"L",IF('GNI per capita'!BJ210&lt;=Thresholds!$D$59,"LM",IF('GNI per capita'!BJ210&lt;=Thresholds!$E$59,"UM","H")))</f>
        <v>H</v>
      </c>
      <c r="BK210" s="42" t="str">
        <f>IF('GNI per capita'!BK210&lt;=Thresholds!$C$60,"L",IF('GNI per capita'!BK210&lt;=Thresholds!$D$60,"LM",IF('GNI per capita'!BK210&lt;=Thresholds!$E$60,"UM","H")))</f>
        <v>H</v>
      </c>
      <c r="BL210" s="42" t="str">
        <f>IF('GNI per capita'!BL210&lt;=Thresholds!$C$61,"L",IF('GNI per capita'!BL210&lt;=Thresholds!$D$61,"LM",IF('GNI per capita'!BL210&lt;=Thresholds!$E$61,"UM","H")))</f>
        <v>H</v>
      </c>
      <c r="BM210" s="42" t="str">
        <f>IF('GNI per capita'!BM210&lt;=Thresholds!$C$62,"L",IF('GNI per capita'!BM210&lt;=Thresholds!$D$62,"LM",IF('GNI per capita'!BM210&lt;=Thresholds!$E$62,"UM","H")))</f>
        <v>H</v>
      </c>
      <c r="BN210" s="42" t="str">
        <f>IF('GNI per capita'!BN210&lt;=Thresholds!$C$63,"L",IF('GNI per capita'!BN210&lt;=Thresholds!$D$63,"LM",IF('GNI per capita'!BN210&lt;=Thresholds!$E$63,"UM","H")))</f>
        <v>H</v>
      </c>
      <c r="BO210" s="42" t="str">
        <f>IF('GNI per capita'!BO210&lt;=Thresholds!$C$64,"L",IF('GNI per capita'!BO210&lt;=Thresholds!$D$64,"LM",IF('GNI per capita'!BO210&lt;=Thresholds!$E$64,"UM","H")))</f>
        <v>H</v>
      </c>
      <c r="BP210" s="42" t="str">
        <f>IF('GNI per capita'!BP210&lt;=Thresholds!$C$65,"L",IF('GNI per capita'!BP210&lt;=Thresholds!$D$65,"LM",IF('GNI per capita'!BP210&lt;=Thresholds!$E$65,"UM","H")))</f>
        <v>H</v>
      </c>
      <c r="BQ210" s="42" t="str">
        <f>IF('GNI per capita'!BQ210&lt;=Thresholds!$C$66,"L",IF('GNI per capita'!BQ210&lt;=Thresholds!$D$66,"LM",IF('GNI per capita'!BQ210&lt;=Thresholds!$E$66,"UM","H")))</f>
        <v>H</v>
      </c>
      <c r="BR210" s="42" t="str">
        <f>IF('GNI per capita'!BR210&lt;=Thresholds!$C$67,"L",IF('GNI per capita'!BR210&lt;=Thresholds!$D$67,"LM",IF('GNI per capita'!BR210&lt;=Thresholds!$E$67,"UM","H")))</f>
        <v>H</v>
      </c>
      <c r="BS210" s="42" t="str">
        <f>IF('GNI per capita'!BS210&lt;=Thresholds!$C$68,"L",IF('GNI per capita'!BS210&lt;=Thresholds!$D$68,"LM",IF('GNI per capita'!BS210&lt;=Thresholds!$E$68,"UM","H")))</f>
        <v>H</v>
      </c>
    </row>
    <row r="211" spans="1:71" x14ac:dyDescent="0.2">
      <c r="A211" s="2" t="s">
        <v>655</v>
      </c>
      <c r="B211" s="2" t="s">
        <v>656</v>
      </c>
      <c r="C211" s="11" t="s">
        <v>79</v>
      </c>
      <c r="G211" s="2" t="s">
        <v>162</v>
      </c>
      <c r="H211" s="41" t="s">
        <v>79</v>
      </c>
      <c r="I211" s="41" t="s">
        <v>79</v>
      </c>
      <c r="J211" s="41" t="s">
        <v>79</v>
      </c>
      <c r="K211" s="41" t="s">
        <v>79</v>
      </c>
      <c r="L211" s="41" t="s">
        <v>79</v>
      </c>
      <c r="M211" s="41" t="s">
        <v>79</v>
      </c>
      <c r="N211" s="41" t="s">
        <v>79</v>
      </c>
      <c r="O211" s="41" t="s">
        <v>79</v>
      </c>
      <c r="P211" s="41" t="s">
        <v>79</v>
      </c>
      <c r="Q211" s="41" t="s">
        <v>79</v>
      </c>
      <c r="R211" s="41" t="s">
        <v>79</v>
      </c>
      <c r="S211" s="41" t="s">
        <v>79</v>
      </c>
      <c r="T211" s="41" t="s">
        <v>79</v>
      </c>
      <c r="U211" s="41" t="s">
        <v>79</v>
      </c>
      <c r="V211" s="41" t="s">
        <v>79</v>
      </c>
      <c r="W211" s="41" t="s">
        <v>79</v>
      </c>
      <c r="X211" s="41" t="s">
        <v>79</v>
      </c>
      <c r="Y211" s="41" t="s">
        <v>79</v>
      </c>
      <c r="Z211" s="41" t="s">
        <v>79</v>
      </c>
      <c r="AA211" s="41" t="s">
        <v>79</v>
      </c>
      <c r="AB211" s="41" t="s">
        <v>79</v>
      </c>
      <c r="AC211" s="41" t="s">
        <v>79</v>
      </c>
      <c r="AD211" s="41" t="s">
        <v>79</v>
      </c>
      <c r="AE211" s="41" t="s">
        <v>79</v>
      </c>
      <c r="AF211" s="41" t="s">
        <v>79</v>
      </c>
      <c r="AG211" s="41" t="s">
        <v>79</v>
      </c>
      <c r="AH211" s="41" t="s">
        <v>79</v>
      </c>
      <c r="AI211" s="41" t="s">
        <v>79</v>
      </c>
      <c r="AJ211" s="41" t="s">
        <v>79</v>
      </c>
      <c r="AK211" s="41" t="s">
        <v>79</v>
      </c>
      <c r="AL211" s="41" t="s">
        <v>79</v>
      </c>
      <c r="AM211" s="41" t="s">
        <v>79</v>
      </c>
      <c r="AN211" s="41" t="s">
        <v>79</v>
      </c>
      <c r="AO211" s="41" t="s">
        <v>79</v>
      </c>
      <c r="AP211" s="41" t="s">
        <v>79</v>
      </c>
      <c r="AQ211" s="41" t="s">
        <v>79</v>
      </c>
      <c r="AR211" s="41" t="s">
        <v>79</v>
      </c>
      <c r="AS211" s="41" t="s">
        <v>79</v>
      </c>
      <c r="AT211" s="41" t="s">
        <v>79</v>
      </c>
      <c r="AU211" s="42" t="str">
        <f>IF('GNI per capita'!AU211&lt;=Thresholds!$C$44,"L",IF('GNI per capita'!AU211&lt;=Thresholds!$D$44,"LM",IF('GNI per capita'!AU211&lt;=Thresholds!$E$44,"UM","H")))</f>
        <v>H</v>
      </c>
      <c r="AV211" s="42" t="str">
        <f>IF('GNI per capita'!AV211&lt;=Thresholds!$C$45,"L",IF('GNI per capita'!AV211&lt;=Thresholds!$D$45,"LM",IF('GNI per capita'!AV211&lt;=Thresholds!$E$45,"UM","H")))</f>
        <v>H</v>
      </c>
      <c r="AW211" s="42" t="str">
        <f>IF('GNI per capita'!AW211&lt;=Thresholds!$C$46,"L",IF('GNI per capita'!AW211&lt;=Thresholds!$D$46,"LM",IF('GNI per capita'!AW211&lt;=Thresholds!$E$46,"UM","H")))</f>
        <v>H</v>
      </c>
      <c r="AX211" s="42" t="str">
        <f>IF('GNI per capita'!AX211&lt;=Thresholds!$C$47,"L",IF('GNI per capita'!AX211&lt;=Thresholds!$D$47,"LM",IF('GNI per capita'!AX211&lt;=Thresholds!$E$47,"UM","H")))</f>
        <v>H</v>
      </c>
      <c r="AY211" s="42" t="str">
        <f>IF('GNI per capita'!AY211&lt;=Thresholds!$C$48,"L",IF('GNI per capita'!AY211&lt;=Thresholds!$D$48,"LM",IF('GNI per capita'!AY211&lt;=Thresholds!$E$48,"UM","H")))</f>
        <v>H</v>
      </c>
      <c r="AZ211" s="42" t="str">
        <f>IF('GNI per capita'!AZ211&lt;=Thresholds!$C$49,"L",IF('GNI per capita'!AZ211&lt;=Thresholds!$D$49,"LM",IF('GNI per capita'!AZ211&lt;=Thresholds!$E$49,"UM","H")))</f>
        <v>H</v>
      </c>
      <c r="BA211" s="42" t="str">
        <f>IF('GNI per capita'!BA211&lt;=Thresholds!$C$50,"L",IF('GNI per capita'!BA211&lt;=Thresholds!$D$50,"LM",IF('GNI per capita'!BA211&lt;=Thresholds!$E$50,"UM","H")))</f>
        <v>H</v>
      </c>
      <c r="BB211" s="42" t="str">
        <f>IF('GNI per capita'!BB211&lt;=Thresholds!$C$51,"L",IF('GNI per capita'!BB211&lt;=Thresholds!$D$51,"LM",IF('GNI per capita'!BB211&lt;=Thresholds!$E$51,"UM","H")))</f>
        <v>H</v>
      </c>
      <c r="BC211" s="42" t="str">
        <f>IF('GNI per capita'!BC211&lt;=Thresholds!$C$52,"L",IF('GNI per capita'!BC211&lt;=Thresholds!$D$52,"LM",IF('GNI per capita'!BC211&lt;=Thresholds!$E$52,"UM","H")))</f>
        <v>H</v>
      </c>
      <c r="BD211" s="42" t="str">
        <f>IF('GNI per capita'!BD211&lt;=Thresholds!$C$53,"L",IF('GNI per capita'!BD211&lt;=Thresholds!$D$53,"LM",IF('GNI per capita'!BD211&lt;=Thresholds!$E$53,"UM","H")))</f>
        <v>H</v>
      </c>
      <c r="BE211" s="42" t="str">
        <f>IF('GNI per capita'!BE211&lt;=Thresholds!$C$54,"L",IF('GNI per capita'!BE211&lt;=Thresholds!$D$54,"LM",IF('GNI per capita'!BE211&lt;=Thresholds!$E$54,"UM","H")))</f>
        <v>H</v>
      </c>
      <c r="BF211" s="42" t="str">
        <f>IF('GNI per capita'!BF211&lt;=Thresholds!$C$55,"L",IF('GNI per capita'!BF211&lt;=Thresholds!$D$55,"LM",IF('GNI per capita'!BF211&lt;=Thresholds!$E$55,"UM","H")))</f>
        <v>H</v>
      </c>
      <c r="BG211" s="42" t="str">
        <f>IF('GNI per capita'!BG211&lt;=Thresholds!$C$56,"L",IF('GNI per capita'!BG211&lt;=Thresholds!$D$56,"LM",IF('GNI per capita'!BG211&lt;=Thresholds!$E$56,"UM","H")))</f>
        <v>H</v>
      </c>
      <c r="BH211" s="42" t="str">
        <f>IF('GNI per capita'!BH211&lt;=Thresholds!$C$57,"L",IF('GNI per capita'!BH211&lt;=Thresholds!$D$57,"LM",IF('GNI per capita'!BH211&lt;=Thresholds!$E$57,"UM","H")))</f>
        <v>H</v>
      </c>
      <c r="BI211" s="42" t="str">
        <f>IF('GNI per capita'!BI211&lt;=Thresholds!$C$58,"L",IF('GNI per capita'!BI211&lt;=Thresholds!$D$58,"LM",IF('GNI per capita'!BI211&lt;=Thresholds!$E$58,"UM","H")))</f>
        <v>H</v>
      </c>
      <c r="BJ211" s="42" t="str">
        <f>IF('GNI per capita'!BJ211&lt;=Thresholds!$C$59,"L",IF('GNI per capita'!BJ211&lt;=Thresholds!$D$59,"LM",IF('GNI per capita'!BJ211&lt;=Thresholds!$E$59,"UM","H")))</f>
        <v>H</v>
      </c>
      <c r="BK211" s="42" t="str">
        <f>IF('GNI per capita'!BK211&lt;=Thresholds!$C$60,"L",IF('GNI per capita'!BK211&lt;=Thresholds!$D$60,"LM",IF('GNI per capita'!BK211&lt;=Thresholds!$E$60,"UM","H")))</f>
        <v>H</v>
      </c>
      <c r="BL211" s="42" t="str">
        <f>IF('GNI per capita'!BL211&lt;=Thresholds!$C$61,"L",IF('GNI per capita'!BL211&lt;=Thresholds!$D$61,"LM",IF('GNI per capita'!BL211&lt;=Thresholds!$E$61,"UM","H")))</f>
        <v>H</v>
      </c>
      <c r="BM211" s="42" t="str">
        <f>IF('GNI per capita'!BM211&lt;=Thresholds!$C$62,"L",IF('GNI per capita'!BM211&lt;=Thresholds!$D$62,"LM",IF('GNI per capita'!BM211&lt;=Thresholds!$E$62,"UM","H")))</f>
        <v>H</v>
      </c>
      <c r="BN211" s="42" t="str">
        <f>IF('GNI per capita'!BN211&lt;=Thresholds!$C$63,"L",IF('GNI per capita'!BN211&lt;=Thresholds!$D$63,"LM",IF('GNI per capita'!BN211&lt;=Thresholds!$E$63,"UM","H")))</f>
        <v>H</v>
      </c>
      <c r="BO211" s="42" t="str">
        <f>IF('GNI per capita'!BO211&lt;=Thresholds!$C$64,"L",IF('GNI per capita'!BO211&lt;=Thresholds!$D$64,"LM",IF('GNI per capita'!BO211&lt;=Thresholds!$E$64,"UM","H")))</f>
        <v>H</v>
      </c>
      <c r="BP211" s="42" t="str">
        <f>IF('GNI per capita'!BP211&lt;=Thresholds!$C$65,"L",IF('GNI per capita'!BP211&lt;=Thresholds!$D$65,"LM",IF('GNI per capita'!BP211&lt;=Thresholds!$E$65,"UM","H")))</f>
        <v>H</v>
      </c>
      <c r="BQ211" s="42" t="str">
        <f>IF('GNI per capita'!BQ211&lt;=Thresholds!$C$66,"L",IF('GNI per capita'!BQ211&lt;=Thresholds!$D$66,"LM",IF('GNI per capita'!BQ211&lt;=Thresholds!$E$66,"UM","H")))</f>
        <v>H</v>
      </c>
      <c r="BR211" s="42" t="str">
        <f>IF('GNI per capita'!BR211&lt;=Thresholds!$C$67,"L",IF('GNI per capita'!BR211&lt;=Thresholds!$D$67,"LM",IF('GNI per capita'!BR211&lt;=Thresholds!$E$67,"UM","H")))</f>
        <v>H</v>
      </c>
      <c r="BS211" s="42" t="str">
        <f>IF('GNI per capita'!BS211&lt;=Thresholds!$C$68,"L",IF('GNI per capita'!BS211&lt;=Thresholds!$D$68,"LM",IF('GNI per capita'!BS211&lt;=Thresholds!$E$68,"UM","H")))</f>
        <v>H</v>
      </c>
    </row>
    <row r="212" spans="1:71" x14ac:dyDescent="0.2">
      <c r="A212" s="2" t="s">
        <v>657</v>
      </c>
      <c r="B212" s="2" t="s">
        <v>658</v>
      </c>
      <c r="C212" s="11" t="s">
        <v>79</v>
      </c>
      <c r="G212" s="2" t="s">
        <v>162</v>
      </c>
      <c r="H212" s="41" t="s">
        <v>82</v>
      </c>
      <c r="I212" s="41" t="s">
        <v>82</v>
      </c>
      <c r="J212" s="41" t="s">
        <v>82</v>
      </c>
      <c r="K212" s="41" t="s">
        <v>82</v>
      </c>
      <c r="L212" s="41" t="s">
        <v>82</v>
      </c>
      <c r="M212" s="41" t="s">
        <v>82</v>
      </c>
      <c r="N212" s="41" t="s">
        <v>82</v>
      </c>
      <c r="O212" s="41" t="s">
        <v>82</v>
      </c>
      <c r="P212" s="41" t="s">
        <v>82</v>
      </c>
      <c r="Q212" s="41" t="s">
        <v>82</v>
      </c>
      <c r="R212" s="41" t="s">
        <v>82</v>
      </c>
      <c r="S212" s="41" t="s">
        <v>82</v>
      </c>
      <c r="T212" s="41" t="s">
        <v>82</v>
      </c>
      <c r="U212" s="41" t="s">
        <v>82</v>
      </c>
      <c r="V212" s="41" t="s">
        <v>82</v>
      </c>
      <c r="W212" s="41" t="s">
        <v>82</v>
      </c>
      <c r="X212" s="41" t="s">
        <v>82</v>
      </c>
      <c r="Y212" s="41" t="s">
        <v>82</v>
      </c>
      <c r="Z212" s="41" t="s">
        <v>82</v>
      </c>
      <c r="AA212" s="41" t="s">
        <v>82</v>
      </c>
      <c r="AB212" s="41" t="s">
        <v>82</v>
      </c>
      <c r="AC212" s="41" t="s">
        <v>82</v>
      </c>
      <c r="AD212" s="41" t="s">
        <v>82</v>
      </c>
      <c r="AE212" s="41" t="s">
        <v>82</v>
      </c>
      <c r="AF212" s="41" t="s">
        <v>82</v>
      </c>
      <c r="AG212" s="41" t="s">
        <v>79</v>
      </c>
      <c r="AH212" s="41" t="s">
        <v>79</v>
      </c>
      <c r="AI212" s="41" t="s">
        <v>79</v>
      </c>
      <c r="AJ212" s="41" t="s">
        <v>79</v>
      </c>
      <c r="AK212" s="41" t="s">
        <v>79</v>
      </c>
      <c r="AL212" s="41" t="s">
        <v>79</v>
      </c>
      <c r="AM212" s="41" t="s">
        <v>79</v>
      </c>
      <c r="AN212" s="41" t="s">
        <v>79</v>
      </c>
      <c r="AO212" s="41" t="s">
        <v>79</v>
      </c>
      <c r="AP212" s="41" t="s">
        <v>79</v>
      </c>
      <c r="AQ212" s="41" t="s">
        <v>79</v>
      </c>
      <c r="AR212" s="41" t="s">
        <v>79</v>
      </c>
      <c r="AS212" s="41" t="s">
        <v>79</v>
      </c>
      <c r="AT212" s="41" t="s">
        <v>79</v>
      </c>
      <c r="AU212" s="42" t="str">
        <f>IF('GNI per capita'!AU212&lt;=Thresholds!$C$44,"L",IF('GNI per capita'!AU212&lt;=Thresholds!$D$44,"LM",IF('GNI per capita'!AU212&lt;=Thresholds!$E$44,"UM","H")))</f>
        <v>H</v>
      </c>
      <c r="AV212" s="42" t="str">
        <f>IF('GNI per capita'!AV212&lt;=Thresholds!$C$45,"L",IF('GNI per capita'!AV212&lt;=Thresholds!$D$45,"LM",IF('GNI per capita'!AV212&lt;=Thresholds!$E$45,"UM","H")))</f>
        <v>H</v>
      </c>
      <c r="AW212" s="42" t="str">
        <f>IF('GNI per capita'!AW212&lt;=Thresholds!$C$46,"L",IF('GNI per capita'!AW212&lt;=Thresholds!$D$46,"LM",IF('GNI per capita'!AW212&lt;=Thresholds!$E$46,"UM","H")))</f>
        <v>H</v>
      </c>
      <c r="AX212" s="42" t="str">
        <f>IF('GNI per capita'!AX212&lt;=Thresholds!$C$47,"L",IF('GNI per capita'!AX212&lt;=Thresholds!$D$47,"LM",IF('GNI per capita'!AX212&lt;=Thresholds!$E$47,"UM","H")))</f>
        <v>H</v>
      </c>
      <c r="AY212" s="42" t="str">
        <f>IF('GNI per capita'!AY212&lt;=Thresholds!$C$48,"L",IF('GNI per capita'!AY212&lt;=Thresholds!$D$48,"LM",IF('GNI per capita'!AY212&lt;=Thresholds!$E$48,"UM","H")))</f>
        <v>H</v>
      </c>
      <c r="AZ212" s="42" t="str">
        <f>IF('GNI per capita'!AZ212&lt;=Thresholds!$C$49,"L",IF('GNI per capita'!AZ212&lt;=Thresholds!$D$49,"LM",IF('GNI per capita'!AZ212&lt;=Thresholds!$E$49,"UM","H")))</f>
        <v>H</v>
      </c>
      <c r="BA212" s="42" t="str">
        <f>IF('GNI per capita'!BA212&lt;=Thresholds!$C$50,"L",IF('GNI per capita'!BA212&lt;=Thresholds!$D$50,"LM",IF('GNI per capita'!BA212&lt;=Thresholds!$E$50,"UM","H")))</f>
        <v>H</v>
      </c>
      <c r="BB212" s="42" t="str">
        <f>IF('GNI per capita'!BB212&lt;=Thresholds!$C$51,"L",IF('GNI per capita'!BB212&lt;=Thresholds!$D$51,"LM",IF('GNI per capita'!BB212&lt;=Thresholds!$E$51,"UM","H")))</f>
        <v>H</v>
      </c>
      <c r="BC212" s="42" t="str">
        <f>IF('GNI per capita'!BC212&lt;=Thresholds!$C$52,"L",IF('GNI per capita'!BC212&lt;=Thresholds!$D$52,"LM",IF('GNI per capita'!BC212&lt;=Thresholds!$E$52,"UM","H")))</f>
        <v>H</v>
      </c>
      <c r="BD212" s="42" t="str">
        <f>IF('GNI per capita'!BD212&lt;=Thresholds!$C$53,"L",IF('GNI per capita'!BD212&lt;=Thresholds!$D$53,"LM",IF('GNI per capita'!BD212&lt;=Thresholds!$E$53,"UM","H")))</f>
        <v>H</v>
      </c>
      <c r="BE212" s="42" t="str">
        <f>IF('GNI per capita'!BE212&lt;=Thresholds!$C$54,"L",IF('GNI per capita'!BE212&lt;=Thresholds!$D$54,"LM",IF('GNI per capita'!BE212&lt;=Thresholds!$E$54,"UM","H")))</f>
        <v>H</v>
      </c>
      <c r="BF212" s="42" t="str">
        <f>IF('GNI per capita'!BF212&lt;=Thresholds!$C$55,"L",IF('GNI per capita'!BF212&lt;=Thresholds!$D$55,"LM",IF('GNI per capita'!BF212&lt;=Thresholds!$E$55,"UM","H")))</f>
        <v>H</v>
      </c>
      <c r="BG212" s="42" t="str">
        <f>IF('GNI per capita'!BG212&lt;=Thresholds!$C$56,"L",IF('GNI per capita'!BG212&lt;=Thresholds!$D$56,"LM",IF('GNI per capita'!BG212&lt;=Thresholds!$E$56,"UM","H")))</f>
        <v>H</v>
      </c>
      <c r="BH212" s="42" t="str">
        <f>IF('GNI per capita'!BH212&lt;=Thresholds!$C$57,"L",IF('GNI per capita'!BH212&lt;=Thresholds!$D$57,"LM",IF('GNI per capita'!BH212&lt;=Thresholds!$E$57,"UM","H")))</f>
        <v>H</v>
      </c>
      <c r="BI212" s="42" t="str">
        <f>IF('GNI per capita'!BI212&lt;=Thresholds!$C$58,"L",IF('GNI per capita'!BI212&lt;=Thresholds!$D$58,"LM",IF('GNI per capita'!BI212&lt;=Thresholds!$E$58,"UM","H")))</f>
        <v>H</v>
      </c>
      <c r="BJ212" s="42" t="str">
        <f>IF('GNI per capita'!BJ212&lt;=Thresholds!$C$59,"L",IF('GNI per capita'!BJ212&lt;=Thresholds!$D$59,"LM",IF('GNI per capita'!BJ212&lt;=Thresholds!$E$59,"UM","H")))</f>
        <v>H</v>
      </c>
      <c r="BK212" s="42" t="str">
        <f>IF('GNI per capita'!BK212&lt;=Thresholds!$C$60,"L",IF('GNI per capita'!BK212&lt;=Thresholds!$D$60,"LM",IF('GNI per capita'!BK212&lt;=Thresholds!$E$60,"UM","H")))</f>
        <v>H</v>
      </c>
      <c r="BL212" s="42" t="str">
        <f>IF('GNI per capita'!BL212&lt;=Thresholds!$C$61,"L",IF('GNI per capita'!BL212&lt;=Thresholds!$D$61,"LM",IF('GNI per capita'!BL212&lt;=Thresholds!$E$61,"UM","H")))</f>
        <v>H</v>
      </c>
      <c r="BM212" s="42" t="str">
        <f>IF('GNI per capita'!BM212&lt;=Thresholds!$C$62,"L",IF('GNI per capita'!BM212&lt;=Thresholds!$D$62,"LM",IF('GNI per capita'!BM212&lt;=Thresholds!$E$62,"UM","H")))</f>
        <v>H</v>
      </c>
      <c r="BN212" s="42" t="str">
        <f>IF('GNI per capita'!BN212&lt;=Thresholds!$C$63,"L",IF('GNI per capita'!BN212&lt;=Thresholds!$D$63,"LM",IF('GNI per capita'!BN212&lt;=Thresholds!$E$63,"UM","H")))</f>
        <v>H</v>
      </c>
      <c r="BO212" s="42" t="str">
        <f>IF('GNI per capita'!BO212&lt;=Thresholds!$C$64,"L",IF('GNI per capita'!BO212&lt;=Thresholds!$D$64,"LM",IF('GNI per capita'!BO212&lt;=Thresholds!$E$64,"UM","H")))</f>
        <v>H</v>
      </c>
      <c r="BP212" s="42" t="str">
        <f>IF('GNI per capita'!BP212&lt;=Thresholds!$C$65,"L",IF('GNI per capita'!BP212&lt;=Thresholds!$D$65,"LM",IF('GNI per capita'!BP212&lt;=Thresholds!$E$65,"UM","H")))</f>
        <v>H</v>
      </c>
      <c r="BQ212" s="42" t="str">
        <f>IF('GNI per capita'!BQ212&lt;=Thresholds!$C$66,"L",IF('GNI per capita'!BQ212&lt;=Thresholds!$D$66,"LM",IF('GNI per capita'!BQ212&lt;=Thresholds!$E$66,"UM","H")))</f>
        <v>H</v>
      </c>
      <c r="BR212" s="42" t="str">
        <f>IF('GNI per capita'!BR212&lt;=Thresholds!$C$67,"L",IF('GNI per capita'!BR212&lt;=Thresholds!$D$67,"LM",IF('GNI per capita'!BR212&lt;=Thresholds!$E$67,"UM","H")))</f>
        <v>H</v>
      </c>
      <c r="BS212" s="42" t="str">
        <f>IF('GNI per capita'!BS212&lt;=Thresholds!$C$68,"L",IF('GNI per capita'!BS212&lt;=Thresholds!$D$68,"LM",IF('GNI per capita'!BS212&lt;=Thresholds!$E$68,"UM","H")))</f>
        <v>H</v>
      </c>
    </row>
    <row r="213" spans="1:71" x14ac:dyDescent="0.2">
      <c r="A213" s="2" t="s">
        <v>659</v>
      </c>
      <c r="B213" s="2" t="s">
        <v>660</v>
      </c>
      <c r="C213" s="11" t="s">
        <v>210</v>
      </c>
      <c r="G213" s="2" t="s">
        <v>162</v>
      </c>
      <c r="H213" s="41"/>
      <c r="I213" s="41"/>
      <c r="J213" s="41"/>
      <c r="K213" s="41"/>
      <c r="L213" s="41" t="s">
        <v>210</v>
      </c>
      <c r="M213" s="41" t="s">
        <v>210</v>
      </c>
      <c r="N213" s="41" t="s">
        <v>210</v>
      </c>
      <c r="O213" s="41" t="s">
        <v>210</v>
      </c>
      <c r="P213" s="41" t="s">
        <v>210</v>
      </c>
      <c r="Q213" s="41" t="s">
        <v>210</v>
      </c>
      <c r="R213" s="41" t="s">
        <v>210</v>
      </c>
      <c r="S213" s="41" t="s">
        <v>210</v>
      </c>
      <c r="T213" s="41" t="s">
        <v>75</v>
      </c>
      <c r="U213" s="41" t="s">
        <v>75</v>
      </c>
      <c r="V213" s="41" t="s">
        <v>75</v>
      </c>
      <c r="W213" s="41" t="s">
        <v>75</v>
      </c>
      <c r="X213" s="41" t="s">
        <v>75</v>
      </c>
      <c r="Y213" s="41" t="s">
        <v>75</v>
      </c>
      <c r="Z213" s="41" t="s">
        <v>75</v>
      </c>
      <c r="AA213" s="41" t="s">
        <v>75</v>
      </c>
      <c r="AB213" s="41" t="s">
        <v>75</v>
      </c>
      <c r="AC213" s="41" t="s">
        <v>75</v>
      </c>
      <c r="AD213" s="41" t="s">
        <v>210</v>
      </c>
      <c r="AE213" s="41" t="s">
        <v>210</v>
      </c>
      <c r="AF213" s="41" t="s">
        <v>210</v>
      </c>
      <c r="AG213" s="41" t="s">
        <v>210</v>
      </c>
      <c r="AH213" s="41" t="s">
        <v>210</v>
      </c>
      <c r="AI213" s="41" t="s">
        <v>210</v>
      </c>
      <c r="AJ213" s="41" t="s">
        <v>210</v>
      </c>
      <c r="AK213" s="41" t="s">
        <v>210</v>
      </c>
      <c r="AL213" s="41" t="s">
        <v>210</v>
      </c>
      <c r="AM213" s="41" t="s">
        <v>210</v>
      </c>
      <c r="AN213" s="41" t="s">
        <v>210</v>
      </c>
      <c r="AO213" s="41" t="s">
        <v>210</v>
      </c>
      <c r="AP213" s="41" t="s">
        <v>210</v>
      </c>
      <c r="AQ213" s="41" t="s">
        <v>210</v>
      </c>
      <c r="AR213" s="41" t="s">
        <v>210</v>
      </c>
      <c r="AS213" s="41" t="s">
        <v>210</v>
      </c>
      <c r="AT213" s="41" t="s">
        <v>210</v>
      </c>
      <c r="AU213" s="42" t="str">
        <f>IF('GNI per capita'!AU213&lt;=Thresholds!$C$44,"L",IF('GNI per capita'!AU213&lt;=Thresholds!$D$44,"LM",IF('GNI per capita'!AU213&lt;=Thresholds!$E$44,"UM","H")))</f>
        <v>LM</v>
      </c>
      <c r="AV213" s="42" t="str">
        <f>IF('GNI per capita'!AV213&lt;=Thresholds!$C$45,"L",IF('GNI per capita'!AV213&lt;=Thresholds!$D$45,"LM",IF('GNI per capita'!AV213&lt;=Thresholds!$E$45,"UM","H")))</f>
        <v>LM</v>
      </c>
      <c r="AW213" s="42" t="str">
        <f>IF('GNI per capita'!AW213&lt;=Thresholds!$C$46,"L",IF('GNI per capita'!AW213&lt;=Thresholds!$D$46,"LM",IF('GNI per capita'!AW213&lt;=Thresholds!$E$46,"UM","H")))</f>
        <v>LM</v>
      </c>
      <c r="AX213" s="42" t="str">
        <f>IF('GNI per capita'!AX213&lt;=Thresholds!$C$47,"L",IF('GNI per capita'!AX213&lt;=Thresholds!$D$47,"LM",IF('GNI per capita'!AX213&lt;=Thresholds!$E$47,"UM","H")))</f>
        <v>LM</v>
      </c>
      <c r="AY213" s="42" t="str">
        <f>IF('GNI per capita'!AY213&lt;=Thresholds!$C$48,"L",IF('GNI per capita'!AY213&lt;=Thresholds!$D$48,"LM",IF('GNI per capita'!AY213&lt;=Thresholds!$E$48,"UM","H")))</f>
        <v>LM</v>
      </c>
      <c r="AZ213" s="42" t="str">
        <f>IF('GNI per capita'!AZ213&lt;=Thresholds!$C$49,"L",IF('GNI per capita'!AZ213&lt;=Thresholds!$D$49,"LM",IF('GNI per capita'!AZ213&lt;=Thresholds!$E$49,"UM","H")))</f>
        <v>UM</v>
      </c>
      <c r="BA213" s="42" t="str">
        <f>IF('GNI per capita'!BA213&lt;=Thresholds!$C$50,"L",IF('GNI per capita'!BA213&lt;=Thresholds!$D$50,"LM",IF('GNI per capita'!BA213&lt;=Thresholds!$E$50,"UM","H")))</f>
        <v>UM</v>
      </c>
      <c r="BB213" s="42" t="str">
        <f>IF('GNI per capita'!BB213&lt;=Thresholds!$C$51,"L",IF('GNI per capita'!BB213&lt;=Thresholds!$D$51,"LM",IF('GNI per capita'!BB213&lt;=Thresholds!$E$51,"UM","H")))</f>
        <v>UM</v>
      </c>
      <c r="BC213" s="42" t="str">
        <f>IF('GNI per capita'!BC213&lt;=Thresholds!$C$52,"L",IF('GNI per capita'!BC213&lt;=Thresholds!$D$52,"LM",IF('GNI per capita'!BC213&lt;=Thresholds!$E$52,"UM","H")))</f>
        <v>UM</v>
      </c>
      <c r="BD213" s="42" t="str">
        <f>IF('GNI per capita'!BD213&lt;=Thresholds!$C$53,"L",IF('GNI per capita'!BD213&lt;=Thresholds!$D$53,"LM",IF('GNI per capita'!BD213&lt;=Thresholds!$E$53,"UM","H")))</f>
        <v>UM</v>
      </c>
      <c r="BE213" s="42" t="str">
        <f>IF('GNI per capita'!BE213&lt;=Thresholds!$C$54,"L",IF('GNI per capita'!BE213&lt;=Thresholds!$D$54,"LM",IF('GNI per capita'!BE213&lt;=Thresholds!$E$54,"UM","H")))</f>
        <v>UM</v>
      </c>
      <c r="BF213" s="42" t="str">
        <f>IF('GNI per capita'!BF213&lt;=Thresholds!$C$55,"L",IF('GNI per capita'!BF213&lt;=Thresholds!$D$55,"LM",IF('GNI per capita'!BF213&lt;=Thresholds!$E$55,"UM","H")))</f>
        <v>UM</v>
      </c>
      <c r="BG213" s="42" t="str">
        <f>IF('GNI per capita'!BG213&lt;=Thresholds!$C$56,"L",IF('GNI per capita'!BG213&lt;=Thresholds!$D$56,"LM",IF('GNI per capita'!BG213&lt;=Thresholds!$E$56,"UM","H")))</f>
        <v>UM</v>
      </c>
      <c r="BH213" s="42" t="str">
        <f>IF('GNI per capita'!BH213&lt;=Thresholds!$C$57,"L",IF('GNI per capita'!BH213&lt;=Thresholds!$D$57,"LM",IF('GNI per capita'!BH213&lt;=Thresholds!$E$57,"UM","H")))</f>
        <v>UM</v>
      </c>
      <c r="BI213" s="42" t="str">
        <f>IF('GNI per capita'!BI213&lt;=Thresholds!$C$58,"L",IF('GNI per capita'!BI213&lt;=Thresholds!$D$58,"LM",IF('GNI per capita'!BI213&lt;=Thresholds!$E$58,"UM","H")))</f>
        <v>UM</v>
      </c>
      <c r="BJ213" s="42" t="str">
        <f>IF('GNI per capita'!BJ213&lt;=Thresholds!$C$59,"L",IF('GNI per capita'!BJ213&lt;=Thresholds!$D$59,"LM",IF('GNI per capita'!BJ213&lt;=Thresholds!$E$59,"UM","H")))</f>
        <v>UM</v>
      </c>
      <c r="BK213" s="42" t="str">
        <f>IF('GNI per capita'!BK213&lt;=Thresholds!$C$60,"L",IF('GNI per capita'!BK213&lt;=Thresholds!$D$60,"LM",IF('GNI per capita'!BK213&lt;=Thresholds!$E$60,"UM","H")))</f>
        <v>UM</v>
      </c>
      <c r="BL213" s="42" t="str">
        <f>IF('GNI per capita'!BL213&lt;=Thresholds!$C$61,"L",IF('GNI per capita'!BL213&lt;=Thresholds!$D$61,"LM",IF('GNI per capita'!BL213&lt;=Thresholds!$E$61,"UM","H")))</f>
        <v>UM</v>
      </c>
      <c r="BM213" s="42" t="str">
        <f>IF('GNI per capita'!BM213&lt;=Thresholds!$C$62,"L",IF('GNI per capita'!BM213&lt;=Thresholds!$D$62,"LM",IF('GNI per capita'!BM213&lt;=Thresholds!$E$62,"UM","H")))</f>
        <v>UM</v>
      </c>
      <c r="BN213" s="42" t="str">
        <f>IF('GNI per capita'!BN213&lt;=Thresholds!$C$63,"L",IF('GNI per capita'!BN213&lt;=Thresholds!$D$63,"LM",IF('GNI per capita'!BN213&lt;=Thresholds!$E$63,"UM","H")))</f>
        <v>UM</v>
      </c>
      <c r="BO213" s="42" t="str">
        <f>IF('GNI per capita'!BO213&lt;=Thresholds!$C$64,"L",IF('GNI per capita'!BO213&lt;=Thresholds!$D$64,"LM",IF('GNI per capita'!BO213&lt;=Thresholds!$E$64,"UM","H")))</f>
        <v>UM</v>
      </c>
      <c r="BP213" s="42" t="str">
        <f>IF('GNI per capita'!BP213&lt;=Thresholds!$C$65,"L",IF('GNI per capita'!BP213&lt;=Thresholds!$D$65,"LM",IF('GNI per capita'!BP213&lt;=Thresholds!$E$65,"UM","H")))</f>
        <v>UM</v>
      </c>
      <c r="BQ213" s="42" t="str">
        <f>IF('GNI per capita'!BQ213&lt;=Thresholds!$C$66,"L",IF('GNI per capita'!BQ213&lt;=Thresholds!$D$66,"LM",IF('GNI per capita'!BQ213&lt;=Thresholds!$E$66,"UM","H")))</f>
        <v>UM</v>
      </c>
      <c r="BR213" s="42" t="str">
        <f>IF('GNI per capita'!BR213&lt;=Thresholds!$C$67,"L",IF('GNI per capita'!BR213&lt;=Thresholds!$D$67,"LM",IF('GNI per capita'!BR213&lt;=Thresholds!$E$67,"UM","H")))</f>
        <v>UM</v>
      </c>
      <c r="BS213" s="42" t="str">
        <f>IF('GNI per capita'!BS213&lt;=Thresholds!$C$68,"L",IF('GNI per capita'!BS213&lt;=Thresholds!$D$68,"LM",IF('GNI per capita'!BS213&lt;=Thresholds!$E$68,"UM","H")))</f>
        <v>UM</v>
      </c>
    </row>
    <row r="214" spans="1:71" x14ac:dyDescent="0.2">
      <c r="A214" s="2" t="s">
        <v>661</v>
      </c>
      <c r="B214" s="2" t="s">
        <v>662</v>
      </c>
      <c r="C214" s="11" t="s">
        <v>210</v>
      </c>
      <c r="G214" s="2" t="s">
        <v>162</v>
      </c>
      <c r="H214" s="41" t="s">
        <v>210</v>
      </c>
      <c r="I214" s="41" t="s">
        <v>210</v>
      </c>
      <c r="J214" s="41" t="s">
        <v>210</v>
      </c>
      <c r="K214" s="41" t="s">
        <v>210</v>
      </c>
      <c r="L214" s="41" t="s">
        <v>210</v>
      </c>
      <c r="M214" s="41" t="s">
        <v>210</v>
      </c>
      <c r="N214" s="41" t="s">
        <v>210</v>
      </c>
      <c r="O214" s="41" t="s">
        <v>210</v>
      </c>
      <c r="P214" s="41" t="s">
        <v>210</v>
      </c>
      <c r="Q214" s="41" t="s">
        <v>210</v>
      </c>
      <c r="R214" s="41" t="s">
        <v>210</v>
      </c>
      <c r="S214" s="41" t="s">
        <v>210</v>
      </c>
      <c r="T214" s="41" t="s">
        <v>210</v>
      </c>
      <c r="U214" s="41" t="s">
        <v>210</v>
      </c>
      <c r="V214" s="41" t="s">
        <v>210</v>
      </c>
      <c r="W214" s="41" t="s">
        <v>210</v>
      </c>
      <c r="X214" s="41" t="s">
        <v>210</v>
      </c>
      <c r="Y214" s="41" t="s">
        <v>210</v>
      </c>
      <c r="Z214" s="41" t="s">
        <v>210</v>
      </c>
      <c r="AA214" s="41" t="s">
        <v>210</v>
      </c>
      <c r="AB214" s="41" t="s">
        <v>210</v>
      </c>
      <c r="AC214" s="41" t="s">
        <v>210</v>
      </c>
      <c r="AD214" s="41" t="s">
        <v>210</v>
      </c>
      <c r="AE214" s="41" t="s">
        <v>210</v>
      </c>
      <c r="AF214" s="41" t="s">
        <v>210</v>
      </c>
      <c r="AG214" s="41" t="s">
        <v>210</v>
      </c>
      <c r="AH214" s="41" t="s">
        <v>210</v>
      </c>
      <c r="AI214" s="41" t="s">
        <v>210</v>
      </c>
      <c r="AJ214" s="41" t="s">
        <v>210</v>
      </c>
      <c r="AK214" s="41" t="s">
        <v>210</v>
      </c>
      <c r="AL214" s="41" t="s">
        <v>210</v>
      </c>
      <c r="AM214" s="41" t="s">
        <v>210</v>
      </c>
      <c r="AN214" s="41" t="s">
        <v>210</v>
      </c>
      <c r="AO214" s="41" t="s">
        <v>210</v>
      </c>
      <c r="AP214" s="41" t="s">
        <v>210</v>
      </c>
      <c r="AQ214" s="41" t="s">
        <v>210</v>
      </c>
      <c r="AR214" s="41" t="s">
        <v>210</v>
      </c>
      <c r="AS214" s="41" t="s">
        <v>210</v>
      </c>
      <c r="AT214" s="41" t="s">
        <v>210</v>
      </c>
      <c r="AU214" s="42" t="str">
        <f>IF('GNI per capita'!AU214&lt;=Thresholds!$C$44,"L",IF('GNI per capita'!AU214&lt;=Thresholds!$D$44,"LM",IF('GNI per capita'!AU214&lt;=Thresholds!$E$44,"UM","H")))</f>
        <v>LM</v>
      </c>
      <c r="AV214" s="42" t="str">
        <f>IF('GNI per capita'!AV214&lt;=Thresholds!$C$45,"L",IF('GNI per capita'!AV214&lt;=Thresholds!$D$45,"LM",IF('GNI per capita'!AV214&lt;=Thresholds!$E$45,"UM","H")))</f>
        <v>UM</v>
      </c>
      <c r="AW214" s="42" t="str">
        <f>IF('GNI per capita'!AW214&lt;=Thresholds!$C$46,"L",IF('GNI per capita'!AW214&lt;=Thresholds!$D$46,"LM",IF('GNI per capita'!AW214&lt;=Thresholds!$E$46,"UM","H")))</f>
        <v>UM</v>
      </c>
      <c r="AX214" s="42" t="str">
        <f>IF('GNI per capita'!AX214&lt;=Thresholds!$C$47,"L",IF('GNI per capita'!AX214&lt;=Thresholds!$D$47,"LM",IF('GNI per capita'!AX214&lt;=Thresholds!$E$47,"UM","H")))</f>
        <v>UM</v>
      </c>
      <c r="AY214" s="42" t="str">
        <f>IF('GNI per capita'!AY214&lt;=Thresholds!$C$48,"L",IF('GNI per capita'!AY214&lt;=Thresholds!$D$48,"LM",IF('GNI per capita'!AY214&lt;=Thresholds!$E$48,"UM","H")))</f>
        <v>UM</v>
      </c>
      <c r="AZ214" s="42" t="str">
        <f>IF('GNI per capita'!AZ214&lt;=Thresholds!$C$49,"L",IF('GNI per capita'!AZ214&lt;=Thresholds!$D$49,"LM",IF('GNI per capita'!AZ214&lt;=Thresholds!$E$49,"UM","H")))</f>
        <v>UM</v>
      </c>
      <c r="BA214" s="42" t="str">
        <f>IF('GNI per capita'!BA214&lt;=Thresholds!$C$50,"L",IF('GNI per capita'!BA214&lt;=Thresholds!$D$50,"LM",IF('GNI per capita'!BA214&lt;=Thresholds!$E$50,"UM","H")))</f>
        <v>UM</v>
      </c>
      <c r="BB214" s="42" t="str">
        <f>IF('GNI per capita'!BB214&lt;=Thresholds!$C$51,"L",IF('GNI per capita'!BB214&lt;=Thresholds!$D$51,"LM",IF('GNI per capita'!BB214&lt;=Thresholds!$E$51,"UM","H")))</f>
        <v>UM</v>
      </c>
      <c r="BC214" s="42" t="str">
        <f>IF('GNI per capita'!BC214&lt;=Thresholds!$C$52,"L",IF('GNI per capita'!BC214&lt;=Thresholds!$D$52,"LM",IF('GNI per capita'!BC214&lt;=Thresholds!$E$52,"UM","H")))</f>
        <v>UM</v>
      </c>
      <c r="BD214" s="42" t="str">
        <f>IF('GNI per capita'!BD214&lt;=Thresholds!$C$53,"L",IF('GNI per capita'!BD214&lt;=Thresholds!$D$53,"LM",IF('GNI per capita'!BD214&lt;=Thresholds!$E$53,"UM","H")))</f>
        <v>UM</v>
      </c>
      <c r="BE214" s="42" t="str">
        <f>IF('GNI per capita'!BE214&lt;=Thresholds!$C$54,"L",IF('GNI per capita'!BE214&lt;=Thresholds!$D$54,"LM",IF('GNI per capita'!BE214&lt;=Thresholds!$E$54,"UM","H")))</f>
        <v>UM</v>
      </c>
      <c r="BF214" s="42" t="str">
        <f>IF('GNI per capita'!BF214&lt;=Thresholds!$C$55,"L",IF('GNI per capita'!BF214&lt;=Thresholds!$D$55,"LM",IF('GNI per capita'!BF214&lt;=Thresholds!$E$55,"UM","H")))</f>
        <v>UM</v>
      </c>
      <c r="BG214" s="42" t="str">
        <f>IF('GNI per capita'!BG214&lt;=Thresholds!$C$56,"L",IF('GNI per capita'!BG214&lt;=Thresholds!$D$56,"LM",IF('GNI per capita'!BG214&lt;=Thresholds!$E$56,"UM","H")))</f>
        <v>UM</v>
      </c>
      <c r="BH214" s="42" t="str">
        <f>IF('GNI per capita'!BH214&lt;=Thresholds!$C$57,"L",IF('GNI per capita'!BH214&lt;=Thresholds!$D$57,"LM",IF('GNI per capita'!BH214&lt;=Thresholds!$E$57,"UM","H")))</f>
        <v>UM</v>
      </c>
      <c r="BI214" s="42" t="str">
        <f>IF('GNI per capita'!BI214&lt;=Thresholds!$C$58,"L",IF('GNI per capita'!BI214&lt;=Thresholds!$D$58,"LM",IF('GNI per capita'!BI214&lt;=Thresholds!$E$58,"UM","H")))</f>
        <v>UM</v>
      </c>
      <c r="BJ214" s="42" t="str">
        <f>IF('GNI per capita'!BJ214&lt;=Thresholds!$C$59,"L",IF('GNI per capita'!BJ214&lt;=Thresholds!$D$59,"LM",IF('GNI per capita'!BJ214&lt;=Thresholds!$E$59,"UM","H")))</f>
        <v>UM</v>
      </c>
      <c r="BK214" s="42" t="str">
        <f>IF('GNI per capita'!BK214&lt;=Thresholds!$C$60,"L",IF('GNI per capita'!BK214&lt;=Thresholds!$D$60,"LM",IF('GNI per capita'!BK214&lt;=Thresholds!$E$60,"UM","H")))</f>
        <v>UM</v>
      </c>
      <c r="BL214" s="42" t="str">
        <f>IF('GNI per capita'!BL214&lt;=Thresholds!$C$61,"L",IF('GNI per capita'!BL214&lt;=Thresholds!$D$61,"LM",IF('GNI per capita'!BL214&lt;=Thresholds!$E$61,"UM","H")))</f>
        <v>UM</v>
      </c>
      <c r="BM214" s="42" t="str">
        <f>IF('GNI per capita'!BM214&lt;=Thresholds!$C$62,"L",IF('GNI per capita'!BM214&lt;=Thresholds!$D$62,"LM",IF('GNI per capita'!BM214&lt;=Thresholds!$E$62,"UM","H")))</f>
        <v>UM</v>
      </c>
      <c r="BN214" s="42" t="str">
        <f>IF('GNI per capita'!BN214&lt;=Thresholds!$C$63,"L",IF('GNI per capita'!BN214&lt;=Thresholds!$D$63,"LM",IF('GNI per capita'!BN214&lt;=Thresholds!$E$63,"UM","H")))</f>
        <v>UM</v>
      </c>
      <c r="BO214" s="42" t="str">
        <f>IF('GNI per capita'!BO214&lt;=Thresholds!$C$64,"L",IF('GNI per capita'!BO214&lt;=Thresholds!$D$64,"LM",IF('GNI per capita'!BO214&lt;=Thresholds!$E$64,"UM","H")))</f>
        <v>UM</v>
      </c>
      <c r="BP214" s="42" t="str">
        <f>IF('GNI per capita'!BP214&lt;=Thresholds!$C$65,"L",IF('GNI per capita'!BP214&lt;=Thresholds!$D$65,"LM",IF('GNI per capita'!BP214&lt;=Thresholds!$E$65,"UM","H")))</f>
        <v>UM</v>
      </c>
      <c r="BQ214" s="42" t="str">
        <f>IF('GNI per capita'!BQ214&lt;=Thresholds!$C$66,"L",IF('GNI per capita'!BQ214&lt;=Thresholds!$D$66,"LM",IF('GNI per capita'!BQ214&lt;=Thresholds!$E$66,"UM","H")))</f>
        <v>UM</v>
      </c>
      <c r="BR214" s="42" t="str">
        <f>IF('GNI per capita'!BR214&lt;=Thresholds!$C$67,"L",IF('GNI per capita'!BR214&lt;=Thresholds!$D$67,"LM",IF('GNI per capita'!BR214&lt;=Thresholds!$E$67,"UM","H")))</f>
        <v>UM</v>
      </c>
      <c r="BS214" s="42" t="str">
        <f>IF('GNI per capita'!BS214&lt;=Thresholds!$C$68,"L",IF('GNI per capita'!BS214&lt;=Thresholds!$D$68,"LM",IF('GNI per capita'!BS214&lt;=Thresholds!$E$68,"UM","H")))</f>
        <v>UM</v>
      </c>
    </row>
    <row r="215" spans="1:71" x14ac:dyDescent="0.2">
      <c r="A215" s="2" t="s">
        <v>663</v>
      </c>
      <c r="B215" s="2" t="s">
        <v>664</v>
      </c>
      <c r="C215" s="11" t="s">
        <v>210</v>
      </c>
      <c r="G215" s="2" t="s">
        <v>665</v>
      </c>
      <c r="H215" s="41" t="s">
        <v>82</v>
      </c>
      <c r="I215" s="41" t="s">
        <v>82</v>
      </c>
      <c r="J215" s="41" t="s">
        <v>82</v>
      </c>
      <c r="K215" s="41" t="s">
        <v>82</v>
      </c>
      <c r="L215" s="41" t="s">
        <v>82</v>
      </c>
      <c r="M215" s="41" t="s">
        <v>82</v>
      </c>
      <c r="N215" s="41" t="s">
        <v>82</v>
      </c>
      <c r="O215" s="41" t="s">
        <v>210</v>
      </c>
      <c r="P215" s="41" t="s">
        <v>210</v>
      </c>
      <c r="Q215" s="41" t="s">
        <v>210</v>
      </c>
      <c r="R215" s="41" t="s">
        <v>82</v>
      </c>
      <c r="S215" s="41" t="s">
        <v>82</v>
      </c>
      <c r="T215" s="41" t="s">
        <v>82</v>
      </c>
      <c r="U215" s="41" t="s">
        <v>82</v>
      </c>
      <c r="V215" s="41" t="s">
        <v>82</v>
      </c>
      <c r="W215" s="41" t="s">
        <v>82</v>
      </c>
      <c r="X215" s="41" t="s">
        <v>82</v>
      </c>
      <c r="Y215" s="41" t="s">
        <v>82</v>
      </c>
      <c r="Z215" s="41" t="s">
        <v>82</v>
      </c>
      <c r="AA215" s="41" t="s">
        <v>82</v>
      </c>
      <c r="AB215" s="41" t="s">
        <v>82</v>
      </c>
      <c r="AC215" s="41" t="s">
        <v>82</v>
      </c>
      <c r="AD215" s="41" t="s">
        <v>82</v>
      </c>
      <c r="AE215" s="41" t="s">
        <v>82</v>
      </c>
      <c r="AF215" s="41" t="s">
        <v>82</v>
      </c>
      <c r="AG215" s="41" t="s">
        <v>82</v>
      </c>
      <c r="AH215" s="41" t="s">
        <v>82</v>
      </c>
      <c r="AI215" s="41" t="s">
        <v>79</v>
      </c>
      <c r="AJ215" s="41" t="s">
        <v>82</v>
      </c>
      <c r="AK215" s="41" t="s">
        <v>82</v>
      </c>
      <c r="AL215" s="41" t="s">
        <v>82</v>
      </c>
      <c r="AM215" s="41" t="s">
        <v>82</v>
      </c>
      <c r="AN215" s="41" t="s">
        <v>82</v>
      </c>
      <c r="AO215" s="41"/>
      <c r="AP215" s="41"/>
      <c r="AQ215" s="41"/>
      <c r="AR215" s="41"/>
      <c r="AS215" s="41"/>
      <c r="AT215" s="41" t="s">
        <v>210</v>
      </c>
      <c r="AU215" s="42" t="str">
        <f>IF('GNI per capita'!AU215&lt;=Thresholds!$C$44,"L",IF('GNI per capita'!AU215&lt;=Thresholds!$D$44,"LM",IF('GNI per capita'!AU215&lt;=Thresholds!$E$44,"UM","H")))</f>
        <v>LM</v>
      </c>
      <c r="AV215" s="42" t="str">
        <f>IF('GNI per capita'!AV215&lt;=Thresholds!$C$45,"L",IF('GNI per capita'!AV215&lt;=Thresholds!$D$45,"LM",IF('GNI per capita'!AV215&lt;=Thresholds!$E$45,"UM","H")))</f>
        <v>LM</v>
      </c>
      <c r="AW215" s="42" t="str">
        <f>IF('GNI per capita'!AW215&lt;=Thresholds!$C$46,"L",IF('GNI per capita'!AW215&lt;=Thresholds!$D$46,"LM",IF('GNI per capita'!AW215&lt;=Thresholds!$E$46,"UM","H")))</f>
        <v>LM</v>
      </c>
      <c r="AX215" s="42" t="str">
        <f>IF('GNI per capita'!AX215&lt;=Thresholds!$C$47,"L",IF('GNI per capita'!AX215&lt;=Thresholds!$D$47,"LM",IF('GNI per capita'!AX215&lt;=Thresholds!$E$47,"UM","H")))</f>
        <v>LM</v>
      </c>
      <c r="AY215" s="42" t="str">
        <f>IF('GNI per capita'!AY215&lt;=Thresholds!$C$48,"L",IF('GNI per capita'!AY215&lt;=Thresholds!$D$48,"LM",IF('GNI per capita'!AY215&lt;=Thresholds!$E$48,"UM","H")))</f>
        <v>LM</v>
      </c>
      <c r="AZ215" s="42" t="str">
        <f>IF('GNI per capita'!AZ215&lt;=Thresholds!$C$49,"L",IF('GNI per capita'!AZ215&lt;=Thresholds!$D$49,"LM",IF('GNI per capita'!AZ215&lt;=Thresholds!$E$49,"UM","H")))</f>
        <v>LM</v>
      </c>
      <c r="BA215" s="42" t="str">
        <f>IF('GNI per capita'!BA215&lt;=Thresholds!$C$50,"L",IF('GNI per capita'!BA215&lt;=Thresholds!$D$50,"LM",IF('GNI per capita'!BA215&lt;=Thresholds!$E$50,"UM","H")))</f>
        <v>LM</v>
      </c>
      <c r="BB215" s="42" t="str">
        <f>IF('GNI per capita'!BB215&lt;=Thresholds!$C$51,"L",IF('GNI per capita'!BB215&lt;=Thresholds!$D$51,"LM",IF('GNI per capita'!BB215&lt;=Thresholds!$E$51,"UM","H")))</f>
        <v>LM</v>
      </c>
      <c r="BC215" s="42" t="str">
        <f>IF('GNI per capita'!BC215&lt;=Thresholds!$C$52,"L",IF('GNI per capita'!BC215&lt;=Thresholds!$D$52,"LM",IF('GNI per capita'!BC215&lt;=Thresholds!$E$52,"UM","H")))</f>
        <v>LM</v>
      </c>
      <c r="BD215" s="42" t="str">
        <f>IF('GNI per capita'!BD215&lt;=Thresholds!$C$53,"L",IF('GNI per capita'!BD215&lt;=Thresholds!$D$53,"LM",IF('GNI per capita'!BD215&lt;=Thresholds!$E$53,"UM","H")))</f>
        <v>LM</v>
      </c>
      <c r="BE215" s="42" t="str">
        <f>IF('GNI per capita'!BE215&lt;=Thresholds!$C$54,"L",IF('GNI per capita'!BE215&lt;=Thresholds!$D$54,"LM",IF('GNI per capita'!BE215&lt;=Thresholds!$E$54,"UM","H")))</f>
        <v>LM</v>
      </c>
      <c r="BF215" s="42" t="str">
        <f>IF('GNI per capita'!BF215&lt;=Thresholds!$C$55,"L",IF('GNI per capita'!BF215&lt;=Thresholds!$D$55,"LM",IF('GNI per capita'!BF215&lt;=Thresholds!$E$55,"UM","H")))</f>
        <v>LM</v>
      </c>
      <c r="BG215" s="42" t="str">
        <f>IF('GNI per capita'!BG215&lt;=Thresholds!$C$56,"L",IF('GNI per capita'!BG215&lt;=Thresholds!$D$56,"LM",IF('GNI per capita'!BG215&lt;=Thresholds!$E$56,"UM","H")))</f>
        <v>LM</v>
      </c>
      <c r="BH215" s="42" t="str">
        <f>IF('GNI per capita'!BH215&lt;=Thresholds!$C$57,"L",IF('GNI per capita'!BH215&lt;=Thresholds!$D$57,"LM",IF('GNI per capita'!BH215&lt;=Thresholds!$E$57,"UM","H")))</f>
        <v>LM</v>
      </c>
      <c r="BI215" s="42" t="str">
        <f>IF('GNI per capita'!BI215&lt;=Thresholds!$C$58,"L",IF('GNI per capita'!BI215&lt;=Thresholds!$D$58,"LM",IF('GNI per capita'!BI215&lt;=Thresholds!$E$58,"UM","H")))</f>
        <v>LM</v>
      </c>
      <c r="BJ215" s="42" t="str">
        <f>IF('GNI per capita'!BJ215&lt;=Thresholds!$C$59,"L",IF('GNI per capita'!BJ215&lt;=Thresholds!$D$59,"LM",IF('GNI per capita'!BJ215&lt;=Thresholds!$E$59,"UM","H")))</f>
        <v>LM</v>
      </c>
      <c r="BK215" s="42" t="str">
        <f>IF('GNI per capita'!BK215&lt;=Thresholds!$C$60,"L",IF('GNI per capita'!BK215&lt;=Thresholds!$D$60,"LM",IF('GNI per capita'!BK215&lt;=Thresholds!$E$60,"UM","H")))</f>
        <v>LM</v>
      </c>
      <c r="BL215" s="42" t="str">
        <f>IF('GNI per capita'!BL215&lt;=Thresholds!$C$61,"L",IF('GNI per capita'!BL215&lt;=Thresholds!$D$61,"LM",IF('GNI per capita'!BL215&lt;=Thresholds!$E$61,"UM","H")))</f>
        <v>LM</v>
      </c>
      <c r="BM215" s="42" t="str">
        <f>IF('GNI per capita'!BM215&lt;=Thresholds!$C$62,"L",IF('GNI per capita'!BM215&lt;=Thresholds!$D$62,"LM",IF('GNI per capita'!BM215&lt;=Thresholds!$E$62,"UM","H")))</f>
        <v>LM</v>
      </c>
      <c r="BN215" s="42" t="str">
        <f>IF('GNI per capita'!BN215&lt;=Thresholds!$C$63,"L",IF('GNI per capita'!BN215&lt;=Thresholds!$D$63,"LM",IF('GNI per capita'!BN215&lt;=Thresholds!$E$63,"UM","H")))</f>
        <v>LM</v>
      </c>
      <c r="BO215" s="42" t="str">
        <f>IF('GNI per capita'!BO215&lt;=Thresholds!$C$64,"L",IF('GNI per capita'!BO215&lt;=Thresholds!$D$64,"LM",IF('GNI per capita'!BO215&lt;=Thresholds!$E$64,"UM","H")))</f>
        <v>LM</v>
      </c>
      <c r="BP215" s="42" t="str">
        <f>IF('GNI per capita'!BP215&lt;=Thresholds!$C$65,"L",IF('GNI per capita'!BP215&lt;=Thresholds!$D$65,"LM",IF('GNI per capita'!BP215&lt;=Thresholds!$E$65,"UM","H")))</f>
        <v>LM</v>
      </c>
      <c r="BQ215" s="42" t="str">
        <f>IF('GNI per capita'!BQ215&lt;=Thresholds!$C$66,"L",IF('GNI per capita'!BQ215&lt;=Thresholds!$D$66,"LM",IF('GNI per capita'!BQ215&lt;=Thresholds!$E$66,"UM","H")))</f>
        <v>LM</v>
      </c>
      <c r="BR215" s="42" t="str">
        <f>IF('GNI per capita'!BR215&lt;=Thresholds!$C$67,"L",IF('GNI per capita'!BR215&lt;=Thresholds!$D$67,"LM",IF('GNI per capita'!BR215&lt;=Thresholds!$E$67,"UM","H")))</f>
        <v>LM</v>
      </c>
      <c r="BS215" s="42" t="str">
        <f>IF('GNI per capita'!BS215&lt;=Thresholds!$C$68,"L",IF('GNI per capita'!BS215&lt;=Thresholds!$D$68,"LM",IF('GNI per capita'!BS215&lt;=Thresholds!$E$68,"UM","H")))</f>
        <v>LM</v>
      </c>
    </row>
    <row r="216" spans="1:71" x14ac:dyDescent="0.2">
      <c r="A216" s="2" t="s">
        <v>666</v>
      </c>
      <c r="B216" s="2" t="s">
        <v>667</v>
      </c>
      <c r="C216" s="11" t="s">
        <v>82</v>
      </c>
      <c r="G216" s="2" t="s">
        <v>162</v>
      </c>
      <c r="H216" s="41" t="s">
        <v>75</v>
      </c>
      <c r="I216" s="41" t="s">
        <v>75</v>
      </c>
      <c r="J216" s="41" t="s">
        <v>75</v>
      </c>
      <c r="K216" s="41" t="s">
        <v>75</v>
      </c>
      <c r="L216" s="41" t="s">
        <v>75</v>
      </c>
      <c r="M216" s="41" t="s">
        <v>75</v>
      </c>
      <c r="N216" s="41" t="s">
        <v>75</v>
      </c>
      <c r="O216" s="41" t="s">
        <v>75</v>
      </c>
      <c r="P216" s="41" t="s">
        <v>75</v>
      </c>
      <c r="Q216" s="41" t="s">
        <v>75</v>
      </c>
      <c r="R216" s="41" t="s">
        <v>75</v>
      </c>
      <c r="S216" s="41" t="s">
        <v>75</v>
      </c>
      <c r="T216" s="41" t="s">
        <v>75</v>
      </c>
      <c r="U216" s="41" t="s">
        <v>75</v>
      </c>
      <c r="V216" s="41" t="s">
        <v>75</v>
      </c>
      <c r="W216" s="41" t="s">
        <v>75</v>
      </c>
      <c r="X216" s="41" t="s">
        <v>75</v>
      </c>
      <c r="Y216" s="41" t="s">
        <v>75</v>
      </c>
      <c r="Z216" s="41" t="s">
        <v>75</v>
      </c>
      <c r="AA216" s="41" t="s">
        <v>75</v>
      </c>
      <c r="AB216" s="41" t="s">
        <v>75</v>
      </c>
      <c r="AC216" s="41" t="s">
        <v>75</v>
      </c>
      <c r="AD216" s="41" t="s">
        <v>210</v>
      </c>
      <c r="AE216" s="41" t="s">
        <v>210</v>
      </c>
      <c r="AF216" s="41" t="s">
        <v>210</v>
      </c>
      <c r="AG216" s="41" t="s">
        <v>210</v>
      </c>
      <c r="AH216" s="41" t="s">
        <v>210</v>
      </c>
      <c r="AI216" s="41" t="s">
        <v>210</v>
      </c>
      <c r="AJ216" s="41" t="s">
        <v>210</v>
      </c>
      <c r="AK216" s="41" t="s">
        <v>210</v>
      </c>
      <c r="AL216" s="41" t="s">
        <v>210</v>
      </c>
      <c r="AM216" s="41" t="s">
        <v>210</v>
      </c>
      <c r="AN216" s="41" t="s">
        <v>210</v>
      </c>
      <c r="AO216" s="41" t="s">
        <v>210</v>
      </c>
      <c r="AP216" s="41" t="s">
        <v>210</v>
      </c>
      <c r="AQ216" s="41" t="s">
        <v>210</v>
      </c>
      <c r="AR216" s="41" t="s">
        <v>210</v>
      </c>
      <c r="AS216" s="41" t="s">
        <v>210</v>
      </c>
      <c r="AT216" s="41" t="s">
        <v>82</v>
      </c>
      <c r="AU216" s="42" t="str">
        <f>IF('GNI per capita'!AU216&lt;=Thresholds!$C$44,"L",IF('GNI per capita'!AU216&lt;=Thresholds!$D$44,"LM",IF('GNI per capita'!AU216&lt;=Thresholds!$E$44,"UM","H")))</f>
        <v>UM</v>
      </c>
      <c r="AV216" s="42" t="str">
        <f>IF('GNI per capita'!AV216&lt;=Thresholds!$C$45,"L",IF('GNI per capita'!AV216&lt;=Thresholds!$D$45,"LM",IF('GNI per capita'!AV216&lt;=Thresholds!$E$45,"UM","H")))</f>
        <v>UM</v>
      </c>
      <c r="AW216" s="42" t="str">
        <f>IF('GNI per capita'!AW216&lt;=Thresholds!$C$46,"L",IF('GNI per capita'!AW216&lt;=Thresholds!$D$46,"LM",IF('GNI per capita'!AW216&lt;=Thresholds!$E$46,"UM","H")))</f>
        <v>UM</v>
      </c>
      <c r="AX216" s="42" t="str">
        <f>IF('GNI per capita'!AX216&lt;=Thresholds!$C$47,"L",IF('GNI per capita'!AX216&lt;=Thresholds!$D$47,"LM",IF('GNI per capita'!AX216&lt;=Thresholds!$E$47,"UM","H")))</f>
        <v>UM</v>
      </c>
      <c r="AY216" s="42" t="str">
        <f>IF('GNI per capita'!AY216&lt;=Thresholds!$C$48,"L",IF('GNI per capita'!AY216&lt;=Thresholds!$D$48,"LM",IF('GNI per capita'!AY216&lt;=Thresholds!$E$48,"UM","H")))</f>
        <v>UM</v>
      </c>
      <c r="AZ216" s="42" t="str">
        <f>IF('GNI per capita'!AZ216&lt;=Thresholds!$C$49,"L",IF('GNI per capita'!AZ216&lt;=Thresholds!$D$49,"LM",IF('GNI per capita'!AZ216&lt;=Thresholds!$E$49,"UM","H")))</f>
        <v>UM</v>
      </c>
      <c r="BA216" s="42" t="str">
        <f>IF('GNI per capita'!BA216&lt;=Thresholds!$C$50,"L",IF('GNI per capita'!BA216&lt;=Thresholds!$D$50,"LM",IF('GNI per capita'!BA216&lt;=Thresholds!$E$50,"UM","H")))</f>
        <v>UM</v>
      </c>
      <c r="BB216" s="42" t="str">
        <f>IF('GNI per capita'!BB216&lt;=Thresholds!$C$51,"L",IF('GNI per capita'!BB216&lt;=Thresholds!$D$51,"LM",IF('GNI per capita'!BB216&lt;=Thresholds!$E$51,"UM","H")))</f>
        <v>UM</v>
      </c>
      <c r="BC216" s="42" t="str">
        <f>IF('GNI per capita'!BC216&lt;=Thresholds!$C$52,"L",IF('GNI per capita'!BC216&lt;=Thresholds!$D$52,"LM",IF('GNI per capita'!BC216&lt;=Thresholds!$E$52,"UM","H")))</f>
        <v>UM</v>
      </c>
      <c r="BD216" s="42" t="str">
        <f>IF('GNI per capita'!BD216&lt;=Thresholds!$C$53,"L",IF('GNI per capita'!BD216&lt;=Thresholds!$D$53,"LM",IF('GNI per capita'!BD216&lt;=Thresholds!$E$53,"UM","H")))</f>
        <v>UM</v>
      </c>
      <c r="BE216" s="42" t="str">
        <f>IF('GNI per capita'!BE216&lt;=Thresholds!$C$54,"L",IF('GNI per capita'!BE216&lt;=Thresholds!$D$54,"LM",IF('GNI per capita'!BE216&lt;=Thresholds!$E$54,"UM","H")))</f>
        <v>UM</v>
      </c>
      <c r="BF216" s="42" t="str">
        <f>IF('GNI per capita'!BF216&lt;=Thresholds!$C$55,"L",IF('GNI per capita'!BF216&lt;=Thresholds!$D$55,"LM",IF('GNI per capita'!BF216&lt;=Thresholds!$E$55,"UM","H")))</f>
        <v>UM</v>
      </c>
      <c r="BG216" s="42" t="str">
        <f>IF('GNI per capita'!BG216&lt;=Thresholds!$C$56,"L",IF('GNI per capita'!BG216&lt;=Thresholds!$D$56,"LM",IF('GNI per capita'!BG216&lt;=Thresholds!$E$56,"UM","H")))</f>
        <v>UM</v>
      </c>
      <c r="BH216" s="42" t="str">
        <f>IF('GNI per capita'!BH216&lt;=Thresholds!$C$57,"L",IF('GNI per capita'!BH216&lt;=Thresholds!$D$57,"LM",IF('GNI per capita'!BH216&lt;=Thresholds!$E$57,"UM","H")))</f>
        <v>UM</v>
      </c>
      <c r="BI216" s="42" t="str">
        <f>IF('GNI per capita'!BI216&lt;=Thresholds!$C$58,"L",IF('GNI per capita'!BI216&lt;=Thresholds!$D$58,"LM",IF('GNI per capita'!BI216&lt;=Thresholds!$E$58,"UM","H")))</f>
        <v>UM</v>
      </c>
      <c r="BJ216" s="42" t="str">
        <f>IF('GNI per capita'!BJ216&lt;=Thresholds!$C$59,"L",IF('GNI per capita'!BJ216&lt;=Thresholds!$D$59,"LM",IF('GNI per capita'!BJ216&lt;=Thresholds!$E$59,"UM","H")))</f>
        <v>UM</v>
      </c>
      <c r="BK216" s="42" t="str">
        <f>IF('GNI per capita'!BK216&lt;=Thresholds!$C$60,"L",IF('GNI per capita'!BK216&lt;=Thresholds!$D$60,"LM",IF('GNI per capita'!BK216&lt;=Thresholds!$E$60,"UM","H")))</f>
        <v>UM</v>
      </c>
      <c r="BL216" s="42" t="str">
        <f>IF('GNI per capita'!BL216&lt;=Thresholds!$C$61,"L",IF('GNI per capita'!BL216&lt;=Thresholds!$D$61,"LM",IF('GNI per capita'!BL216&lt;=Thresholds!$E$61,"UM","H")))</f>
        <v>UM</v>
      </c>
      <c r="BM216" s="42" t="str">
        <f>IF('GNI per capita'!BM216&lt;=Thresholds!$C$62,"L",IF('GNI per capita'!BM216&lt;=Thresholds!$D$62,"LM",IF('GNI per capita'!BM216&lt;=Thresholds!$E$62,"UM","H")))</f>
        <v>UM</v>
      </c>
      <c r="BN216" s="42" t="str">
        <f>IF('GNI per capita'!BN216&lt;=Thresholds!$C$63,"L",IF('GNI per capita'!BN216&lt;=Thresholds!$D$63,"LM",IF('GNI per capita'!BN216&lt;=Thresholds!$E$63,"UM","H")))</f>
        <v>UM</v>
      </c>
      <c r="BO216" s="42" t="str">
        <f>IF('GNI per capita'!BO216&lt;=Thresholds!$C$64,"L",IF('GNI per capita'!BO216&lt;=Thresholds!$D$64,"LM",IF('GNI per capita'!BO216&lt;=Thresholds!$E$64,"UM","H")))</f>
        <v>H</v>
      </c>
      <c r="BP216" s="42" t="str">
        <f>IF('GNI per capita'!BP216&lt;=Thresholds!$C$65,"L",IF('GNI per capita'!BP216&lt;=Thresholds!$D$65,"LM",IF('GNI per capita'!BP216&lt;=Thresholds!$E$65,"UM","H")))</f>
        <v>H</v>
      </c>
      <c r="BQ216" s="42" t="str">
        <f>IF('GNI per capita'!BQ216&lt;=Thresholds!$C$66,"L",IF('GNI per capita'!BQ216&lt;=Thresholds!$D$66,"LM",IF('GNI per capita'!BQ216&lt;=Thresholds!$E$66,"UM","H")))</f>
        <v>H</v>
      </c>
      <c r="BR216" s="42" t="str">
        <f>IF('GNI per capita'!BR216&lt;=Thresholds!$C$67,"L",IF('GNI per capita'!BR216&lt;=Thresholds!$D$67,"LM",IF('GNI per capita'!BR216&lt;=Thresholds!$E$67,"UM","H")))</f>
        <v>H</v>
      </c>
      <c r="BS216" s="42" t="str">
        <f>IF('GNI per capita'!BS216&lt;=Thresholds!$C$68,"L",IF('GNI per capita'!BS216&lt;=Thresholds!$D$68,"LM",IF('GNI per capita'!BS216&lt;=Thresholds!$E$68,"UM","H")))</f>
        <v>H</v>
      </c>
    </row>
    <row r="217" spans="1:71" x14ac:dyDescent="0.2">
      <c r="A217" s="2" t="s">
        <v>668</v>
      </c>
      <c r="B217" s="2" t="s">
        <v>669</v>
      </c>
      <c r="C217" s="11" t="s">
        <v>79</v>
      </c>
      <c r="G217" s="28" t="s">
        <v>204</v>
      </c>
      <c r="H217" s="41" t="s">
        <v>79</v>
      </c>
      <c r="I217" s="41" t="s">
        <v>79</v>
      </c>
      <c r="J217" s="41" t="s">
        <v>79</v>
      </c>
      <c r="K217" s="41" t="s">
        <v>79</v>
      </c>
      <c r="L217" s="41" t="s">
        <v>79</v>
      </c>
      <c r="M217" s="41" t="s">
        <v>79</v>
      </c>
      <c r="N217" s="41" t="s">
        <v>79</v>
      </c>
      <c r="O217" s="41" t="s">
        <v>79</v>
      </c>
      <c r="P217" s="41" t="s">
        <v>79</v>
      </c>
      <c r="Q217" s="41" t="s">
        <v>79</v>
      </c>
      <c r="R217" s="41" t="s">
        <v>79</v>
      </c>
      <c r="S217" s="41" t="s">
        <v>79</v>
      </c>
      <c r="T217" s="41" t="s">
        <v>79</v>
      </c>
      <c r="U217" s="41" t="s">
        <v>79</v>
      </c>
      <c r="V217" s="41" t="s">
        <v>79</v>
      </c>
      <c r="W217" s="41" t="s">
        <v>79</v>
      </c>
      <c r="X217" s="41" t="s">
        <v>79</v>
      </c>
      <c r="Y217" s="41" t="s">
        <v>79</v>
      </c>
      <c r="Z217" s="41" t="s">
        <v>79</v>
      </c>
      <c r="AA217" s="41" t="s">
        <v>79</v>
      </c>
      <c r="AB217" s="41" t="s">
        <v>79</v>
      </c>
      <c r="AC217" s="41" t="s">
        <v>79</v>
      </c>
      <c r="AD217" s="41" t="s">
        <v>79</v>
      </c>
      <c r="AE217" s="41" t="s">
        <v>79</v>
      </c>
      <c r="AF217" s="41" t="s">
        <v>79</v>
      </c>
      <c r="AG217" s="41" t="s">
        <v>79</v>
      </c>
      <c r="AH217" s="41" t="s">
        <v>79</v>
      </c>
      <c r="AI217" s="41" t="s">
        <v>79</v>
      </c>
      <c r="AJ217" s="41" t="s">
        <v>79</v>
      </c>
      <c r="AK217" s="41" t="s">
        <v>79</v>
      </c>
      <c r="AL217" s="41" t="s">
        <v>79</v>
      </c>
      <c r="AM217" s="41" t="s">
        <v>79</v>
      </c>
      <c r="AN217" s="41" t="s">
        <v>79</v>
      </c>
      <c r="AO217" s="41" t="s">
        <v>79</v>
      </c>
      <c r="AP217" s="41" t="s">
        <v>79</v>
      </c>
      <c r="AQ217" s="41" t="s">
        <v>79</v>
      </c>
      <c r="AR217" s="41" t="s">
        <v>79</v>
      </c>
      <c r="AS217" s="41" t="s">
        <v>79</v>
      </c>
      <c r="AT217" s="41" t="s">
        <v>79</v>
      </c>
      <c r="AU217" s="42" t="str">
        <f t="shared" ref="AU217:BS217" si="19">$C217</f>
        <v>H</v>
      </c>
      <c r="AV217" s="42" t="str">
        <f t="shared" si="19"/>
        <v>H</v>
      </c>
      <c r="AW217" s="42" t="str">
        <f t="shared" si="19"/>
        <v>H</v>
      </c>
      <c r="AX217" s="42" t="str">
        <f t="shared" si="19"/>
        <v>H</v>
      </c>
      <c r="AY217" s="42" t="str">
        <f t="shared" si="19"/>
        <v>H</v>
      </c>
      <c r="AZ217" s="42" t="str">
        <f t="shared" si="19"/>
        <v>H</v>
      </c>
      <c r="BA217" s="42" t="str">
        <f t="shared" si="19"/>
        <v>H</v>
      </c>
      <c r="BB217" s="42" t="str">
        <f t="shared" si="19"/>
        <v>H</v>
      </c>
      <c r="BC217" s="42" t="str">
        <f t="shared" si="19"/>
        <v>H</v>
      </c>
      <c r="BD217" s="42" t="str">
        <f t="shared" si="19"/>
        <v>H</v>
      </c>
      <c r="BE217" s="42" t="str">
        <f t="shared" si="19"/>
        <v>H</v>
      </c>
      <c r="BF217" s="42" t="str">
        <f t="shared" si="19"/>
        <v>H</v>
      </c>
      <c r="BG217" s="42" t="str">
        <f t="shared" si="19"/>
        <v>H</v>
      </c>
      <c r="BH217" s="42" t="str">
        <f t="shared" si="19"/>
        <v>H</v>
      </c>
      <c r="BI217" s="42" t="str">
        <f t="shared" si="19"/>
        <v>H</v>
      </c>
      <c r="BJ217" s="42" t="str">
        <f t="shared" si="19"/>
        <v>H</v>
      </c>
      <c r="BK217" s="42" t="str">
        <f t="shared" si="19"/>
        <v>H</v>
      </c>
      <c r="BL217" s="42" t="str">
        <f t="shared" si="19"/>
        <v>H</v>
      </c>
      <c r="BM217" s="42" t="str">
        <f t="shared" si="19"/>
        <v>H</v>
      </c>
      <c r="BN217" s="42" t="str">
        <f t="shared" si="19"/>
        <v>H</v>
      </c>
      <c r="BO217" s="42" t="str">
        <f t="shared" si="19"/>
        <v>H</v>
      </c>
      <c r="BP217" s="42" t="str">
        <f t="shared" si="19"/>
        <v>H</v>
      </c>
      <c r="BQ217" s="42" t="str">
        <f t="shared" si="19"/>
        <v>H</v>
      </c>
      <c r="BR217" s="42" t="str">
        <f t="shared" si="19"/>
        <v>H</v>
      </c>
      <c r="BS217" s="42" t="str">
        <f t="shared" si="19"/>
        <v>H</v>
      </c>
    </row>
    <row r="218" spans="1:71" x14ac:dyDescent="0.2">
      <c r="A218" s="2" t="s">
        <v>670</v>
      </c>
      <c r="B218" s="2" t="s">
        <v>671</v>
      </c>
      <c r="C218" s="11" t="s">
        <v>210</v>
      </c>
      <c r="G218" s="2" t="s">
        <v>162</v>
      </c>
      <c r="H218" s="41"/>
      <c r="I218" s="41"/>
      <c r="J218" s="41"/>
      <c r="K218" s="41"/>
      <c r="L218" s="41"/>
      <c r="M218" s="41"/>
      <c r="N218" s="41"/>
      <c r="O218" s="41" t="s">
        <v>210</v>
      </c>
      <c r="P218" s="41" t="s">
        <v>210</v>
      </c>
      <c r="Q218" s="41" t="s">
        <v>210</v>
      </c>
      <c r="R218" s="41" t="s">
        <v>210</v>
      </c>
      <c r="S218" s="41" t="s">
        <v>210</v>
      </c>
      <c r="T218" s="41" t="s">
        <v>210</v>
      </c>
      <c r="U218" s="41" t="s">
        <v>210</v>
      </c>
      <c r="V218" s="41" t="s">
        <v>210</v>
      </c>
      <c r="W218" s="41" t="s">
        <v>210</v>
      </c>
      <c r="X218" s="41" t="s">
        <v>210</v>
      </c>
      <c r="Y218" s="41" t="s">
        <v>210</v>
      </c>
      <c r="Z218" s="41" t="s">
        <v>210</v>
      </c>
      <c r="AA218" s="41" t="s">
        <v>210</v>
      </c>
      <c r="AB218" s="41" t="s">
        <v>210</v>
      </c>
      <c r="AC218" s="41" t="s">
        <v>210</v>
      </c>
      <c r="AD218" s="41" t="s">
        <v>210</v>
      </c>
      <c r="AE218" s="41" t="s">
        <v>210</v>
      </c>
      <c r="AF218" s="41" t="s">
        <v>210</v>
      </c>
      <c r="AG218" s="41" t="s">
        <v>210</v>
      </c>
      <c r="AH218" s="41" t="s">
        <v>210</v>
      </c>
      <c r="AI218" s="41" t="s">
        <v>210</v>
      </c>
      <c r="AJ218" s="41" t="s">
        <v>210</v>
      </c>
      <c r="AK218" s="41" t="s">
        <v>210</v>
      </c>
      <c r="AL218" s="41" t="s">
        <v>210</v>
      </c>
      <c r="AM218" s="41" t="s">
        <v>210</v>
      </c>
      <c r="AN218" s="41" t="s">
        <v>210</v>
      </c>
      <c r="AO218" s="41" t="s">
        <v>210</v>
      </c>
      <c r="AP218" s="41" t="s">
        <v>210</v>
      </c>
      <c r="AQ218" s="41" t="s">
        <v>82</v>
      </c>
      <c r="AR218" s="41" t="s">
        <v>210</v>
      </c>
      <c r="AS218" s="41" t="s">
        <v>210</v>
      </c>
      <c r="AT218" s="41" t="s">
        <v>210</v>
      </c>
      <c r="AU218" s="42" t="str">
        <f>IF('GNI per capita'!AU218&lt;=Thresholds!$C$44,"L",IF('GNI per capita'!AU218&lt;=Thresholds!$D$44,"LM",IF('GNI per capita'!AU218&lt;=Thresholds!$E$44,"UM","H")))</f>
        <v>LM</v>
      </c>
      <c r="AV218" s="42" t="str">
        <f>IF('GNI per capita'!AV218&lt;=Thresholds!$C$45,"L",IF('GNI per capita'!AV218&lt;=Thresholds!$D$45,"LM",IF('GNI per capita'!AV218&lt;=Thresholds!$E$45,"UM","H")))</f>
        <v>LM</v>
      </c>
      <c r="AW218" s="42" t="str">
        <f>IF('GNI per capita'!AW218&lt;=Thresholds!$C$46,"L",IF('GNI per capita'!AW218&lt;=Thresholds!$D$46,"LM",IF('GNI per capita'!AW218&lt;=Thresholds!$E$46,"UM","H")))</f>
        <v>LM</v>
      </c>
      <c r="AX218" s="42" t="str">
        <f>IF('GNI per capita'!AX218&lt;=Thresholds!$C$47,"L",IF('GNI per capita'!AX218&lt;=Thresholds!$D$47,"LM",IF('GNI per capita'!AX218&lt;=Thresholds!$E$47,"UM","H")))</f>
        <v>LM</v>
      </c>
      <c r="AY218" s="42" t="str">
        <f>IF('GNI per capita'!AY218&lt;=Thresholds!$C$48,"L",IF('GNI per capita'!AY218&lt;=Thresholds!$D$48,"LM",IF('GNI per capita'!AY218&lt;=Thresholds!$E$48,"UM","H")))</f>
        <v>LM</v>
      </c>
      <c r="AZ218" s="42" t="str">
        <f>IF('GNI per capita'!AZ218&lt;=Thresholds!$C$49,"L",IF('GNI per capita'!AZ218&lt;=Thresholds!$D$49,"LM",IF('GNI per capita'!AZ218&lt;=Thresholds!$E$49,"UM","H")))</f>
        <v>LM</v>
      </c>
      <c r="BA218" s="42" t="str">
        <f>IF('GNI per capita'!BA218&lt;=Thresholds!$C$50,"L",IF('GNI per capita'!BA218&lt;=Thresholds!$D$50,"LM",IF('GNI per capita'!BA218&lt;=Thresholds!$E$50,"UM","H")))</f>
        <v>LM</v>
      </c>
      <c r="BB218" s="42" t="str">
        <f>IF('GNI per capita'!BB218&lt;=Thresholds!$C$51,"L",IF('GNI per capita'!BB218&lt;=Thresholds!$D$51,"LM",IF('GNI per capita'!BB218&lt;=Thresholds!$E$51,"UM","H")))</f>
        <v>LM</v>
      </c>
      <c r="BC218" s="42" t="str">
        <f>IF('GNI per capita'!BC218&lt;=Thresholds!$C$52,"L",IF('GNI per capita'!BC218&lt;=Thresholds!$D$52,"LM",IF('GNI per capita'!BC218&lt;=Thresholds!$E$52,"UM","H")))</f>
        <v>LM</v>
      </c>
      <c r="BD218" s="42" t="str">
        <f>IF('GNI per capita'!BD218&lt;=Thresholds!$C$53,"L",IF('GNI per capita'!BD218&lt;=Thresholds!$D$53,"LM",IF('GNI per capita'!BD218&lt;=Thresholds!$E$53,"UM","H")))</f>
        <v>LM</v>
      </c>
      <c r="BE218" s="42" t="str">
        <f>IF('GNI per capita'!BE218&lt;=Thresholds!$C$54,"L",IF('GNI per capita'!BE218&lt;=Thresholds!$D$54,"LM",IF('GNI per capita'!BE218&lt;=Thresholds!$E$54,"UM","H")))</f>
        <v>LM</v>
      </c>
      <c r="BF218" s="42" t="str">
        <f>IF('GNI per capita'!BF218&lt;=Thresholds!$C$55,"L",IF('GNI per capita'!BF218&lt;=Thresholds!$D$55,"LM",IF('GNI per capita'!BF218&lt;=Thresholds!$E$55,"UM","H")))</f>
        <v>LM</v>
      </c>
      <c r="BG218" s="42" t="str">
        <f>IF('GNI per capita'!BG218&lt;=Thresholds!$C$56,"L",IF('GNI per capita'!BG218&lt;=Thresholds!$D$56,"LM",IF('GNI per capita'!BG218&lt;=Thresholds!$E$56,"UM","H")))</f>
        <v>LM</v>
      </c>
      <c r="BH218" s="42" t="str">
        <f>IF('GNI per capita'!BH218&lt;=Thresholds!$C$57,"L",IF('GNI per capita'!BH218&lt;=Thresholds!$D$57,"LM",IF('GNI per capita'!BH218&lt;=Thresholds!$E$57,"UM","H")))</f>
        <v>LM</v>
      </c>
      <c r="BI218" s="42" t="str">
        <f>IF('GNI per capita'!BI218&lt;=Thresholds!$C$58,"L",IF('GNI per capita'!BI218&lt;=Thresholds!$D$58,"LM",IF('GNI per capita'!BI218&lt;=Thresholds!$E$58,"UM","H")))</f>
        <v>LM</v>
      </c>
      <c r="BJ218" s="42" t="str">
        <f>IF('GNI per capita'!BJ218&lt;=Thresholds!$C$59,"L",IF('GNI per capita'!BJ218&lt;=Thresholds!$D$59,"LM",IF('GNI per capita'!BJ218&lt;=Thresholds!$E$59,"UM","H")))</f>
        <v>UM</v>
      </c>
      <c r="BK218" s="42" t="str">
        <f>IF('GNI per capita'!BK218&lt;=Thresholds!$C$60,"L",IF('GNI per capita'!BK218&lt;=Thresholds!$D$60,"LM",IF('GNI per capita'!BK218&lt;=Thresholds!$E$60,"UM","H")))</f>
        <v>UM</v>
      </c>
      <c r="BL218" s="42" t="str">
        <f>IF('GNI per capita'!BL218&lt;=Thresholds!$C$61,"L",IF('GNI per capita'!BL218&lt;=Thresholds!$D$61,"LM",IF('GNI per capita'!BL218&lt;=Thresholds!$E$61,"UM","H")))</f>
        <v>UM</v>
      </c>
      <c r="BM218" s="42" t="str">
        <f>IF('GNI per capita'!BM218&lt;=Thresholds!$C$62,"L",IF('GNI per capita'!BM218&lt;=Thresholds!$D$62,"LM",IF('GNI per capita'!BM218&lt;=Thresholds!$E$62,"UM","H")))</f>
        <v>UM</v>
      </c>
      <c r="BN218" s="42" t="str">
        <f>IF('GNI per capita'!BN218&lt;=Thresholds!$C$63,"L",IF('GNI per capita'!BN218&lt;=Thresholds!$D$63,"LM",IF('GNI per capita'!BN218&lt;=Thresholds!$E$63,"UM","H")))</f>
        <v>UM</v>
      </c>
      <c r="BO218" s="42" t="str">
        <f>IF('GNI per capita'!BO218&lt;=Thresholds!$C$64,"L",IF('GNI per capita'!BO218&lt;=Thresholds!$D$64,"LM",IF('GNI per capita'!BO218&lt;=Thresholds!$E$64,"UM","H")))</f>
        <v>UM</v>
      </c>
      <c r="BP218" s="42" t="str">
        <f>IF('GNI per capita'!BP218&lt;=Thresholds!$C$65,"L",IF('GNI per capita'!BP218&lt;=Thresholds!$D$65,"LM",IF('GNI per capita'!BP218&lt;=Thresholds!$E$65,"UM","H")))</f>
        <v>UM</v>
      </c>
      <c r="BQ218" s="42" t="str">
        <f>IF('GNI per capita'!BQ218&lt;=Thresholds!$C$66,"L",IF('GNI per capita'!BQ218&lt;=Thresholds!$D$66,"LM",IF('GNI per capita'!BQ218&lt;=Thresholds!$E$66,"UM","H")))</f>
        <v>UM</v>
      </c>
      <c r="BR218" s="42" t="str">
        <f>IF('GNI per capita'!BR218&lt;=Thresholds!$C$67,"L",IF('GNI per capita'!BR218&lt;=Thresholds!$D$67,"LM",IF('GNI per capita'!BR218&lt;=Thresholds!$E$67,"UM","H")))</f>
        <v>UM</v>
      </c>
      <c r="BS218" s="42" t="str">
        <f>IF('GNI per capita'!BS218&lt;=Thresholds!$C$68,"L",IF('GNI per capita'!BS218&lt;=Thresholds!$D$68,"LM",IF('GNI per capita'!BS218&lt;=Thresholds!$E$68,"UM","H")))</f>
        <v>UM</v>
      </c>
    </row>
    <row r="219" spans="1:71" x14ac:dyDescent="0.2">
      <c r="A219" s="2" t="s">
        <v>672</v>
      </c>
      <c r="B219" s="2" t="s">
        <v>673</v>
      </c>
      <c r="C219" s="11" t="s">
        <v>75</v>
      </c>
      <c r="G219" s="28" t="s">
        <v>674</v>
      </c>
      <c r="H219" s="41" t="s">
        <v>210</v>
      </c>
      <c r="I219" s="41" t="s">
        <v>210</v>
      </c>
      <c r="J219" s="41" t="s">
        <v>210</v>
      </c>
      <c r="K219" s="41" t="s">
        <v>210</v>
      </c>
      <c r="L219" s="41" t="s">
        <v>75</v>
      </c>
      <c r="M219" s="41" t="s">
        <v>75</v>
      </c>
      <c r="N219" s="41" t="s">
        <v>75</v>
      </c>
      <c r="O219" s="41" t="s">
        <v>75</v>
      </c>
      <c r="P219" s="41" t="s">
        <v>75</v>
      </c>
      <c r="Q219" s="41" t="s">
        <v>75</v>
      </c>
      <c r="R219" s="41" t="s">
        <v>75</v>
      </c>
      <c r="S219" s="41" t="s">
        <v>75</v>
      </c>
      <c r="T219" s="41" t="s">
        <v>75</v>
      </c>
      <c r="U219" s="41" t="s">
        <v>75</v>
      </c>
      <c r="V219" s="41" t="s">
        <v>75</v>
      </c>
      <c r="W219" s="41" t="s">
        <v>75</v>
      </c>
      <c r="X219" s="41" t="s">
        <v>75</v>
      </c>
      <c r="Y219" s="41" t="s">
        <v>75</v>
      </c>
      <c r="Z219" s="41" t="s">
        <v>75</v>
      </c>
      <c r="AA219" s="41" t="s">
        <v>75</v>
      </c>
      <c r="AB219" s="41" t="s">
        <v>75</v>
      </c>
      <c r="AC219" s="41" t="s">
        <v>75</v>
      </c>
      <c r="AD219" s="41" t="s">
        <v>210</v>
      </c>
      <c r="AE219" s="41" t="s">
        <v>210</v>
      </c>
      <c r="AF219" s="41" t="s">
        <v>210</v>
      </c>
      <c r="AG219" s="41" t="s">
        <v>210</v>
      </c>
      <c r="AH219" s="41" t="s">
        <v>210</v>
      </c>
      <c r="AI219" s="41" t="s">
        <v>210</v>
      </c>
      <c r="AJ219" s="41" t="s">
        <v>210</v>
      </c>
      <c r="AK219" s="41" t="s">
        <v>210</v>
      </c>
      <c r="AL219" s="41" t="s">
        <v>75</v>
      </c>
      <c r="AM219" s="41" t="s">
        <v>75</v>
      </c>
      <c r="AN219" s="41" t="s">
        <v>75</v>
      </c>
      <c r="AO219" s="41" t="s">
        <v>75</v>
      </c>
      <c r="AP219" s="41" t="s">
        <v>75</v>
      </c>
      <c r="AQ219" s="41" t="s">
        <v>75</v>
      </c>
      <c r="AR219" s="41" t="s">
        <v>75</v>
      </c>
      <c r="AS219" s="41" t="s">
        <v>75</v>
      </c>
      <c r="AT219" s="41" t="s">
        <v>75</v>
      </c>
      <c r="AU219" s="42" t="str">
        <f t="shared" ref="AU219:BS219" si="20">$C219</f>
        <v>L</v>
      </c>
      <c r="AV219" s="42" t="str">
        <f t="shared" si="20"/>
        <v>L</v>
      </c>
      <c r="AW219" s="42" t="str">
        <f t="shared" si="20"/>
        <v>L</v>
      </c>
      <c r="AX219" s="42" t="str">
        <f t="shared" si="20"/>
        <v>L</v>
      </c>
      <c r="AY219" s="42" t="str">
        <f t="shared" si="20"/>
        <v>L</v>
      </c>
      <c r="AZ219" s="42" t="str">
        <f t="shared" si="20"/>
        <v>L</v>
      </c>
      <c r="BA219" s="42" t="str">
        <f t="shared" si="20"/>
        <v>L</v>
      </c>
      <c r="BB219" s="42" t="str">
        <f t="shared" si="20"/>
        <v>L</v>
      </c>
      <c r="BC219" s="42" t="str">
        <f t="shared" si="20"/>
        <v>L</v>
      </c>
      <c r="BD219" s="42" t="str">
        <f t="shared" si="20"/>
        <v>L</v>
      </c>
      <c r="BE219" s="42" t="str">
        <f t="shared" si="20"/>
        <v>L</v>
      </c>
      <c r="BF219" s="42" t="str">
        <f t="shared" si="20"/>
        <v>L</v>
      </c>
      <c r="BG219" s="42" t="str">
        <f t="shared" si="20"/>
        <v>L</v>
      </c>
      <c r="BH219" s="42" t="str">
        <f t="shared" si="20"/>
        <v>L</v>
      </c>
      <c r="BI219" s="42" t="str">
        <f t="shared" si="20"/>
        <v>L</v>
      </c>
      <c r="BJ219" s="42" t="str">
        <f t="shared" si="20"/>
        <v>L</v>
      </c>
      <c r="BK219" s="42" t="str">
        <f t="shared" si="20"/>
        <v>L</v>
      </c>
      <c r="BL219" s="42" t="str">
        <f t="shared" si="20"/>
        <v>L</v>
      </c>
      <c r="BM219" s="42" t="str">
        <f t="shared" si="20"/>
        <v>L</v>
      </c>
      <c r="BN219" s="42" t="str">
        <f t="shared" si="20"/>
        <v>L</v>
      </c>
      <c r="BO219" s="42" t="str">
        <f t="shared" si="20"/>
        <v>L</v>
      </c>
      <c r="BP219" s="42" t="str">
        <f t="shared" si="20"/>
        <v>L</v>
      </c>
      <c r="BQ219" s="42" t="str">
        <f t="shared" si="20"/>
        <v>L</v>
      </c>
      <c r="BR219" s="42" t="str">
        <f t="shared" si="20"/>
        <v>L</v>
      </c>
      <c r="BS219" s="42" t="str">
        <f t="shared" si="20"/>
        <v>L</v>
      </c>
    </row>
    <row r="220" spans="1:71" x14ac:dyDescent="0.2">
      <c r="A220" s="2" t="s">
        <v>675</v>
      </c>
      <c r="B220" s="2" t="s">
        <v>676</v>
      </c>
      <c r="C220" s="11" t="s">
        <v>210</v>
      </c>
      <c r="G220" s="2" t="s">
        <v>196</v>
      </c>
      <c r="H220" s="41" t="s">
        <v>75</v>
      </c>
      <c r="I220" s="41" t="s">
        <v>75</v>
      </c>
      <c r="J220" s="41" t="s">
        <v>75</v>
      </c>
      <c r="K220" s="41" t="s">
        <v>75</v>
      </c>
      <c r="L220" s="41" t="s">
        <v>75</v>
      </c>
      <c r="M220" s="41" t="s">
        <v>75</v>
      </c>
      <c r="N220" s="41" t="s">
        <v>75</v>
      </c>
      <c r="O220" s="41" t="s">
        <v>75</v>
      </c>
      <c r="P220" s="41" t="s">
        <v>75</v>
      </c>
      <c r="Q220" s="41" t="s">
        <v>75</v>
      </c>
      <c r="R220" s="41" t="s">
        <v>75</v>
      </c>
      <c r="S220" s="41" t="s">
        <v>75</v>
      </c>
      <c r="T220" s="41" t="s">
        <v>75</v>
      </c>
      <c r="U220" s="41" t="s">
        <v>75</v>
      </c>
      <c r="V220" s="41" t="s">
        <v>75</v>
      </c>
      <c r="W220" s="41" t="s">
        <v>75</v>
      </c>
      <c r="X220" s="41" t="s">
        <v>75</v>
      </c>
      <c r="Y220" s="41" t="s">
        <v>75</v>
      </c>
      <c r="Z220" s="41" t="s">
        <v>75</v>
      </c>
      <c r="AA220" s="41" t="s">
        <v>75</v>
      </c>
      <c r="AB220" s="41" t="s">
        <v>75</v>
      </c>
      <c r="AC220" s="41" t="s">
        <v>75</v>
      </c>
      <c r="AD220" s="41" t="s">
        <v>75</v>
      </c>
      <c r="AE220" s="41" t="s">
        <v>210</v>
      </c>
      <c r="AF220" s="41" t="s">
        <v>210</v>
      </c>
      <c r="AG220" s="41" t="s">
        <v>210</v>
      </c>
      <c r="AH220" s="41" t="s">
        <v>210</v>
      </c>
      <c r="AI220" s="41" t="s">
        <v>210</v>
      </c>
      <c r="AJ220" s="41" t="s">
        <v>210</v>
      </c>
      <c r="AK220" s="41" t="s">
        <v>210</v>
      </c>
      <c r="AL220" s="41" t="s">
        <v>210</v>
      </c>
      <c r="AM220" s="41" t="s">
        <v>210</v>
      </c>
      <c r="AN220" s="41" t="s">
        <v>210</v>
      </c>
      <c r="AO220" s="41" t="s">
        <v>210</v>
      </c>
      <c r="AP220" s="41" t="s">
        <v>75</v>
      </c>
      <c r="AQ220" s="41" t="s">
        <v>210</v>
      </c>
      <c r="AR220" s="41" t="s">
        <v>210</v>
      </c>
      <c r="AS220" s="41" t="s">
        <v>210</v>
      </c>
      <c r="AT220" s="41" t="s">
        <v>210</v>
      </c>
      <c r="AU220" s="42" t="str">
        <f>IF('GNI per capita'!AU220&lt;=Thresholds!$C$44,"L",IF('GNI per capita'!AU220&lt;=Thresholds!$D$44,"LM",IF('GNI per capita'!AU220&lt;=Thresholds!$E$44,"UM","H")))</f>
        <v>LM</v>
      </c>
      <c r="AV220" s="42" t="str">
        <f>IF('GNI per capita'!AV220&lt;=Thresholds!$C$45,"L",IF('GNI per capita'!AV220&lt;=Thresholds!$D$45,"LM",IF('GNI per capita'!AV220&lt;=Thresholds!$E$45,"UM","H")))</f>
        <v>LM</v>
      </c>
      <c r="AW220" s="42" t="str">
        <f>IF('GNI per capita'!AW220&lt;=Thresholds!$C$46,"L",IF('GNI per capita'!AW220&lt;=Thresholds!$D$46,"LM",IF('GNI per capita'!AW220&lt;=Thresholds!$E$46,"UM","H")))</f>
        <v>LM</v>
      </c>
      <c r="AX220" s="42" t="str">
        <f>IF('GNI per capita'!AX220&lt;=Thresholds!$C$47,"L",IF('GNI per capita'!AX220&lt;=Thresholds!$D$47,"LM",IF('GNI per capita'!AX220&lt;=Thresholds!$E$47,"UM","H")))</f>
        <v>LM</v>
      </c>
      <c r="AY220" s="42" t="str">
        <f>IF('GNI per capita'!AY220&lt;=Thresholds!$C$48,"L",IF('GNI per capita'!AY220&lt;=Thresholds!$D$48,"LM",IF('GNI per capita'!AY220&lt;=Thresholds!$E$48,"UM","H")))</f>
        <v>LM</v>
      </c>
      <c r="AZ220" s="42" t="str">
        <f>IF('GNI per capita'!AZ220&lt;=Thresholds!$C$49,"L",IF('GNI per capita'!AZ220&lt;=Thresholds!$D$49,"LM",IF('GNI per capita'!AZ220&lt;=Thresholds!$E$49,"UM","H")))</f>
        <v>LM</v>
      </c>
      <c r="BA220" s="42" t="str">
        <f>IF('GNI per capita'!BA220&lt;=Thresholds!$C$50,"L",IF('GNI per capita'!BA220&lt;=Thresholds!$D$50,"LM",IF('GNI per capita'!BA220&lt;=Thresholds!$E$50,"UM","H")))</f>
        <v>LM</v>
      </c>
      <c r="BB220" s="42" t="str">
        <f>IF('GNI per capita'!BB220&lt;=Thresholds!$C$51,"L",IF('GNI per capita'!BB220&lt;=Thresholds!$D$51,"LM",IF('GNI per capita'!BB220&lt;=Thresholds!$E$51,"UM","H")))</f>
        <v>LM</v>
      </c>
      <c r="BC220" s="42" t="str">
        <f>IF('GNI per capita'!BC220&lt;=Thresholds!$C$52,"L",IF('GNI per capita'!BC220&lt;=Thresholds!$D$52,"LM",IF('GNI per capita'!BC220&lt;=Thresholds!$E$52,"UM","H")))</f>
        <v>LM</v>
      </c>
      <c r="BD220" s="42" t="str">
        <f>IF('GNI per capita'!BD220&lt;=Thresholds!$C$53,"L",IF('GNI per capita'!BD220&lt;=Thresholds!$D$53,"LM",IF('GNI per capita'!BD220&lt;=Thresholds!$E$53,"UM","H")))</f>
        <v>LM</v>
      </c>
      <c r="BE220" s="42" t="str">
        <f>IF('GNI per capita'!BE220&lt;=Thresholds!$C$54,"L",IF('GNI per capita'!BE220&lt;=Thresholds!$D$54,"LM",IF('GNI per capita'!BE220&lt;=Thresholds!$E$54,"UM","H")))</f>
        <v>LM</v>
      </c>
      <c r="BF220" s="42" t="str">
        <f>IF('GNI per capita'!BF220&lt;=Thresholds!$C$55,"L",IF('GNI per capita'!BF220&lt;=Thresholds!$D$55,"LM",IF('GNI per capita'!BF220&lt;=Thresholds!$E$55,"UM","H")))</f>
        <v>LM</v>
      </c>
      <c r="BG220" s="42" t="str">
        <f>IF('GNI per capita'!BG220&lt;=Thresholds!$C$56,"L",IF('GNI per capita'!BG220&lt;=Thresholds!$D$56,"LM",IF('GNI per capita'!BG220&lt;=Thresholds!$E$56,"UM","H")))</f>
        <v>LM</v>
      </c>
      <c r="BH220" s="42" t="str">
        <f>IF('GNI per capita'!BH220&lt;=Thresholds!$C$57,"L",IF('GNI per capita'!BH220&lt;=Thresholds!$D$57,"LM",IF('GNI per capita'!BH220&lt;=Thresholds!$E$57,"UM","H")))</f>
        <v>LM</v>
      </c>
      <c r="BI220" s="42" t="str">
        <f>IF('GNI per capita'!BI220&lt;=Thresholds!$C$58,"L",IF('GNI per capita'!BI220&lt;=Thresholds!$D$58,"LM",IF('GNI per capita'!BI220&lt;=Thresholds!$E$58,"UM","H")))</f>
        <v>LM</v>
      </c>
      <c r="BJ220" s="42" t="str">
        <f>IF('GNI per capita'!BJ220&lt;=Thresholds!$C$59,"L",IF('GNI per capita'!BJ220&lt;=Thresholds!$D$59,"LM",IF('GNI per capita'!BJ220&lt;=Thresholds!$E$59,"UM","H")))</f>
        <v>LM</v>
      </c>
      <c r="BK220" s="42" t="str">
        <f>IF('GNI per capita'!BK220&lt;=Thresholds!$C$60,"L",IF('GNI per capita'!BK220&lt;=Thresholds!$D$60,"LM",IF('GNI per capita'!BK220&lt;=Thresholds!$E$60,"UM","H")))</f>
        <v>LM</v>
      </c>
      <c r="BL220" s="42" t="str">
        <f>IF('GNI per capita'!BL220&lt;=Thresholds!$C$61,"L",IF('GNI per capita'!BL220&lt;=Thresholds!$D$61,"LM",IF('GNI per capita'!BL220&lt;=Thresholds!$E$61,"UM","H")))</f>
        <v>LM</v>
      </c>
      <c r="BM220" s="42" t="str">
        <f>IF('GNI per capita'!BM220&lt;=Thresholds!$C$62,"L",IF('GNI per capita'!BM220&lt;=Thresholds!$D$62,"LM",IF('GNI per capita'!BM220&lt;=Thresholds!$E$62,"UM","H")))</f>
        <v>LM</v>
      </c>
      <c r="BN220" s="42" t="str">
        <f>IF('GNI per capita'!BN220&lt;=Thresholds!$C$63,"L",IF('GNI per capita'!BN220&lt;=Thresholds!$D$63,"LM",IF('GNI per capita'!BN220&lt;=Thresholds!$E$63,"UM","H")))</f>
        <v>LM</v>
      </c>
      <c r="BO220" s="42" t="str">
        <f>IF('GNI per capita'!BO220&lt;=Thresholds!$C$64,"L",IF('GNI per capita'!BO220&lt;=Thresholds!$D$64,"LM",IF('GNI per capita'!BO220&lt;=Thresholds!$E$64,"UM","H")))</f>
        <v>LM</v>
      </c>
      <c r="BP220" s="42" t="str">
        <f>IF('GNI per capita'!BP220&lt;=Thresholds!$C$65,"L",IF('GNI per capita'!BP220&lt;=Thresholds!$D$65,"LM",IF('GNI per capita'!BP220&lt;=Thresholds!$E$65,"UM","H")))</f>
        <v>LM</v>
      </c>
      <c r="BQ220" s="42" t="str">
        <f>IF('GNI per capita'!BQ220&lt;=Thresholds!$C$66,"L",IF('GNI per capita'!BQ220&lt;=Thresholds!$D$66,"LM",IF('GNI per capita'!BQ220&lt;=Thresholds!$E$66,"UM","H")))</f>
        <v>LM</v>
      </c>
      <c r="BR220" s="42" t="str">
        <f>IF('GNI per capita'!BR220&lt;=Thresholds!$C$67,"L",IF('GNI per capita'!BR220&lt;=Thresholds!$D$67,"LM",IF('GNI per capita'!BR220&lt;=Thresholds!$E$67,"UM","H")))</f>
        <v>LM</v>
      </c>
      <c r="BS220" s="42" t="str">
        <f>IF('GNI per capita'!BS220&lt;=Thresholds!$C$68,"L",IF('GNI per capita'!BS220&lt;=Thresholds!$D$68,"LM",IF('GNI per capita'!BS220&lt;=Thresholds!$E$68,"UM","H")))</f>
        <v>LM</v>
      </c>
    </row>
    <row r="221" spans="1:71" x14ac:dyDescent="0.2">
      <c r="A221" s="2" t="s">
        <v>677</v>
      </c>
      <c r="B221" s="2" t="s">
        <v>678</v>
      </c>
      <c r="C221" s="11" t="s">
        <v>210</v>
      </c>
      <c r="G221" s="2" t="s">
        <v>679</v>
      </c>
      <c r="H221" s="41" t="s">
        <v>210</v>
      </c>
      <c r="I221" s="41" t="s">
        <v>210</v>
      </c>
      <c r="J221" s="41" t="s">
        <v>210</v>
      </c>
      <c r="K221" s="41" t="s">
        <v>210</v>
      </c>
      <c r="L221" s="41" t="s">
        <v>75</v>
      </c>
      <c r="M221" s="41" t="s">
        <v>75</v>
      </c>
      <c r="N221" s="41" t="s">
        <v>75</v>
      </c>
      <c r="O221" s="41" t="s">
        <v>75</v>
      </c>
      <c r="P221" s="41" t="s">
        <v>75</v>
      </c>
      <c r="Q221" s="41" t="s">
        <v>75</v>
      </c>
      <c r="R221" s="41" t="s">
        <v>75</v>
      </c>
      <c r="S221" s="41" t="s">
        <v>75</v>
      </c>
      <c r="T221" s="41" t="s">
        <v>75</v>
      </c>
      <c r="U221" s="41" t="s">
        <v>75</v>
      </c>
      <c r="V221" s="41" t="s">
        <v>75</v>
      </c>
      <c r="W221" s="41" t="s">
        <v>75</v>
      </c>
      <c r="X221" s="41" t="s">
        <v>75</v>
      </c>
      <c r="Y221" s="41" t="s">
        <v>75</v>
      </c>
      <c r="Z221" s="41" t="s">
        <v>75</v>
      </c>
      <c r="AA221" s="41" t="s">
        <v>75</v>
      </c>
      <c r="AB221" s="41" t="s">
        <v>75</v>
      </c>
      <c r="AC221" s="41" t="s">
        <v>75</v>
      </c>
      <c r="AD221" s="41" t="s">
        <v>75</v>
      </c>
      <c r="AE221" s="41" t="s">
        <v>75</v>
      </c>
      <c r="AF221" s="41" t="s">
        <v>75</v>
      </c>
      <c r="AG221" s="41" t="s">
        <v>75</v>
      </c>
      <c r="AH221" s="41" t="s">
        <v>75</v>
      </c>
      <c r="AI221" s="41" t="s">
        <v>75</v>
      </c>
      <c r="AJ221" s="41" t="s">
        <v>75</v>
      </c>
      <c r="AK221" s="41" t="s">
        <v>75</v>
      </c>
      <c r="AL221" s="41" t="s">
        <v>75</v>
      </c>
      <c r="AM221" s="41" t="s">
        <v>210</v>
      </c>
      <c r="AN221" s="41" t="s">
        <v>210</v>
      </c>
      <c r="AO221" s="41" t="s">
        <v>210</v>
      </c>
      <c r="AP221" s="41" t="s">
        <v>210</v>
      </c>
      <c r="AQ221" s="41" t="s">
        <v>210</v>
      </c>
      <c r="AR221" s="41" t="s">
        <v>210</v>
      </c>
      <c r="AS221" s="41" t="s">
        <v>210</v>
      </c>
      <c r="AT221" s="41" t="s">
        <v>210</v>
      </c>
      <c r="AU221" s="42" t="str">
        <f>IF('GNI per capita'!AU221&lt;=Thresholds!$C$44,"L",IF('GNI per capita'!AU221&lt;=Thresholds!$D$44,"LM",IF('GNI per capita'!AU221&lt;=Thresholds!$E$44,"UM","H")))</f>
        <v>LM</v>
      </c>
      <c r="AV221" s="42" t="str">
        <f>IF('GNI per capita'!AV221&lt;=Thresholds!$C$45,"L",IF('GNI per capita'!AV221&lt;=Thresholds!$D$45,"LM",IF('GNI per capita'!AV221&lt;=Thresholds!$E$45,"UM","H")))</f>
        <v>LM</v>
      </c>
      <c r="AW221" s="42" t="str">
        <f>IF('GNI per capita'!AW221&lt;=Thresholds!$C$46,"L",IF('GNI per capita'!AW221&lt;=Thresholds!$D$46,"LM",IF('GNI per capita'!AW221&lt;=Thresholds!$E$46,"UM","H")))</f>
        <v>LM</v>
      </c>
      <c r="AX221" s="42" t="str">
        <f>IF('GNI per capita'!AX221&lt;=Thresholds!$C$47,"L",IF('GNI per capita'!AX221&lt;=Thresholds!$D$47,"LM",IF('GNI per capita'!AX221&lt;=Thresholds!$E$47,"UM","H")))</f>
        <v>LM</v>
      </c>
      <c r="AY221" s="42" t="str">
        <f>IF('GNI per capita'!AY221&lt;=Thresholds!$C$48,"L",IF('GNI per capita'!AY221&lt;=Thresholds!$D$48,"LM",IF('GNI per capita'!AY221&lt;=Thresholds!$E$48,"UM","H")))</f>
        <v>LM</v>
      </c>
      <c r="AZ221" s="42" t="str">
        <f>IF('GNI per capita'!AZ221&lt;=Thresholds!$C$49,"L",IF('GNI per capita'!AZ221&lt;=Thresholds!$D$49,"LM",IF('GNI per capita'!AZ221&lt;=Thresholds!$E$49,"UM","H")))</f>
        <v>LM</v>
      </c>
      <c r="BA221" s="42" t="str">
        <f>IF('GNI per capita'!BA221&lt;=Thresholds!$C$50,"L",IF('GNI per capita'!BA221&lt;=Thresholds!$D$50,"LM",IF('GNI per capita'!BA221&lt;=Thresholds!$E$50,"UM","H")))</f>
        <v>LM</v>
      </c>
      <c r="BB221" s="42" t="str">
        <f>IF('GNI per capita'!BB221&lt;=Thresholds!$C$51,"L",IF('GNI per capita'!BB221&lt;=Thresholds!$D$51,"LM",IF('GNI per capita'!BB221&lt;=Thresholds!$E$51,"UM","H")))</f>
        <v>LM</v>
      </c>
      <c r="BC221" s="42" t="str">
        <f>IF('GNI per capita'!BC221&lt;=Thresholds!$C$52,"L",IF('GNI per capita'!BC221&lt;=Thresholds!$D$52,"LM",IF('GNI per capita'!BC221&lt;=Thresholds!$E$52,"UM","H")))</f>
        <v>LM</v>
      </c>
      <c r="BD221" s="42" t="str">
        <f>IF('GNI per capita'!BD221&lt;=Thresholds!$C$53,"L",IF('GNI per capita'!BD221&lt;=Thresholds!$D$53,"LM",IF('GNI per capita'!BD221&lt;=Thresholds!$E$53,"UM","H")))</f>
        <v>UM</v>
      </c>
      <c r="BE221" s="42" t="str">
        <f>IF('GNI per capita'!BE221&lt;=Thresholds!$C$54,"L",IF('GNI per capita'!BE221&lt;=Thresholds!$D$54,"LM",IF('GNI per capita'!BE221&lt;=Thresholds!$E$54,"UM","H")))</f>
        <v>UM</v>
      </c>
      <c r="BF221" s="42" t="str">
        <f>IF('GNI per capita'!BF221&lt;=Thresholds!$C$55,"L",IF('GNI per capita'!BF221&lt;=Thresholds!$D$55,"LM",IF('GNI per capita'!BF221&lt;=Thresholds!$E$55,"UM","H")))</f>
        <v>UM</v>
      </c>
      <c r="BG221" s="42" t="str">
        <f>IF('GNI per capita'!BG221&lt;=Thresholds!$C$56,"L",IF('GNI per capita'!BG221&lt;=Thresholds!$D$56,"LM",IF('GNI per capita'!BG221&lt;=Thresholds!$E$56,"UM","H")))</f>
        <v>UM</v>
      </c>
      <c r="BH221" s="42" t="str">
        <f>IF('GNI per capita'!BH221&lt;=Thresholds!$C$57,"L",IF('GNI per capita'!BH221&lt;=Thresholds!$D$57,"LM",IF('GNI per capita'!BH221&lt;=Thresholds!$E$57,"UM","H")))</f>
        <v>UM</v>
      </c>
      <c r="BI221" s="42" t="str">
        <f>IF('GNI per capita'!BI221&lt;=Thresholds!$C$58,"L",IF('GNI per capita'!BI221&lt;=Thresholds!$D$58,"LM",IF('GNI per capita'!BI221&lt;=Thresholds!$E$58,"UM","H")))</f>
        <v>UM</v>
      </c>
      <c r="BJ221" s="42" t="str">
        <f>IF('GNI per capita'!BJ221&lt;=Thresholds!$C$59,"L",IF('GNI per capita'!BJ221&lt;=Thresholds!$D$59,"LM",IF('GNI per capita'!BJ221&lt;=Thresholds!$E$59,"UM","H")))</f>
        <v>UM</v>
      </c>
      <c r="BK221" s="42" t="str">
        <f>IF('GNI per capita'!BK221&lt;=Thresholds!$C$60,"L",IF('GNI per capita'!BK221&lt;=Thresholds!$D$60,"LM",IF('GNI per capita'!BK221&lt;=Thresholds!$E$60,"UM","H")))</f>
        <v>UM</v>
      </c>
      <c r="BL221" s="42" t="str">
        <f>IF('GNI per capita'!BL221&lt;=Thresholds!$C$61,"L",IF('GNI per capita'!BL221&lt;=Thresholds!$D$61,"LM",IF('GNI per capita'!BL221&lt;=Thresholds!$E$61,"UM","H")))</f>
        <v>UM</v>
      </c>
      <c r="BM221" s="42" t="str">
        <f>IF('GNI per capita'!BM221&lt;=Thresholds!$C$62,"L",IF('GNI per capita'!BM221&lt;=Thresholds!$D$62,"LM",IF('GNI per capita'!BM221&lt;=Thresholds!$E$62,"UM","H")))</f>
        <v>UM</v>
      </c>
      <c r="BN221" s="42" t="str">
        <f>IF('GNI per capita'!BN221&lt;=Thresholds!$C$63,"L",IF('GNI per capita'!BN221&lt;=Thresholds!$D$63,"LM",IF('GNI per capita'!BN221&lt;=Thresholds!$E$63,"UM","H")))</f>
        <v>UM</v>
      </c>
      <c r="BO221" s="42" t="str">
        <f>IF('GNI per capita'!BO221&lt;=Thresholds!$C$64,"L",IF('GNI per capita'!BO221&lt;=Thresholds!$D$64,"LM",IF('GNI per capita'!BO221&lt;=Thresholds!$E$64,"UM","H")))</f>
        <v>UM</v>
      </c>
      <c r="BP221" s="42" t="str">
        <f>IF('GNI per capita'!BP221&lt;=Thresholds!$C$65,"L",IF('GNI per capita'!BP221&lt;=Thresholds!$D$65,"LM",IF('GNI per capita'!BP221&lt;=Thresholds!$E$65,"UM","H")))</f>
        <v>UM</v>
      </c>
      <c r="BQ221" s="42" t="str">
        <f>IF('GNI per capita'!BQ221&lt;=Thresholds!$C$66,"L",IF('GNI per capita'!BQ221&lt;=Thresholds!$D$66,"LM",IF('GNI per capita'!BQ221&lt;=Thresholds!$E$66,"UM","H")))</f>
        <v>UM</v>
      </c>
      <c r="BR221" s="42" t="str">
        <f>IF('GNI per capita'!BR221&lt;=Thresholds!$C$67,"L",IF('GNI per capita'!BR221&lt;=Thresholds!$D$67,"LM",IF('GNI per capita'!BR221&lt;=Thresholds!$E$67,"UM","H")))</f>
        <v>UM</v>
      </c>
      <c r="BS221" s="42" t="str">
        <f>IF('GNI per capita'!BS221&lt;=Thresholds!$C$68,"L",IF('GNI per capita'!BS221&lt;=Thresholds!$D$68,"LM",IF('GNI per capita'!BS221&lt;=Thresholds!$E$68,"UM","H")))</f>
        <v>UM</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 me</vt:lpstr>
      <vt:lpstr>Coverage</vt:lpstr>
      <vt:lpstr>Assumptions</vt:lpstr>
      <vt:lpstr>Thresholds</vt:lpstr>
      <vt:lpstr>GNI per capita</vt:lpstr>
      <vt:lpstr>Growth calculation</vt:lpstr>
      <vt:lpstr>Population</vt:lpstr>
      <vt:lpstr>Classification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Philip Schellekens</cp:lastModifiedBy>
  <cp:revision>0</cp:revision>
  <dcterms:created xsi:type="dcterms:W3CDTF">2026-07-28T06:56:41Z</dcterms:created>
  <dcterms:modified xsi:type="dcterms:W3CDTF">2026-07-28T07:09:44Z</dcterms:modified>
  <dc:language>en-US</dc:language>
</cp:coreProperties>
</file>